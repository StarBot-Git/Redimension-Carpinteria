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utom\Desktop\CARPINTERIA\Redimensionador - APP\assets\templates\"/>
    </mc:Choice>
  </mc:AlternateContent>
  <xr:revisionPtr revIDLastSave="0" documentId="13_ncr:1_{CDF65FF8-D2B2-4CE1-BE67-7635C05437D1}" xr6:coauthVersionLast="47" xr6:coauthVersionMax="47" xr10:uidLastSave="{00000000-0000-0000-0000-000000000000}"/>
  <bookViews>
    <workbookView xWindow="-28920" yWindow="-120" windowWidth="29040" windowHeight="15720" xr2:uid="{D85C986F-F5ED-4017-9E8A-6AA088F17CDC}"/>
  </bookViews>
  <sheets>
    <sheet name="Despiece" sheetId="2" r:id="rId1"/>
    <sheet name="cotizador" sheetId="1" r:id="rId2"/>
    <sheet name="Empaque" sheetId="13" r:id="rId3"/>
    <sheet name="Tableros" sheetId="4" r:id="rId4"/>
    <sheet name="Tapacantos" sheetId="6" r:id="rId5"/>
    <sheet name="Herrajes" sheetId="8" state="hidden" r:id="rId6"/>
    <sheet name="Corte" sheetId="9" r:id="rId7"/>
    <sheet name="Enchape" sheetId="10" state="hidden" r:id="rId8"/>
    <sheet name="Mecanizado" sheetId="11" r:id="rId9"/>
    <sheet name="Armado" sheetId="12" r:id="rId10"/>
    <sheet name="MOD instalacion" sheetId="15" r:id="rId11"/>
  </sheets>
  <definedNames>
    <definedName name="_xlnm._FilterDatabase" localSheetId="5" hidden="1">Herrajes!$A$1:$C$1</definedName>
    <definedName name="_xleta.COUNT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2" l="1"/>
  <c r="D7" i="13"/>
  <c r="F7" i="13" s="1"/>
  <c r="D8" i="13"/>
  <c r="F8" i="13" s="1"/>
  <c r="D9" i="13"/>
  <c r="F9" i="13" s="1"/>
  <c r="D10" i="13"/>
  <c r="F10" i="13" s="1"/>
  <c r="D6" i="13"/>
  <c r="F6" i="13" s="1"/>
  <c r="N39" i="13"/>
  <c r="M39" i="13"/>
  <c r="O39" i="13" s="1"/>
  <c r="N38" i="13"/>
  <c r="M38" i="13"/>
  <c r="O38" i="13" s="1"/>
  <c r="N37" i="13"/>
  <c r="M37" i="13"/>
  <c r="N36" i="13"/>
  <c r="M36" i="13"/>
  <c r="O36" i="13" s="1"/>
  <c r="N35" i="13"/>
  <c r="M35" i="13"/>
  <c r="O35" i="13" s="1"/>
  <c r="N34" i="13"/>
  <c r="M34" i="13"/>
  <c r="O34" i="13" s="1"/>
  <c r="N33" i="13"/>
  <c r="M33" i="13"/>
  <c r="O33" i="13" s="1"/>
  <c r="N32" i="13"/>
  <c r="M32" i="13"/>
  <c r="O32" i="13" s="1"/>
  <c r="N31" i="13"/>
  <c r="M31" i="13"/>
  <c r="O31" i="13" s="1"/>
  <c r="N30" i="13"/>
  <c r="M30" i="13"/>
  <c r="O30" i="13" s="1"/>
  <c r="N29" i="13"/>
  <c r="M29" i="13"/>
  <c r="O29" i="13" s="1"/>
  <c r="N28" i="13"/>
  <c r="M28" i="13"/>
  <c r="O28" i="13" s="1"/>
  <c r="N27" i="13"/>
  <c r="M27" i="13"/>
  <c r="O27" i="13" s="1"/>
  <c r="N26" i="13"/>
  <c r="M26" i="13"/>
  <c r="O26" i="13" s="1"/>
  <c r="N25" i="13"/>
  <c r="M25" i="13"/>
  <c r="O25" i="13" s="1"/>
  <c r="N24" i="13"/>
  <c r="M24" i="13"/>
  <c r="N23" i="13"/>
  <c r="M23" i="13"/>
  <c r="O23" i="13" s="1"/>
  <c r="N22" i="13"/>
  <c r="M22" i="13"/>
  <c r="O22" i="13" s="1"/>
  <c r="N21" i="13"/>
  <c r="M21" i="13"/>
  <c r="N20" i="13"/>
  <c r="M20" i="13"/>
  <c r="O20" i="13" s="1"/>
  <c r="N19" i="13"/>
  <c r="M19" i="13"/>
  <c r="O19" i="13" s="1"/>
  <c r="N18" i="13"/>
  <c r="M18" i="13"/>
  <c r="O18" i="13" s="1"/>
  <c r="N17" i="13"/>
  <c r="M17" i="13"/>
  <c r="O17" i="13" s="1"/>
  <c r="N16" i="13"/>
  <c r="M16" i="13"/>
  <c r="O16" i="13" s="1"/>
  <c r="N15" i="13"/>
  <c r="M15" i="13"/>
  <c r="O15" i="13" s="1"/>
  <c r="N14" i="13"/>
  <c r="M14" i="13"/>
  <c r="O14" i="13" s="1"/>
  <c r="N13" i="13"/>
  <c r="M13" i="13"/>
  <c r="O13" i="13" s="1"/>
  <c r="N12" i="13"/>
  <c r="M12" i="13"/>
  <c r="O12" i="13" s="1"/>
  <c r="N11" i="13"/>
  <c r="M11" i="13"/>
  <c r="O11" i="13" s="1"/>
  <c r="M10" i="13"/>
  <c r="M9" i="13"/>
  <c r="L9" i="13" a="1"/>
  <c r="N10" i="13" s="1"/>
  <c r="O10" i="13" s="1"/>
  <c r="F5" i="13"/>
  <c r="F4" i="13"/>
  <c r="D2" i="9"/>
  <c r="D1" i="9"/>
  <c r="C2" i="9"/>
  <c r="C1" i="9"/>
  <c r="K2" i="9"/>
  <c r="K1" i="9"/>
  <c r="J2" i="9"/>
  <c r="J1" i="9"/>
  <c r="J3" i="9"/>
  <c r="A11" i="10"/>
  <c r="C21" i="9"/>
  <c r="C22" i="9"/>
  <c r="C23" i="9"/>
  <c r="C24" i="9"/>
  <c r="C25" i="9"/>
  <c r="C26" i="9"/>
  <c r="C27" i="9"/>
  <c r="H16" i="12"/>
  <c r="H17" i="12"/>
  <c r="H18" i="12"/>
  <c r="H19" i="12"/>
  <c r="H20" i="12"/>
  <c r="H21" i="12"/>
  <c r="H22" i="12"/>
  <c r="H23" i="12"/>
  <c r="H24" i="12"/>
  <c r="H25" i="12"/>
  <c r="H26" i="12"/>
  <c r="H27" i="12"/>
  <c r="F19" i="1"/>
  <c r="F20" i="1"/>
  <c r="F21" i="1"/>
  <c r="F22" i="1"/>
  <c r="F23" i="1"/>
  <c r="F24" i="1"/>
  <c r="F25" i="1"/>
  <c r="F26" i="1"/>
  <c r="F27" i="1"/>
  <c r="F30" i="1"/>
  <c r="F31" i="1"/>
  <c r="F32" i="1"/>
  <c r="F33" i="1"/>
  <c r="F34" i="1"/>
  <c r="F35" i="1"/>
  <c r="F36" i="1"/>
  <c r="F37" i="1"/>
  <c r="F38" i="1"/>
  <c r="F39" i="1"/>
  <c r="F18" i="1"/>
  <c r="B21" i="9"/>
  <c r="B22" i="9"/>
  <c r="B23" i="9"/>
  <c r="B24" i="9"/>
  <c r="D24" i="9" s="1"/>
  <c r="B25" i="9"/>
  <c r="B26" i="9"/>
  <c r="B27" i="9"/>
  <c r="A19" i="9" a="1"/>
  <c r="A19" i="9" s="1"/>
  <c r="E7" i="1"/>
  <c r="E8" i="1"/>
  <c r="E9" i="1"/>
  <c r="E10" i="1"/>
  <c r="E11" i="1"/>
  <c r="E12" i="1"/>
  <c r="E13" i="1"/>
  <c r="E14" i="1"/>
  <c r="E15" i="1"/>
  <c r="E6" i="1"/>
  <c r="F7" i="1"/>
  <c r="F8" i="1"/>
  <c r="F9" i="1"/>
  <c r="F10" i="1"/>
  <c r="F11" i="1"/>
  <c r="F12" i="1"/>
  <c r="F13" i="1"/>
  <c r="F14" i="1"/>
  <c r="F15" i="1"/>
  <c r="F6" i="1"/>
  <c r="O21" i="13" l="1"/>
  <c r="O24" i="13"/>
  <c r="O37" i="13"/>
  <c r="L9" i="13"/>
  <c r="N9" i="13" s="1"/>
  <c r="O9" i="13" s="1"/>
  <c r="D26" i="9"/>
  <c r="D25" i="9"/>
  <c r="D22" i="9"/>
  <c r="D21" i="9"/>
  <c r="D27" i="9"/>
  <c r="D23" i="9"/>
  <c r="B19" i="9"/>
  <c r="C20" i="9"/>
  <c r="G8" i="1"/>
  <c r="G12" i="1"/>
  <c r="G9" i="1"/>
  <c r="G11" i="1"/>
  <c r="G10" i="1"/>
  <c r="G15" i="1"/>
  <c r="G14" i="1"/>
  <c r="G13" i="1"/>
  <c r="G7" i="1"/>
  <c r="G6" i="1"/>
  <c r="B20" i="9"/>
  <c r="B67" i="1"/>
  <c r="B68" i="1" s="1"/>
  <c r="B70" i="1" s="1"/>
  <c r="B71" i="1" s="1"/>
  <c r="B73" i="1" s="1"/>
  <c r="B74" i="1" s="1"/>
  <c r="B7" i="10"/>
  <c r="O40" i="13" l="1"/>
  <c r="G16" i="1"/>
  <c r="G16" i="12"/>
  <c r="I16" i="12" s="1"/>
  <c r="G17" i="12"/>
  <c r="I17" i="12" s="1"/>
  <c r="G18" i="12"/>
  <c r="I18" i="12" s="1"/>
  <c r="G19" i="12"/>
  <c r="I19" i="12" s="1"/>
  <c r="G20" i="12"/>
  <c r="I20" i="12" s="1"/>
  <c r="G21" i="12"/>
  <c r="I21" i="12" s="1"/>
  <c r="G22" i="12"/>
  <c r="I22" i="12" s="1"/>
  <c r="G23" i="12"/>
  <c r="I23" i="12" s="1"/>
  <c r="G24" i="12"/>
  <c r="I24" i="12" s="1"/>
  <c r="G25" i="12"/>
  <c r="I25" i="12" s="1"/>
  <c r="G26" i="12"/>
  <c r="I26" i="12" s="1"/>
  <c r="G27" i="12"/>
  <c r="I27" i="12" s="1"/>
  <c r="F9" i="12" a="1"/>
  <c r="K3" i="11" a="1"/>
  <c r="H14" i="12" l="1"/>
  <c r="H15" i="12"/>
  <c r="G15" i="12"/>
  <c r="I15" i="12" s="1"/>
  <c r="K3" i="11"/>
  <c r="L4" i="11"/>
  <c r="G14" i="12"/>
  <c r="M4" i="11"/>
  <c r="H10" i="12"/>
  <c r="H11" i="12"/>
  <c r="H12" i="12"/>
  <c r="H13" i="12"/>
  <c r="G13" i="12"/>
  <c r="G12" i="12"/>
  <c r="G11" i="12"/>
  <c r="F9" i="12"/>
  <c r="H9" i="12" s="1"/>
  <c r="G10" i="12"/>
  <c r="L5" i="11"/>
  <c r="L6" i="11"/>
  <c r="L7" i="11"/>
  <c r="L8" i="11"/>
  <c r="N8" i="11" s="1"/>
  <c r="L9" i="11"/>
  <c r="N9" i="11" s="1"/>
  <c r="L10" i="11"/>
  <c r="L11" i="11"/>
  <c r="L12" i="11"/>
  <c r="L13" i="11"/>
  <c r="L14" i="11"/>
  <c r="L15" i="11"/>
  <c r="L16" i="11"/>
  <c r="N16" i="11" s="1"/>
  <c r="L17" i="11"/>
  <c r="L18" i="11"/>
  <c r="L19" i="11"/>
  <c r="L20" i="11"/>
  <c r="L21" i="11"/>
  <c r="L22" i="11"/>
  <c r="L23" i="11"/>
  <c r="L24" i="11"/>
  <c r="N24" i="11" s="1"/>
  <c r="L25" i="11"/>
  <c r="L26" i="11"/>
  <c r="L27" i="11"/>
  <c r="L28" i="11"/>
  <c r="L29" i="11"/>
  <c r="L30" i="11"/>
  <c r="L31" i="11"/>
  <c r="L32" i="11"/>
  <c r="L33" i="11"/>
  <c r="M5" i="11"/>
  <c r="M6" i="11"/>
  <c r="M7" i="11"/>
  <c r="M8" i="11"/>
  <c r="M9" i="11"/>
  <c r="M10" i="11"/>
  <c r="M11" i="11"/>
  <c r="M12" i="11"/>
  <c r="N12" i="11" s="1"/>
  <c r="M13" i="11"/>
  <c r="M14" i="11"/>
  <c r="M15" i="11"/>
  <c r="M16" i="11"/>
  <c r="M17" i="11"/>
  <c r="M18" i="11"/>
  <c r="M19" i="11"/>
  <c r="M20" i="11"/>
  <c r="M21" i="11"/>
  <c r="M22" i="11"/>
  <c r="M23" i="11"/>
  <c r="M24" i="11"/>
  <c r="M25" i="11"/>
  <c r="M26" i="11"/>
  <c r="M27" i="11"/>
  <c r="M28" i="11"/>
  <c r="M29" i="11"/>
  <c r="M30" i="11"/>
  <c r="M31" i="11"/>
  <c r="M32" i="11"/>
  <c r="M33" i="11"/>
  <c r="N6" i="11" l="1"/>
  <c r="N20" i="11"/>
  <c r="N11" i="11"/>
  <c r="N22" i="11"/>
  <c r="I14" i="12"/>
  <c r="I11" i="12"/>
  <c r="N21" i="11"/>
  <c r="N5" i="11"/>
  <c r="N28" i="11"/>
  <c r="N10" i="11"/>
  <c r="N33" i="11"/>
  <c r="N17" i="11"/>
  <c r="N31" i="11"/>
  <c r="N15" i="11"/>
  <c r="I13" i="12"/>
  <c r="N18" i="11"/>
  <c r="N19" i="11"/>
  <c r="N32" i="11"/>
  <c r="N25" i="11"/>
  <c r="N30" i="11"/>
  <c r="N14" i="11"/>
  <c r="N29" i="11"/>
  <c r="N13" i="11"/>
  <c r="N27" i="11"/>
  <c r="N26" i="11"/>
  <c r="N23" i="11"/>
  <c r="N7" i="11"/>
  <c r="M3" i="11"/>
  <c r="L3" i="11"/>
  <c r="I12" i="12"/>
  <c r="G9" i="12"/>
  <c r="I9" i="12" s="1"/>
  <c r="I10" i="12"/>
  <c r="N4" i="11"/>
  <c r="I28" i="12" l="1"/>
  <c r="B48" i="1" s="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3" i="11"/>
  <c r="B28" i="9"/>
  <c r="B14" i="9"/>
  <c r="C4" i="9"/>
  <c r="J10" i="9"/>
  <c r="K10" i="9" s="1"/>
  <c r="C10" i="9" s="1"/>
  <c r="J9" i="9"/>
  <c r="K9" i="9" s="1"/>
  <c r="C9" i="9" s="1"/>
  <c r="J8" i="9"/>
  <c r="K8" i="9" s="1"/>
  <c r="C8" i="9" s="1"/>
  <c r="J7" i="9"/>
  <c r="K7" i="9" s="1"/>
  <c r="C7" i="9" s="1"/>
  <c r="J6" i="9"/>
  <c r="K6" i="9" s="1"/>
  <c r="C6" i="9" s="1"/>
  <c r="J5" i="9"/>
  <c r="K5" i="9" s="1"/>
  <c r="C5" i="9" s="1"/>
  <c r="J4" i="9"/>
  <c r="K4" i="9" s="1"/>
  <c r="K3" i="9"/>
  <c r="C3" i="9" s="1"/>
  <c r="D20" i="9" l="1"/>
  <c r="D3" i="9"/>
  <c r="D6" i="9"/>
  <c r="D5" i="9"/>
  <c r="D10" i="9"/>
  <c r="D7" i="9"/>
  <c r="B11" i="10"/>
  <c r="B46" i="1" s="1"/>
  <c r="N3" i="11"/>
  <c r="N34" i="11" s="1"/>
  <c r="B47" i="1" s="1"/>
  <c r="D9" i="9"/>
  <c r="C19" i="9" s="1"/>
  <c r="D19" i="9" s="1"/>
  <c r="D8" i="9"/>
  <c r="D4" i="9"/>
  <c r="D28" i="9" l="1"/>
  <c r="B45" i="1" s="1"/>
  <c r="B50" i="1" s="1"/>
  <c r="B53" i="1" l="1"/>
  <c r="G32" i="1"/>
  <c r="G33" i="1"/>
  <c r="G34" i="1"/>
  <c r="G35" i="1"/>
  <c r="G36" i="1"/>
  <c r="G37" i="1"/>
  <c r="G38" i="1"/>
  <c r="G39" i="1"/>
  <c r="G31" i="1"/>
  <c r="D31" i="1"/>
  <c r="D32" i="1"/>
  <c r="D33" i="1"/>
  <c r="D34" i="1"/>
  <c r="D35" i="1"/>
  <c r="D36" i="1"/>
  <c r="D37" i="1"/>
  <c r="D38" i="1"/>
  <c r="D39" i="1"/>
  <c r="D30" i="1"/>
  <c r="G30" i="1"/>
  <c r="G27" i="1"/>
  <c r="G19" i="1"/>
  <c r="G20" i="1"/>
  <c r="G22" i="1"/>
  <c r="G24" i="1"/>
  <c r="G25" i="1"/>
  <c r="G21" i="1"/>
  <c r="G23" i="1"/>
  <c r="G26" i="1"/>
  <c r="G18" i="1"/>
  <c r="G40" i="1" l="1"/>
  <c r="G28" i="1"/>
  <c r="B2" i="1" l="1"/>
  <c r="B41" i="1" l="1"/>
  <c r="B43" i="1" s="1"/>
  <c r="B54" i="1" l="1"/>
  <c r="B57" i="1" s="1"/>
  <c r="B58" i="1" s="1"/>
  <c r="B61" i="1" s="1"/>
  <c r="B62" i="1" s="1"/>
  <c r="B7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<sst xmlns="http://schemas.openxmlformats.org/spreadsheetml/2006/main" count="1311" uniqueCount="503">
  <si>
    <t>No.</t>
  </si>
  <si>
    <t>Designación</t>
  </si>
  <si>
    <t>Cantidad</t>
  </si>
  <si>
    <t>Area - final</t>
  </si>
  <si>
    <t>Tipo</t>
  </si>
  <si>
    <t>Material</t>
  </si>
  <si>
    <t>AMARRES</t>
  </si>
  <si>
    <t>CRUDO PR ST</t>
  </si>
  <si>
    <t>BAÑO BASE</t>
  </si>
  <si>
    <t>MDF AR RH</t>
  </si>
  <si>
    <t>FLEXIBLE PV</t>
  </si>
  <si>
    <t>SEMI RIGIDO PV</t>
  </si>
  <si>
    <t>SEMI RIGIDO SC</t>
  </si>
  <si>
    <t>Cotizador Oficial ALL STAR</t>
  </si>
  <si>
    <t>Fecha :</t>
  </si>
  <si>
    <t xml:space="preserve">Area de Carpinteria </t>
  </si>
  <si>
    <t>Nombre :</t>
  </si>
  <si>
    <t>Materiales</t>
  </si>
  <si>
    <t>Tableros</t>
  </si>
  <si>
    <t>Formato</t>
  </si>
  <si>
    <t>Calibre</t>
  </si>
  <si>
    <t>Cantidad (#)</t>
  </si>
  <si>
    <t>Cantidad ajust (#)</t>
  </si>
  <si>
    <t>Precio Unidad</t>
  </si>
  <si>
    <t>Precio Total</t>
  </si>
  <si>
    <t>Armado</t>
  </si>
  <si>
    <t>Actividad</t>
  </si>
  <si>
    <t>ZURRÓN 3 CAJONES - UND</t>
  </si>
  <si>
    <t>ZURRÓN 1 CAJÓN - UND</t>
  </si>
  <si>
    <t>Total</t>
  </si>
  <si>
    <t>EMBISAGRADOR W - UND</t>
  </si>
  <si>
    <t>Tapacantos</t>
  </si>
  <si>
    <t>Ancho</t>
  </si>
  <si>
    <t>Cantidad (m)</t>
  </si>
  <si>
    <t>ENTREPAÑO EN L COC - MTL</t>
  </si>
  <si>
    <t>EMBISAGRADOR , DINTEL O BASE - UND</t>
  </si>
  <si>
    <t xml:space="preserve">Herrajes </t>
  </si>
  <si>
    <t>Proveedor</t>
  </si>
  <si>
    <t>ACCESORIO PERFIL CLICK 6014T 50MM. 1 SET</t>
  </si>
  <si>
    <t>ACCESORIO CIERRELENTO ZINC BRAZO N.1 UN</t>
  </si>
  <si>
    <t>Sub Total Material</t>
  </si>
  <si>
    <t>Insumos %</t>
  </si>
  <si>
    <t>Total Material</t>
  </si>
  <si>
    <t>Mano de obra directa</t>
  </si>
  <si>
    <t>Corte</t>
  </si>
  <si>
    <t>Enchape</t>
  </si>
  <si>
    <t>Mecanizado</t>
  </si>
  <si>
    <t>Empaque</t>
  </si>
  <si>
    <t>Total MOD</t>
  </si>
  <si>
    <t>Mano de obra Indirecto</t>
  </si>
  <si>
    <t>% de MOD</t>
  </si>
  <si>
    <t>Acumulado</t>
  </si>
  <si>
    <t>Admin Costos Fijos</t>
  </si>
  <si>
    <t>% Admin CF</t>
  </si>
  <si>
    <t>$ Admin CF</t>
  </si>
  <si>
    <t xml:space="preserve">Utilidad </t>
  </si>
  <si>
    <t xml:space="preserve">% Utilidad </t>
  </si>
  <si>
    <t xml:space="preserve">$ Utilidad </t>
  </si>
  <si>
    <t>Costos totales Sum</t>
  </si>
  <si>
    <t>Con Instalacion</t>
  </si>
  <si>
    <t>MOD</t>
  </si>
  <si>
    <t xml:space="preserve">%MOI </t>
  </si>
  <si>
    <t xml:space="preserve">$MOI </t>
  </si>
  <si>
    <t>MO Total</t>
  </si>
  <si>
    <t>C. Admin  %</t>
  </si>
  <si>
    <t>$ C. Admin</t>
  </si>
  <si>
    <t>Utilidad %</t>
  </si>
  <si>
    <t>Total Instalacion</t>
  </si>
  <si>
    <t>Total Costos con inst</t>
  </si>
  <si>
    <t xml:space="preserve">Costos de empaque por unidad de producto basado en el costo de un auxiliar de empaque. El costo del auxiliar que se presenta es de un turno (día) de 8 horas laboradas. </t>
  </si>
  <si>
    <t>Cantidad paquetes</t>
  </si>
  <si>
    <t>Nombre Producto</t>
  </si>
  <si>
    <t>Tiempo Estándar (s)</t>
  </si>
  <si>
    <t>Capacidad (unidad/hora)</t>
  </si>
  <si>
    <t>Costo por unidad (COP)</t>
  </si>
  <si>
    <t>Costos</t>
  </si>
  <si>
    <t>Armario</t>
  </si>
  <si>
    <t>AUXILIAR</t>
  </si>
  <si>
    <t>Cajonera</t>
  </si>
  <si>
    <t>Closet</t>
  </si>
  <si>
    <t>Vestier</t>
  </si>
  <si>
    <t>Mano de obra directo</t>
  </si>
  <si>
    <t>Mueble alto cocina</t>
  </si>
  <si>
    <t>Pieza</t>
  </si>
  <si>
    <t>Precio unidad</t>
  </si>
  <si>
    <t>Precio conjunto</t>
  </si>
  <si>
    <t>Mueble bajo cocina recto</t>
  </si>
  <si>
    <t xml:space="preserve">Mueble baño </t>
  </si>
  <si>
    <t>Referencia</t>
  </si>
  <si>
    <t>Sustrato</t>
  </si>
  <si>
    <t>Acadado</t>
  </si>
  <si>
    <t xml:space="preserve">Calibre </t>
  </si>
  <si>
    <t>Costo clientes antes de IVA</t>
  </si>
  <si>
    <t>ST</t>
  </si>
  <si>
    <t>No aplica</t>
  </si>
  <si>
    <t>CRUDO PR RH</t>
  </si>
  <si>
    <t>RH</t>
  </si>
  <si>
    <t>ARTICO PR ST</t>
  </si>
  <si>
    <t>Mate</t>
  </si>
  <si>
    <t>ARTICO PR RH</t>
  </si>
  <si>
    <t>MALI PR ST</t>
  </si>
  <si>
    <t>Poro</t>
  </si>
  <si>
    <t>MALI PR RH</t>
  </si>
  <si>
    <t>GLAZÉ PR ST</t>
  </si>
  <si>
    <t>GLAZÉ PR RH</t>
  </si>
  <si>
    <t>MADERADO PR ST</t>
  </si>
  <si>
    <t>Amaz/Luna/Terra/Poro/Mate</t>
  </si>
  <si>
    <t>MADERADO PR RH</t>
  </si>
  <si>
    <t xml:space="preserve"> UNICOLOR PR ST</t>
  </si>
  <si>
    <t xml:space="preserve"> UNICOLOR PR RH</t>
  </si>
  <si>
    <t>PRIMAFORZA PR ST</t>
  </si>
  <si>
    <t>PRIMAFORZA PR RH</t>
  </si>
  <si>
    <t xml:space="preserve">MDF AR ST </t>
  </si>
  <si>
    <t>Arauco</t>
  </si>
  <si>
    <t>MDF AR ST</t>
  </si>
  <si>
    <t>PVCantos</t>
  </si>
  <si>
    <t>RIGIDO PV</t>
  </si>
  <si>
    <t>FLEXIBLE IN</t>
  </si>
  <si>
    <t>INCAPLAS</t>
  </si>
  <si>
    <t>SEMI RIGIDO IN</t>
  </si>
  <si>
    <t>RIGIDO IN</t>
  </si>
  <si>
    <t>FLEXIBLE TE</t>
  </si>
  <si>
    <t>TECE</t>
  </si>
  <si>
    <t>RIGIDO TE</t>
  </si>
  <si>
    <t>FLEXIBLE SC</t>
  </si>
  <si>
    <t>SANTA CRUZ</t>
  </si>
  <si>
    <t>RIGIDO SC</t>
  </si>
  <si>
    <t>FLEXIBLE RE</t>
  </si>
  <si>
    <t>REHAU</t>
  </si>
  <si>
    <t>RIGIDO RE</t>
  </si>
  <si>
    <t>ACCES PERFIL CLICK 6017T/6020T 50 MM. 20 PAR</t>
  </si>
  <si>
    <t>GM</t>
  </si>
  <si>
    <t>BASURERO SENCILLO 9L.6 UN</t>
  </si>
  <si>
    <t>BASURERO*2 GAV SOFTCLOSING GRIS. 1 UN</t>
  </si>
  <si>
    <t>BASURERO*3 GAV SOFTCLOSING GRIS. 1 UN</t>
  </si>
  <si>
    <t>BISAGRA EMBEBIDA SOFT CLOSING.200 UN</t>
  </si>
  <si>
    <t>BISAGRA EMBEBIDA.200 UN</t>
  </si>
  <si>
    <t>BISAGRA OMEGA 4" Acero Inox.</t>
  </si>
  <si>
    <t>Madecentro - Bonuit</t>
  </si>
  <si>
    <t>Bisagra parche cierre lento 110° Acero Inox. 35mm x 11,8mm</t>
  </si>
  <si>
    <t>Bisagra parche cierre lento 165° Acero Inox. 35mm x 11,8mm</t>
  </si>
  <si>
    <t>Bisagra parche cierre lento 45° Acero Inox. 35mm x 11,8mm</t>
  </si>
  <si>
    <t>Bisagra parche cierre lento 90° Acero Inox. 35mm x 11,8mm</t>
  </si>
  <si>
    <t>Bisagra parche cierre lento 95° Acero Inox. 35mm x 11,8mm</t>
  </si>
  <si>
    <t>BISAGRA PARCHE NORMAL.200 UN</t>
  </si>
  <si>
    <t>BISAGRA PARCHE SOFTCLOSING.200 UN</t>
  </si>
  <si>
    <t xml:space="preserve">BISAGRA RESORTE 4" Acero Inox. </t>
  </si>
  <si>
    <t>Homecenter</t>
  </si>
  <si>
    <t>BISAGRA SEMIPARCHE NORMAL.200 UN</t>
  </si>
  <si>
    <t>BISAGRA SEMIPARCHE SOFTCLOSING.200 UN</t>
  </si>
  <si>
    <t>BOETELLO SENCILLO CIERRE NORMAL. 1 UN</t>
  </si>
  <si>
    <t>BOTELLERO LATERAL 2 NIV SOTF 95.5*473*502 DER.1 UN</t>
  </si>
  <si>
    <t>BOTELLERO LATERAL 2 NIV SOTF 95.5*473*502 IZQUI. 1 UN</t>
  </si>
  <si>
    <t>BRAZO ALPHA SOFT CLOSING. 10UN</t>
  </si>
  <si>
    <t>BRAZO DOBLEPUERTA PLEGADIZA 527*190*101.5 MEDIUM.5 UN</t>
  </si>
  <si>
    <t>BRAZO DOBLEPUERTA PLEGADIZA HEAVY - PESADO.5 UN</t>
  </si>
  <si>
    <t>BRAZO ELEVABLE SOFT CLOSING 4KG DERECHO.5 UN</t>
  </si>
  <si>
    <t>BRAZO ELEVABLE SOFT CLOSING 4KG IZQUIERDO.5 UN</t>
  </si>
  <si>
    <t>BRAZO ELEVABLE SOFT CLOSING 6KG DERECHO. 20 UN</t>
  </si>
  <si>
    <t>BRAZO ELEVABLE SOFT CLOSING 6KG IZQUIERDO. 20 UN</t>
  </si>
  <si>
    <t>BRAZO NEUMATICO 100N.100 UN</t>
  </si>
  <si>
    <t>BRAZO NEUMATICO 120N.100 UN</t>
  </si>
  <si>
    <t>BRAZO NEUMATICO 150 N.100 UN</t>
  </si>
  <si>
    <t>BRAZO NEUMATICO 50N.100 UN</t>
  </si>
  <si>
    <t>BRAZO NEUMATICO 60 N MINI.100 UN</t>
  </si>
  <si>
    <t>BRAZO NEUMATICO 60N.100 UN</t>
  </si>
  <si>
    <t>BRAZO NEUMATICO 80N.100 UN</t>
  </si>
  <si>
    <t>Brazo neumatico cierre lento 100nw Acero - plastico. 600mm altura</t>
  </si>
  <si>
    <t>Brazo neumatico cierre lento 120nw Acero - plastico. 600mm altura</t>
  </si>
  <si>
    <t>Brazo neumatico cierre lento 60nw Acero - plastico. 600mm altura</t>
  </si>
  <si>
    <t>Brazo neumatico cierre lento 80nw Acero - plastico. 600mm altura</t>
  </si>
  <si>
    <t>CANTONEIRA 50. 1SET</t>
  </si>
  <si>
    <t>CERRADURA COMB. 4 DIGITOS DERECHA. 64 UN</t>
  </si>
  <si>
    <t>CERRADURA COMB. 4 DIGITOS IZQUIERDA. 64 UN</t>
  </si>
  <si>
    <t>CERRADURA GAB. DIGITAL CON PANEL TACTIL. 1 UN</t>
  </si>
  <si>
    <t>CERRADURA NEGRA FL. 25 UN</t>
  </si>
  <si>
    <t>CERRADURA NEGRA ML. 12 UN</t>
  </si>
  <si>
    <t>CERRADURA ZIN ML. 12 UN</t>
  </si>
  <si>
    <t>CERRADURA ZINC FL. 25 UN</t>
  </si>
  <si>
    <t>Cinta led. 10w - calida. 5m</t>
  </si>
  <si>
    <t>CORRED. GABINETE 14 OVER SIN ALETA.20 JG</t>
  </si>
  <si>
    <t>CORRED.SOFT. INVISIBLE 350MM (14 ) 2D.15 JG</t>
  </si>
  <si>
    <t>CORRED.SOFT. INVISIBLE 350MM (14) 3D.10 JG</t>
  </si>
  <si>
    <t>CORRED.SOFT. INVISIBLE 400MM (14) 3D.10 JG</t>
  </si>
  <si>
    <t>CORRED.SOFT. INVISIBLE 450MM (14) 3D.10 JG</t>
  </si>
  <si>
    <t>CORRED.SOFT. INVISIBLE 500MM (14) 3D.10 JG</t>
  </si>
  <si>
    <t>CORRED.TELES. 250MM (10) 75 LB.15 JG</t>
  </si>
  <si>
    <t>CORRED.TELES. 300MM (12) 100 LB.15 JG</t>
  </si>
  <si>
    <t>CORRED.TELES. 300MM (12) 50 LB.20 JG</t>
  </si>
  <si>
    <t>CORRED.TELES. 300MM (14) 75 LB.15 JG</t>
  </si>
  <si>
    <t>CORRED.TELES. 350MM (14) 50 LB.20 JG</t>
  </si>
  <si>
    <t>CORRED.TELES. 350MM (14) 75 LB.15 JG</t>
  </si>
  <si>
    <t>CORRED.TELES. 350MM (16) 100 LB.15 JG</t>
  </si>
  <si>
    <t>CORRED.TELES. 400MM (16) 100 LB.15 JG</t>
  </si>
  <si>
    <t>CORRED.TELES. 400MM (16) 50 LB.20 JG</t>
  </si>
  <si>
    <t>CORRED.TELES. 400MM (16) 75 LB.15 JG</t>
  </si>
  <si>
    <t>CORRED.TELES. 450MM (18) 100 LB.15 JG</t>
  </si>
  <si>
    <t>CORRED.TELES. 450MM (18) 50 LB.20 JG</t>
  </si>
  <si>
    <t>CORRED.TELES. 450MM (18) 75 LB.15 JG</t>
  </si>
  <si>
    <t>CORRED.TELES. 500MM (20) 100 LB.15 JG</t>
  </si>
  <si>
    <t>CORRED.TELES. 500MM (20) 75 LB.15 JG</t>
  </si>
  <si>
    <t>CORRED.TELES. 550MM (22) 100 LB.15 JG</t>
  </si>
  <si>
    <t>CORRED.TELES. 600MM (24) 100 LB.15 JG</t>
  </si>
  <si>
    <t>CORRED.TELES. 650MM (26) 100 LB.15 JG</t>
  </si>
  <si>
    <t>CORRED.TELES. SOFT CLOSING 300MM (12).15 JG</t>
  </si>
  <si>
    <t>CORRED.TELES. SOFT CLOSING 350MM (14).15 JG</t>
  </si>
  <si>
    <t>CORRED.TELES. SOFT CLOSING 400MM (16).15 JG</t>
  </si>
  <si>
    <t>CORRED.TELES. SOFT CLOSING 450MM (18).15 JG</t>
  </si>
  <si>
    <t>CORRED.TELES. SOFT CLOSING 500MM (20).15 JG</t>
  </si>
  <si>
    <t>CORRED.TELES. TOUCH OPEN 300MM (12).15 JG</t>
  </si>
  <si>
    <t>CORRED.TELES. TOUCH OPEN 350MM (14).15 JG</t>
  </si>
  <si>
    <t>CORRED.TELES. TOUCH OPEN 400MM (16).15 JG</t>
  </si>
  <si>
    <t>CORRED.TELES. TOUCH OPEN 450MM (18).15 JG</t>
  </si>
  <si>
    <t>CORRED.TELES. TOUCH OPEN 500MM (20).15 JG</t>
  </si>
  <si>
    <t>Corredera lateral cierre lento ext. Acero Inox. 30cm</t>
  </si>
  <si>
    <t>Corredera lateral cierre lento ext. Acero Inox. 35cm</t>
  </si>
  <si>
    <t>Corredera lateral cierre lento ext. Acero Inox. 40cm</t>
  </si>
  <si>
    <t>Corredera lateral cierre lento ext. Acero Inox. 45cm</t>
  </si>
  <si>
    <t>Corredera lateral cierre lento ext. Acero Inox. 50cm</t>
  </si>
  <si>
    <t>Corredera lateral cierre lento ext. Acero Inox. 55cm</t>
  </si>
  <si>
    <t>Corredera oculta cierre lento ext. Acero Inox. 30cm</t>
  </si>
  <si>
    <t>Corredera oculta cierre lento ext. Acero Inox. 35cm</t>
  </si>
  <si>
    <t>Corredera oculta cierre lento ext. Acero Inox. 40cm</t>
  </si>
  <si>
    <t>Corredera oculta cierre lento ext. Acero Inox. 45cm</t>
  </si>
  <si>
    <t>Corredera oculta cierre lento ext. Acero Inox. 50cm</t>
  </si>
  <si>
    <t>Corredera oculta cierre lento ext. Acero Inox. 55cm</t>
  </si>
  <si>
    <t>CUBERTERO W420*H50*D473. 20 UN</t>
  </si>
  <si>
    <t>CUBERTERO W520*H50*D473. 20 UN</t>
  </si>
  <si>
    <t>CUBERTERO W620*H50*D473. 20 UN</t>
  </si>
  <si>
    <t>DESPENSA ABATIBLE SOFT *6 GRIS W40*D500*H1820. 1 UN</t>
  </si>
  <si>
    <t>DESPENSA EXTR. SOFT *5 GRIS W345*D490*H(1570-1870). 1 UN</t>
  </si>
  <si>
    <t>Empaque contrafuego</t>
  </si>
  <si>
    <t>Empaque Hafele Acustico. Rollo x 25m</t>
  </si>
  <si>
    <t>Hafele</t>
  </si>
  <si>
    <t>ESQUINA MAGICA DERECHA. 1 UN</t>
  </si>
  <si>
    <t>ESQUINA MAGICA IZQUIERDA. 1 UN</t>
  </si>
  <si>
    <t>Fuente de poder slim. 12v - 36w</t>
  </si>
  <si>
    <t>Ecolite</t>
  </si>
  <si>
    <t>Fuente de poder slim. 24v</t>
  </si>
  <si>
    <t>Fervicom</t>
  </si>
  <si>
    <t>GEMBOX H119 505MM GAL CUAD BLANCO + SIST DIVISION CAJON GEMBOX 04128 500 MM BLANCO. 6 UN</t>
  </si>
  <si>
    <t>GEMBOX H183 456MM GAL CUAD BLANCO + SIST DIVISION CAJON GEMBOX 04128 450 MM BLANCO. 6 UN</t>
  </si>
  <si>
    <t>GEMBOX H183 505MM GAL REDON GRIS OSC + SIST DIVISION CAJON GEMBOX 04128 500 MM BLANCO. 6 UN</t>
  </si>
  <si>
    <t>GEMBOX H183 507MM GAL CUAD BLANCO + SIST DIVISION CAJON GEMBOX 04128 500 MM BLANCO. 6 UN</t>
  </si>
  <si>
    <t>GEMBOX H68 350MM SIN GAL GRIS OSC. 6 UN</t>
  </si>
  <si>
    <t>GEMBOX H68 500MM SIN GAL BLANCO. 6 UN</t>
  </si>
  <si>
    <t>GEMBOX H68 500MM SIN GAL GRIS OSC. 6 UN</t>
  </si>
  <si>
    <t>INCERTO 13MM ROSCA M-6. 1 UN</t>
  </si>
  <si>
    <t>KIT CAVA 01.02.03 ANOD/JATO. 1KIT</t>
  </si>
  <si>
    <t>KIT ESCURREPLATOS DE 60 CM (GE). 1 UN</t>
  </si>
  <si>
    <t>KIT ESCURREPLATOS DE 70CM.1 UN</t>
  </si>
  <si>
    <t>KIT ESCURREPLATOS DE 80CM.1 UN</t>
  </si>
  <si>
    <t>MINI FIX ZINCADO (CAM+COMBI). 4000 UN</t>
  </si>
  <si>
    <t>Mirilla puerta. Acero Inox. 15cm</t>
  </si>
  <si>
    <t>OMEGABOX H151 351MM GRIS OSCURO. 5 UN</t>
  </si>
  <si>
    <t>OMEGABOX H151 451MM BLANCO.5 UN</t>
  </si>
  <si>
    <t>OMEGABOX H151 451MM GRIS OSCURO. 5 UN</t>
  </si>
  <si>
    <t>OMEGABOX H151 501MM BLANCO. 5 UN</t>
  </si>
  <si>
    <t>OMEGABOX H151 501MM GRIS OSCURO. 5 UN</t>
  </si>
  <si>
    <t>OMEGABOX H68 350MM BLANCO. 5 UN</t>
  </si>
  <si>
    <t>OMEGABOX H68 350MM GRIS OSCURO. 5 UN</t>
  </si>
  <si>
    <t>OMEGABOX H68 450MM GRIS OSCURO. 5 UN</t>
  </si>
  <si>
    <t>OMEGABOX H68 500MM BLANCO. 5 UN</t>
  </si>
  <si>
    <t>OMEGABOX H68 500MM GRIS OSCURO. 5 UN</t>
  </si>
  <si>
    <t>PEFIL PUX 4030T INOX ESCOVADO 3.0 MT 18MM. 10 UN</t>
  </si>
  <si>
    <t>PERFIL 1045 INOX ESCOVADO 3MT VIDRIO 4MM. 10 UN</t>
  </si>
  <si>
    <t>PERFIL 1045 JAT ANOD 3MT VIDRIO 4MM. 10 UN</t>
  </si>
  <si>
    <t>PERFIL CLICK PUX 6017T INOX ESCOVADO 18MM. 10 UN</t>
  </si>
  <si>
    <t>PERFIL CLICK PUX 6017T JAT ANOD 3.0 MT 18MM. 10 UN</t>
  </si>
  <si>
    <t>PERFIL CLOSET INF FORM 1052 JAT ANOD 3.0 MT. 10 UN</t>
  </si>
  <si>
    <t>PERFIL CLOSET INF Y SUP 1050 JAT ANOD 3.0 MT. 10 UN</t>
  </si>
  <si>
    <t>PERFIL CLOSET SUP FORM 1055 JAT ANOD 3.0 MT. 10 UN</t>
  </si>
  <si>
    <t>PERFIL CON CLICK 6014T JAT ANOD 3.0 MT 15MM. 10 UN</t>
  </si>
  <si>
    <t>PERFIL FORM 7007T JAT ANOD 3.0 MT 15MM. 10 UN</t>
  </si>
  <si>
    <t>PERFIL FORM 8007T JAT ANOD 3.0 MT 15MM. 10 UN</t>
  </si>
  <si>
    <t>PERFIL FUX 6003 JAT ANOD 2.65 MT 18MM. 10 UN</t>
  </si>
  <si>
    <t>PERFIL FUX 6003 JAT ANOD 2.70 MT 15MM. 10 UN</t>
  </si>
  <si>
    <t>Perfil led de incrustar con difusor Acero - plastico. 3m</t>
  </si>
  <si>
    <t>PERFIL LINEA FORM 2038 JAT ANOD 3.0 MT. 10 UN</t>
  </si>
  <si>
    <t>PERFIL PUX 2028 JAT ANOD 3.0 MT. 10 UN</t>
  </si>
  <si>
    <t>PERFIL PUX 3180T INOX ESCOVADO 3MT VIDRIO 4MM. 10 UN</t>
  </si>
  <si>
    <t>PERFIL PUX 3180T JAT ANOD 3MT VIDRIO 4MM. 10 UN</t>
  </si>
  <si>
    <t>PERFIL PUX 4030T JAT ANOD 3.0 MT 18MM. 10 UN</t>
  </si>
  <si>
    <t>PERFIL PUX 5013T INOX ESCOVADO 3.0 MT 18MM. 10 UN</t>
  </si>
  <si>
    <t>PERFIL PUX 5013T JAT ANOD 3.0 MT 18MM. 10 UN</t>
  </si>
  <si>
    <t>PERFIL PUX 5046T JAT ANOD 3.0 MT 15MM. 10 UN</t>
  </si>
  <si>
    <t>PERFIL PUX 6014T INOX ESCOVADO 3.0 MT 15MM. 10 UN</t>
  </si>
  <si>
    <t>PERFIL PUX AREZZO 1 MM NEGRO 3.0 MT. 10 UN</t>
  </si>
  <si>
    <t>PERFIL PUX AREZZO 18 MM BLANCO FOSCO 3.0 MT. 10 UN</t>
  </si>
  <si>
    <t>PERFIL PUX AREZZO 18MM GRAFITE 3.0 MT PLIBL. 10 UN</t>
  </si>
  <si>
    <t>PERFIL PUX AREZZO 18MM ROSE 30 MT PLIBL. 10 UN</t>
  </si>
  <si>
    <t>PERFIL PUX CAVA 02 INOX ESCOVADO 3.0 MT PLIBL. 10 UN</t>
  </si>
  <si>
    <t>PERFIL PUX CAVA 03 INOX ESCOVADO 3.0 MT PLIBL. 10 UN</t>
  </si>
  <si>
    <t>PERFIL PUX GRAZ JAT ANOD 3.0 MT (MANIJA). 5 UN</t>
  </si>
  <si>
    <t>PERFIL PUX STRETTO JAT ANOD 3.0 MT ( MANIJA). 5 UN</t>
  </si>
  <si>
    <t>PERFIL PUX STRETTO NEGRO 3.0 MT ( MANIJA). 5 UN</t>
  </si>
  <si>
    <t>PERFIL THIN 01 BRONZE (BRONCE) 1001 3.0 MT PLIBL. 10 UN</t>
  </si>
  <si>
    <t>PERFIL THIN 01 PRETO (NEGRO) 3.0 MT PLIBL. 10 UN</t>
  </si>
  <si>
    <t>PERFIL THIN 01 ROSE (ROSA) 3.0 MT PLIBL. 10 UN</t>
  </si>
  <si>
    <t>PERFIL THIN 02 BRONZE (BRONCE) 1001 3.0 MT PLIBL. 10 UN</t>
  </si>
  <si>
    <t>PERFIL THIN 02 PRETO (NEGRO) 3.0 MT PLIBL. 10 UN</t>
  </si>
  <si>
    <t>PUNTEIRA 12 LAT DIR E ESQ AREZZO 18MM GRAFITE. 20 PAR</t>
  </si>
  <si>
    <t>PUNTEIRA 12 LAT DIR E ESQ AREZZO 18MM ROSE. 20 PAR</t>
  </si>
  <si>
    <t>PUNTERA 07 5013 T ANOD (PR). 20 PAR</t>
  </si>
  <si>
    <t>PUNTERA 07 5013T INOX ESCOVADO (PR). 20 PAR</t>
  </si>
  <si>
    <t>PUNTERA 07 ANOD (PR). 20 PAR</t>
  </si>
  <si>
    <t>PUNTERA 10 5046T JAT ANOD. 20 PAR</t>
  </si>
  <si>
    <t>PUNTERA 11 6015T INOX ESC (PR). 20 PAR</t>
  </si>
  <si>
    <t>PUNTERA 11 LAT 15 MM ANOD (PR). 20 PAR</t>
  </si>
  <si>
    <t>PUNTERA 12 LAT DIR E ESQ AREZZO 18 MM ANOD (PR). 20 PAR</t>
  </si>
  <si>
    <t>PUNTERA 12 LAT DIR E ESQ AREZZO 18 MM BLANCA (PR). 20 PAR</t>
  </si>
  <si>
    <t>PUNTERA 12 LAT DIR E ESQ AREZZO 18 MM NEGRA (PR). 20 PAR</t>
  </si>
  <si>
    <t>PUNTERA 15 4030T ANOD (PR). 20 PAR</t>
  </si>
  <si>
    <t>PUNTERA 15 4030T INOX ESCOVADO (PR). 20 PAR</t>
  </si>
  <si>
    <t>PUNTERA 16 7007T ANODIZADO-PAR. 10 UN</t>
  </si>
  <si>
    <t>PUNTERA 17 GRAZ ANODIZADA. 20 UN</t>
  </si>
  <si>
    <t>PUNTERA 19 LAT STRETTO ANODIZADO. 20 UN</t>
  </si>
  <si>
    <t>PUNTERA 19 LAT STRETTO NEGRA. 20 UN</t>
  </si>
  <si>
    <t>PUNTERA 26 4023 INOX ESCOVADO (PR). 20 PAR</t>
  </si>
  <si>
    <t>PUNTERA 26 4023 JAT ANOD (PR). 20 PAR</t>
  </si>
  <si>
    <t>PUNTERA 42 8007T INOX ESCOVADO. 10 UN</t>
  </si>
  <si>
    <t>SIST DIVISION CAJON GEMBOX 04128 450 MM BLANCO. 1 UN</t>
  </si>
  <si>
    <t>SIST DIVISION CAJON GEMBOX 04128 500 MM BLANCO. 1 UN</t>
  </si>
  <si>
    <t>SIST DIVISION CAJON GEMBOX 04196 500 MM GRIS OSCUR. 1 UN</t>
  </si>
  <si>
    <t>SISTEMA AL32 (1 PUERTA). 50UN</t>
  </si>
  <si>
    <t>SISTEMA AL36 SOFT CLSOING (CLOSET SIMPLE). 30UN</t>
  </si>
  <si>
    <t>SISTEMA AL37 SOFT CLSOING (CLOSET SIMPLE). 20UN</t>
  </si>
  <si>
    <t>SISTEMA AL58 CON GUIA AUTO AJUSTABLE GA06. 50UN</t>
  </si>
  <si>
    <t>SISTEMA CAJON INTERNO H68 350MM BLANCO. 6 UN</t>
  </si>
  <si>
    <t>SISTEMA CAJON INTERNO H68 350MM GRIS. 6 UN</t>
  </si>
  <si>
    <t>SISTEMA CAJON INTERNO H68 450MM BLANCO. 6 UN</t>
  </si>
  <si>
    <t>SISTEMA CAJON INTERNO H68 450MM GRIS. 6 UN</t>
  </si>
  <si>
    <t>SISTEMA CAJON INTERNO H68 500MM GRIS. 6 UN</t>
  </si>
  <si>
    <t>SOPORTE DE FIJACIÓN 90º THIN. 10 UN</t>
  </si>
  <si>
    <t>SOPORTE DE FIJACIÓN THIN. 10 UN</t>
  </si>
  <si>
    <t>SOPORTE DE TECHO THIN. 10 UN</t>
  </si>
  <si>
    <t>SOPORTE EN ZAMAC PARA TUBO METALICO DE 15MM. 2000 UN</t>
  </si>
  <si>
    <t>SOPORTE ENTREPAÑO TRANSPARENTE. 1000 UN</t>
  </si>
  <si>
    <t>TAPA MINI FIX ZINCADO EUROPA CAFÉ. 1000 UN</t>
  </si>
  <si>
    <t>TAPA MINI FIX ZINCADO USA BLANCO. 1000 UN</t>
  </si>
  <si>
    <t>TAPA MINI FIX ZINCADO USA GRIS CLARO. 1000 UN</t>
  </si>
  <si>
    <t>TRAMPA DOBLE PUNTO. 100 SET</t>
  </si>
  <si>
    <t>TUBO OVALADO 3MTS. 10 UN</t>
  </si>
  <si>
    <t>TUBO TECHO BRONZE (BRONCE) 35MM THIN. 10 UN</t>
  </si>
  <si>
    <t>TUBO TECHO NEGRO 35MM THIN. 10 UN</t>
  </si>
  <si>
    <t>TUBO TECHO ROSE (ROSA) 35MM THIN. 10 UN</t>
  </si>
  <si>
    <t>VARILLA CON ACCESORIOS 1200 MM FL PIN 8. 100 SET</t>
  </si>
  <si>
    <t>VARILLA CON ACCESORIOS 600MM ML. 120 SET</t>
  </si>
  <si>
    <t>VARILLA CON ACCESORIOS 600MM PIN 13. 100 SET</t>
  </si>
  <si>
    <t>VARILLA CON ACCESORIOS 600MM PIN 8. 100 SET</t>
  </si>
  <si>
    <t>VERTEBRA CUBRECABLE GRIS PLATA. 25 UN</t>
  </si>
  <si>
    <t>VERTEBRA CUBRECABLE NEGRA 75 CM. 25UN</t>
  </si>
  <si>
    <t>Informacion Estandar</t>
  </si>
  <si>
    <t>CAPACIDAD X DIA</t>
  </si>
  <si>
    <t>OPERARIO</t>
  </si>
  <si>
    <t>TOTAL</t>
  </si>
  <si>
    <t>Costo Unidad</t>
  </si>
  <si>
    <t>Costo total</t>
  </si>
  <si>
    <t>CAPACIDAD X DIA (m)</t>
  </si>
  <si>
    <t>Operario</t>
  </si>
  <si>
    <t>PRECIO OPERACIÓN</t>
  </si>
  <si>
    <t>PIEZA</t>
  </si>
  <si>
    <t>Largo</t>
  </si>
  <si>
    <t xml:space="preserve">perforaciones </t>
  </si>
  <si>
    <t xml:space="preserve">fresados </t>
  </si>
  <si>
    <t xml:space="preserve">canal </t>
  </si>
  <si>
    <t>caja bisagra</t>
  </si>
  <si>
    <t>Dilatacion</t>
  </si>
  <si>
    <t>Precio  por pieza</t>
  </si>
  <si>
    <t xml:space="preserve">BAÑO COSTADO </t>
  </si>
  <si>
    <t>BAÑO DINTEL</t>
  </si>
  <si>
    <t xml:space="preserve">BAÑO DIVISIÓN VERTICAL </t>
  </si>
  <si>
    <t>BAÑO EMBISAGRADOR</t>
  </si>
  <si>
    <t>BASE CAMPANA MAC C/E</t>
  </si>
  <si>
    <t>BASE CAMPANA MAC S/E</t>
  </si>
  <si>
    <t>BASE MAC C/E</t>
  </si>
  <si>
    <t>BASE MAC S/E</t>
  </si>
  <si>
    <t>BASE MBC CON HORNO</t>
  </si>
  <si>
    <t>BASE MBC SIN HORNO</t>
  </si>
  <si>
    <t>CABEZAL</t>
  </si>
  <si>
    <t>CACHETERO</t>
  </si>
  <si>
    <t>COSTADO CAJON</t>
  </si>
  <si>
    <t>COSTADO CAJONERA</t>
  </si>
  <si>
    <t>COSTADO RETROCEDIDO</t>
  </si>
  <si>
    <t>COSTADO VISTO</t>
  </si>
  <si>
    <t>COSTADO MAC C/E</t>
  </si>
  <si>
    <t>COSTADO MAC S/E</t>
  </si>
  <si>
    <t>COSTADO MBC</t>
  </si>
  <si>
    <t>COSTADO MUEBLE</t>
  </si>
  <si>
    <t>COSTADO MUEBLE 1Un.</t>
  </si>
  <si>
    <t>CUCHILLAS</t>
  </si>
  <si>
    <t>DILATADOR</t>
  </si>
  <si>
    <t>DINTEL y/o BASE HORIZONTAL</t>
  </si>
  <si>
    <t>DINTEL y/o BASE VERTICAL</t>
  </si>
  <si>
    <t>DIVISION CAJONERA</t>
  </si>
  <si>
    <t>DIVISION MAC C/E</t>
  </si>
  <si>
    <t>DIVISION MAC S/E</t>
  </si>
  <si>
    <t>DIVISIÓN MBC</t>
  </si>
  <si>
    <t>DIVISION MUEBLE</t>
  </si>
  <si>
    <t>EMBISAGRADOR 18mm</t>
  </si>
  <si>
    <t>EMBISAGRADOR 36mm</t>
  </si>
  <si>
    <t>EMBISAGRADOR MAC Y MBC</t>
  </si>
  <si>
    <t>EMBISAGRADOR W</t>
  </si>
  <si>
    <t>ENTREPAÑO CON REFUERZO</t>
  </si>
  <si>
    <t>ENTREPAÑO CON SOPORTE</t>
  </si>
  <si>
    <t>ENTREPAÑO ENTAMBORADO</t>
  </si>
  <si>
    <t>ENTREPAÑO ESQUINERO</t>
  </si>
  <si>
    <t>ENTREPAÑO FIJO MAC</t>
  </si>
  <si>
    <t>ENTREPAÑO MOVIL MAC</t>
  </si>
  <si>
    <t>ENTREPAÑO SIN REFUERZO</t>
  </si>
  <si>
    <t>ENTREPAÑO SOLIDO</t>
  </si>
  <si>
    <t>ESPALDAR</t>
  </si>
  <si>
    <t>ESPALDAR VISTO</t>
  </si>
  <si>
    <t>FONDO DE CAJON</t>
  </si>
  <si>
    <t>FRENTE CAJON</t>
  </si>
  <si>
    <t>FRENTE CAJON 30°</t>
  </si>
  <si>
    <t>FRENTE CONDIMENTERO</t>
  </si>
  <si>
    <t>FRENTE FIJO</t>
  </si>
  <si>
    <t>FRENTERO</t>
  </si>
  <si>
    <t>GUARDAESCOBAS 1 CANTO</t>
  </si>
  <si>
    <t>GUARDAESCOBAS 2 CANTOS</t>
  </si>
  <si>
    <t>LARGUERO</t>
  </si>
  <si>
    <t>MALETERO CON REFUERZO</t>
  </si>
  <si>
    <t>MALETERO SIN REFUERZO</t>
  </si>
  <si>
    <t>MALETERO SOLIDO</t>
  </si>
  <si>
    <t>PUENTES</t>
  </si>
  <si>
    <t>PUERTA</t>
  </si>
  <si>
    <t>PUERTA 30°</t>
  </si>
  <si>
    <t>PUERTA CORREDERA</t>
  </si>
  <si>
    <t>PUERTA CORREDERA 1 ENSAMBLE</t>
  </si>
  <si>
    <t>PUERTA CORREDERA 2 DILA</t>
  </si>
  <si>
    <t>PUERTA CORREDERA 2 ENSAMBLE</t>
  </si>
  <si>
    <t>PUERTA CORREDERA 3 DILA</t>
  </si>
  <si>
    <t>PUERTA CORREDERA 4 DILA</t>
  </si>
  <si>
    <t>PUERTA EMBISAGRADA</t>
  </si>
  <si>
    <t>PUERTA EMBISAGRADA 1 ENSAMBLE</t>
  </si>
  <si>
    <t>PUERTA EMBISAGRADA 2 DILA</t>
  </si>
  <si>
    <t>PUERTA EMBISAGRADA 2 ENSAMBLE</t>
  </si>
  <si>
    <t>PUERTA EMBISAGRADA 3 DILA</t>
  </si>
  <si>
    <t>PUERTA EMBISAGRADA 4 DILA</t>
  </si>
  <si>
    <t>REFUERZO</t>
  </si>
  <si>
    <t>REFUERZO VERTICAL</t>
  </si>
  <si>
    <t>SOPORTE HORNO</t>
  </si>
  <si>
    <t>TAPA BASE MUEBLE</t>
  </si>
  <si>
    <t>TAPA CAJONERA</t>
  </si>
  <si>
    <t>TAPA MAC C/E</t>
  </si>
  <si>
    <t>TAPA MAC S/E</t>
  </si>
  <si>
    <t>TAPA RIEL</t>
  </si>
  <si>
    <t>TESTERO</t>
  </si>
  <si>
    <t>TRAVESAÑO</t>
  </si>
  <si>
    <t>ZÓCALO</t>
  </si>
  <si>
    <t>ACTIVIDAD</t>
  </si>
  <si>
    <t>PRECIO</t>
  </si>
  <si>
    <t>UNIDAD</t>
  </si>
  <si>
    <t>ENCHAPE FORMICA O CHAPILLA - M2</t>
  </si>
  <si>
    <t>M2</t>
  </si>
  <si>
    <t>MUEBLE ALTO COC. - MTL</t>
  </si>
  <si>
    <t>MTL</t>
  </si>
  <si>
    <t>UND</t>
  </si>
  <si>
    <t>BASE ENSAMBLADA - UND</t>
  </si>
  <si>
    <t>PUERTA O FRENTE MANIJA  CORRIDA - UND</t>
  </si>
  <si>
    <t>PUERTA O FRENTE MANIJA  CORRIDA + PERFIL ALUMINIO - UND</t>
  </si>
  <si>
    <t>Precio final</t>
  </si>
  <si>
    <t>ZURRÓN 2 CAJONES - UND</t>
  </si>
  <si>
    <t>ZURRÓN 4 CAJONES - UND</t>
  </si>
  <si>
    <t>ZURRÓN 5 CAJONES - UND</t>
  </si>
  <si>
    <t>ZURRÓN 6 CAJONES - UND</t>
  </si>
  <si>
    <t>ENTREPAÑO 0 - 600 mm - UND</t>
  </si>
  <si>
    <t>ENTREPAÑO 600 - 1200 mm - UND</t>
  </si>
  <si>
    <t>ENTREPAÑO 1200 EN ADELANTE - UND</t>
  </si>
  <si>
    <t>ENTREPAÑO ENTAMBORADO OMBLIGO - UND</t>
  </si>
  <si>
    <t>REENGRUESE TAPAS O COSTADOS - UND</t>
  </si>
  <si>
    <t>CASILLERO SIN PUERTA- M2</t>
  </si>
  <si>
    <t>CASILLERO CON PUERTA- M2</t>
  </si>
  <si>
    <t>BAÑO ESPALDAR Y CAJÓN - UND</t>
  </si>
  <si>
    <t>BAÑO SIN ESPALDAR Y SIN CAJÓN - UND</t>
  </si>
  <si>
    <t>BAÑO CON ESPALDAR Y SIN CAJÓN - UND</t>
  </si>
  <si>
    <t>BAÑO SIN ESPALDAR Y CON CAJÓN - UND</t>
  </si>
  <si>
    <t>BAÑO ESPECIAL CURVO - UND</t>
  </si>
  <si>
    <t>BAÑO ESPECIAL RECTO - UND</t>
  </si>
  <si>
    <t>CUBO 1 CAJÓN</t>
  </si>
  <si>
    <t>CUBO SIN CAJÓN</t>
  </si>
  <si>
    <t>PUERTA ENTAMB. BATIENTE - UND</t>
  </si>
  <si>
    <t>PUERTA ENTAMB. CON MIRILLA O PERSIANA - UND</t>
  </si>
  <si>
    <t>PUERTA SÓLIDA ENSAMBLADA 1 UNIÓN - UND</t>
  </si>
  <si>
    <t>PUERTA SÓLIDA ENSAMBLADA 2 UNIONES - UND</t>
  </si>
  <si>
    <t>MARCO DILATADO CON CABEZAL Y BATIENTE REFILADA - UND</t>
  </si>
  <si>
    <t>MARCO NO DILATADO CON CABEZAL Y BATIENTE REFILADA - UND</t>
  </si>
  <si>
    <t>MARCO DILATADO CON CABEZAL Y BATIENTE CENTRADA - UND</t>
  </si>
  <si>
    <t>MARCO NO DILATADO CON CABEZAL Y BATIENTE CENTRADA - UND</t>
  </si>
  <si>
    <t>MARCO DILATADO SIN CABEZAL Y BATIENTE REFILADA - UND</t>
  </si>
  <si>
    <t>MARCO NO DILATADO SIN CABEZAL Y BATIENTE REFILADA- UND</t>
  </si>
  <si>
    <t>MARCO DILATADO SIN CABEZAL Y BATIENTE CENTRADA - UND</t>
  </si>
  <si>
    <t>MARCO NO DILATADO SIN CABEZAL Y BATIENTE CENTRADA - UND</t>
  </si>
  <si>
    <t>PERSIANA MELAMINICO</t>
  </si>
  <si>
    <t>STD</t>
  </si>
  <si>
    <t xml:space="preserve"> </t>
  </si>
  <si>
    <t>Espesor</t>
  </si>
  <si>
    <t>A1</t>
  </si>
  <si>
    <t>A2</t>
  </si>
  <si>
    <t>L1</t>
  </si>
  <si>
    <t>L2</t>
  </si>
  <si>
    <t>Texturizado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</si>
</sst>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&quot;$&quot;\ * #,##0.00_-;\-&quot;$&quot;\ * #,##0.00_-;_-&quot;$&quot;\ * &quot;-&quot;??_-;_-@_-"/>
    <numFmt numFmtId="164" formatCode="_-* #,##0.00\ &quot;€&quot;_-;\-* #,##0.00\ &quot;€&quot;_-;_-* &quot;-&quot;??\ &quot;€&quot;_-;_-@_-"/>
    <numFmt numFmtId="165" formatCode="_ &quot;$&quot;* #,##0.00_ ;_ &quot;$&quot;* \-#,##0.00_ ;_ &quot;$&quot;* &quot;-&quot;??_ ;_ @_ "/>
    <numFmt numFmtId="166" formatCode="_-&quot;$&quot;\ * #,##0_-;\-&quot;$&quot;\ * #,##0_-;_-&quot;$&quot;\ * &quot;-&quot;??_-;_-@_-"/>
    <numFmt numFmtId="167" formatCode="_(&quot;$&quot;\ * #,##0.00_);_(&quot;$&quot;\ * \(#,##0.00\);_(&quot;$&quot;\ * &quot;-&quot;??_);_(@_)"/>
    <numFmt numFmtId="168" formatCode="_(&quot;$&quot;\ * #,##0_);_(&quot;$&quot;\ * \(#,##0\);_(&quot;$&quot;\ * &quot;-&quot;??_);_(@_)"/>
    <numFmt numFmtId="169" formatCode="_-[$$-409]* #,##0.00_ ;_-[$$-409]* \-#,##0.00\ ;_-[$$-409]* &quot;-&quot;??_ ;_-@_ "/>
  </numFmts>
  <fonts count="16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b/>
      <sz val="14"/>
      <color rgb="FF122337"/>
      <name val="Aptos Narrow"/>
      <family val="2"/>
      <scheme val="minor"/>
    </font>
    <font>
      <sz val="11"/>
      <color rgb="FF122337"/>
      <name val="Aptos Narrow"/>
      <family val="2"/>
      <scheme val="minor"/>
    </font>
    <font>
      <b/>
      <sz val="14"/>
      <color rgb="FFF6F5F0"/>
      <name val="Aptos Narrow"/>
      <family val="2"/>
      <scheme val="minor"/>
    </font>
    <font>
      <sz val="11"/>
      <color rgb="FFF6F5F0"/>
      <name val="Aptos Narrow"/>
      <family val="2"/>
      <scheme val="minor"/>
    </font>
    <font>
      <b/>
      <sz val="11"/>
      <color rgb="FFF6F5F0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0"/>
      <name val="Arial"/>
      <family val="2"/>
    </font>
    <font>
      <sz val="10"/>
      <name val="Calibri Light"/>
      <family val="2"/>
    </font>
    <font>
      <sz val="10"/>
      <color theme="1"/>
      <name val="Calibri Light"/>
      <family val="2"/>
    </font>
    <font>
      <b/>
      <sz val="12"/>
      <color indexed="8"/>
      <name val="Arial"/>
      <family val="2"/>
    </font>
    <font>
      <sz val="9"/>
      <color indexed="8"/>
      <name val="Calibri Light"/>
      <family val="2"/>
    </font>
    <font>
      <sz val="9"/>
      <name val="Arial"/>
      <family val="2"/>
    </font>
    <font>
      <b/>
      <sz val="11"/>
      <color rgb="FF000000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C7664C"/>
        <bgColor indexed="64"/>
      </patternFill>
    </fill>
    <fill>
      <patternFill patternType="solid">
        <fgColor rgb="FF122337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B6955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 style="thin">
        <color indexed="64"/>
      </left>
      <right/>
      <top/>
      <bottom/>
      <diagonal/>
    </border>
  </borders>
  <cellStyleXfs count="14">
    <xf numFmtId="0" fontId="0" fillId="0" borderId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165" fontId="7" fillId="0" borderId="0" applyFont="0" applyFill="0" applyBorder="0" applyAlignment="0" applyProtection="0"/>
    <xf numFmtId="0" fontId="9" fillId="0" borderId="0"/>
    <xf numFmtId="164" fontId="9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9" fillId="0" borderId="0"/>
    <xf numFmtId="0" fontId="7" fillId="0" borderId="0"/>
    <xf numFmtId="0" fontId="9" fillId="0" borderId="0"/>
    <xf numFmtId="167" fontId="9" fillId="0" borderId="0" applyFont="0" applyFill="0" applyBorder="0" applyAlignment="0" applyProtection="0"/>
  </cellStyleXfs>
  <cellXfs count="142">
    <xf numFmtId="0" fontId="0" fillId="0" borderId="0" xfId="0"/>
    <xf numFmtId="0" fontId="1" fillId="0" borderId="0" xfId="0" applyFont="1"/>
    <xf numFmtId="0" fontId="0" fillId="0" borderId="1" xfId="0" applyBorder="1"/>
    <xf numFmtId="0" fontId="8" fillId="0" borderId="2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44" fontId="0" fillId="0" borderId="7" xfId="1" applyFont="1" applyBorder="1"/>
    <xf numFmtId="44" fontId="0" fillId="0" borderId="9" xfId="1" applyFont="1" applyBorder="1"/>
    <xf numFmtId="0" fontId="0" fillId="0" borderId="10" xfId="0" applyBorder="1"/>
    <xf numFmtId="44" fontId="0" fillId="0" borderId="11" xfId="1" applyFont="1" applyBorder="1"/>
    <xf numFmtId="44" fontId="0" fillId="0" borderId="13" xfId="1" applyFont="1" applyBorder="1"/>
    <xf numFmtId="0" fontId="0" fillId="0" borderId="5" xfId="0" applyBorder="1" applyAlignment="1">
      <alignment wrapText="1"/>
    </xf>
    <xf numFmtId="0" fontId="0" fillId="0" borderId="14" xfId="0" applyBorder="1"/>
    <xf numFmtId="0" fontId="0" fillId="0" borderId="15" xfId="0" applyBorder="1"/>
    <xf numFmtId="44" fontId="0" fillId="0" borderId="16" xfId="1" applyFont="1" applyBorder="1"/>
    <xf numFmtId="0" fontId="0" fillId="3" borderId="0" xfId="0" applyFill="1"/>
    <xf numFmtId="0" fontId="3" fillId="3" borderId="0" xfId="0" applyFont="1" applyFill="1"/>
    <xf numFmtId="0" fontId="6" fillId="3" borderId="0" xfId="0" applyFont="1" applyFill="1"/>
    <xf numFmtId="0" fontId="0" fillId="0" borderId="1" xfId="0" applyBorder="1" applyAlignment="1">
      <alignment vertical="center"/>
    </xf>
    <xf numFmtId="0" fontId="8" fillId="0" borderId="1" xfId="0" applyFont="1" applyBorder="1" applyAlignment="1">
      <alignment horizontal="center" vertical="center"/>
    </xf>
    <xf numFmtId="44" fontId="0" fillId="0" borderId="1" xfId="7" applyFont="1" applyBorder="1"/>
    <xf numFmtId="0" fontId="0" fillId="0" borderId="1" xfId="0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12" xfId="0" applyBorder="1"/>
    <xf numFmtId="44" fontId="0" fillId="0" borderId="1" xfId="2" applyFont="1" applyBorder="1"/>
    <xf numFmtId="44" fontId="0" fillId="0" borderId="12" xfId="2" applyFont="1" applyBorder="1"/>
    <xf numFmtId="44" fontId="0" fillId="0" borderId="1" xfId="2" applyFont="1" applyBorder="1" applyAlignment="1">
      <alignment horizontal="center"/>
    </xf>
    <xf numFmtId="44" fontId="0" fillId="0" borderId="1" xfId="0" applyNumberFormat="1" applyBorder="1" applyAlignment="1">
      <alignment horizontal="center"/>
    </xf>
    <xf numFmtId="0" fontId="8" fillId="0" borderId="1" xfId="0" applyFont="1" applyBorder="1"/>
    <xf numFmtId="44" fontId="0" fillId="0" borderId="1" xfId="0" applyNumberFormat="1" applyBorder="1"/>
    <xf numFmtId="44" fontId="0" fillId="0" borderId="0" xfId="0" applyNumberFormat="1"/>
    <xf numFmtId="2" fontId="0" fillId="0" borderId="0" xfId="0" applyNumberFormat="1"/>
    <xf numFmtId="165" fontId="0" fillId="0" borderId="0" xfId="4" applyFont="1"/>
    <xf numFmtId="165" fontId="0" fillId="0" borderId="0" xfId="0" applyNumberFormat="1"/>
    <xf numFmtId="44" fontId="0" fillId="0" borderId="0" xfId="2" applyFont="1"/>
    <xf numFmtId="0" fontId="11" fillId="4" borderId="5" xfId="11" applyFont="1" applyFill="1" applyBorder="1"/>
    <xf numFmtId="0" fontId="11" fillId="4" borderId="6" xfId="11" applyFont="1" applyFill="1" applyBorder="1" applyAlignment="1">
      <alignment horizontal="center" wrapText="1"/>
    </xf>
    <xf numFmtId="0" fontId="10" fillId="4" borderId="6" xfId="0" applyFont="1" applyFill="1" applyBorder="1" applyAlignment="1">
      <alignment horizontal="center" wrapText="1"/>
    </xf>
    <xf numFmtId="0" fontId="11" fillId="5" borderId="8" xfId="10" applyFont="1" applyFill="1" applyBorder="1"/>
    <xf numFmtId="0" fontId="11" fillId="5" borderId="1" xfId="11" applyFont="1" applyFill="1" applyBorder="1"/>
    <xf numFmtId="0" fontId="10" fillId="5" borderId="1" xfId="0" applyFont="1" applyFill="1" applyBorder="1"/>
    <xf numFmtId="0" fontId="11" fillId="5" borderId="1" xfId="11" applyFont="1" applyFill="1" applyBorder="1" applyProtection="1">
      <protection locked="0"/>
    </xf>
    <xf numFmtId="0" fontId="11" fillId="5" borderId="8" xfId="11" applyFont="1" applyFill="1" applyBorder="1" applyProtection="1">
      <protection locked="0"/>
    </xf>
    <xf numFmtId="0" fontId="11" fillId="5" borderId="8" xfId="11" applyFont="1" applyFill="1" applyBorder="1"/>
    <xf numFmtId="0" fontId="10" fillId="5" borderId="8" xfId="10" applyFont="1" applyFill="1" applyBorder="1"/>
    <xf numFmtId="0" fontId="11" fillId="6" borderId="1" xfId="11" applyFont="1" applyFill="1" applyBorder="1" applyProtection="1">
      <protection locked="0"/>
    </xf>
    <xf numFmtId="0" fontId="11" fillId="7" borderId="8" xfId="11" applyFont="1" applyFill="1" applyBorder="1"/>
    <xf numFmtId="0" fontId="11" fillId="7" borderId="1" xfId="11" applyFont="1" applyFill="1" applyBorder="1"/>
    <xf numFmtId="0" fontId="11" fillId="5" borderId="8" xfId="10" applyFont="1" applyFill="1" applyBorder="1" applyProtection="1">
      <protection locked="0"/>
    </xf>
    <xf numFmtId="0" fontId="10" fillId="5" borderId="1" xfId="0" applyFont="1" applyFill="1" applyBorder="1" applyProtection="1">
      <protection locked="0"/>
    </xf>
    <xf numFmtId="0" fontId="10" fillId="5" borderId="8" xfId="11" applyFont="1" applyFill="1" applyBorder="1"/>
    <xf numFmtId="0" fontId="11" fillId="5" borderId="20" xfId="10" applyFont="1" applyFill="1" applyBorder="1"/>
    <xf numFmtId="0" fontId="11" fillId="5" borderId="12" xfId="11" applyFont="1" applyFill="1" applyBorder="1"/>
    <xf numFmtId="0" fontId="11" fillId="5" borderId="21" xfId="10" applyFont="1" applyFill="1" applyBorder="1"/>
    <xf numFmtId="0" fontId="11" fillId="5" borderId="10" xfId="11" applyFont="1" applyFill="1" applyBorder="1"/>
    <xf numFmtId="0" fontId="11" fillId="5" borderId="22" xfId="11" applyFont="1" applyFill="1" applyBorder="1"/>
    <xf numFmtId="0" fontId="10" fillId="8" borderId="8" xfId="10" applyFont="1" applyFill="1" applyBorder="1"/>
    <xf numFmtId="0" fontId="11" fillId="8" borderId="1" xfId="11" applyFont="1" applyFill="1" applyBorder="1" applyProtection="1">
      <protection locked="0"/>
    </xf>
    <xf numFmtId="166" fontId="11" fillId="8" borderId="1" xfId="9" applyNumberFormat="1" applyFont="1" applyFill="1" applyBorder="1" applyProtection="1">
      <protection locked="0"/>
    </xf>
    <xf numFmtId="166" fontId="11" fillId="8" borderId="17" xfId="9" applyNumberFormat="1" applyFont="1" applyFill="1" applyBorder="1"/>
    <xf numFmtId="0" fontId="11" fillId="4" borderId="23" xfId="11" applyFont="1" applyFill="1" applyBorder="1" applyAlignment="1">
      <alignment horizontal="center" wrapText="1"/>
    </xf>
    <xf numFmtId="0" fontId="11" fillId="5" borderId="17" xfId="11" applyFont="1" applyFill="1" applyBorder="1"/>
    <xf numFmtId="0" fontId="11" fillId="5" borderId="17" xfId="11" applyFont="1" applyFill="1" applyBorder="1" applyProtection="1">
      <protection locked="0"/>
    </xf>
    <xf numFmtId="0" fontId="11" fillId="7" borderId="17" xfId="11" applyFont="1" applyFill="1" applyBorder="1"/>
    <xf numFmtId="0" fontId="11" fillId="5" borderId="24" xfId="11" applyFont="1" applyFill="1" applyBorder="1"/>
    <xf numFmtId="0" fontId="11" fillId="5" borderId="25" xfId="11" applyFont="1" applyFill="1" applyBorder="1"/>
    <xf numFmtId="0" fontId="10" fillId="4" borderId="1" xfId="0" applyFont="1" applyFill="1" applyBorder="1" applyAlignment="1">
      <alignment horizontal="center" wrapText="1"/>
    </xf>
    <xf numFmtId="166" fontId="0" fillId="0" borderId="1" xfId="0" applyNumberFormat="1" applyBorder="1"/>
    <xf numFmtId="0" fontId="12" fillId="0" borderId="5" xfId="10" applyFont="1" applyBorder="1" applyAlignment="1">
      <alignment horizontal="center" vertical="center" wrapText="1"/>
    </xf>
    <xf numFmtId="0" fontId="12" fillId="0" borderId="6" xfId="10" applyFont="1" applyBorder="1" applyAlignment="1">
      <alignment horizontal="center" vertical="center" wrapText="1"/>
    </xf>
    <xf numFmtId="0" fontId="12" fillId="0" borderId="7" xfId="10" applyFont="1" applyBorder="1" applyAlignment="1">
      <alignment horizontal="center" vertical="center" wrapText="1"/>
    </xf>
    <xf numFmtId="0" fontId="13" fillId="5" borderId="8" xfId="12" applyFont="1" applyFill="1" applyBorder="1"/>
    <xf numFmtId="168" fontId="13" fillId="5" borderId="1" xfId="13" applyNumberFormat="1" applyFont="1" applyFill="1" applyBorder="1" applyAlignment="1">
      <alignment wrapText="1"/>
    </xf>
    <xf numFmtId="0" fontId="14" fillId="0" borderId="9" xfId="10" applyFont="1" applyBorder="1"/>
    <xf numFmtId="0" fontId="13" fillId="0" borderId="8" xfId="12" applyFont="1" applyBorder="1"/>
    <xf numFmtId="168" fontId="13" fillId="0" borderId="1" xfId="13" applyNumberFormat="1" applyFont="1" applyFill="1" applyBorder="1" applyAlignment="1">
      <alignment wrapText="1"/>
    </xf>
    <xf numFmtId="0" fontId="13" fillId="0" borderId="21" xfId="12" applyFont="1" applyBorder="1"/>
    <xf numFmtId="168" fontId="13" fillId="0" borderId="10" xfId="13" applyNumberFormat="1" applyFont="1" applyFill="1" applyBorder="1" applyAlignment="1">
      <alignment wrapText="1"/>
    </xf>
    <xf numFmtId="0" fontId="14" fillId="0" borderId="11" xfId="10" applyFont="1" applyBorder="1"/>
    <xf numFmtId="9" fontId="0" fillId="0" borderId="1" xfId="3" applyFont="1" applyBorder="1"/>
    <xf numFmtId="9" fontId="0" fillId="0" borderId="1" xfId="0" applyNumberFormat="1" applyBorder="1"/>
    <xf numFmtId="0" fontId="0" fillId="0" borderId="17" xfId="0" applyBorder="1"/>
    <xf numFmtId="0" fontId="3" fillId="0" borderId="17" xfId="0" applyFont="1" applyBorder="1"/>
    <xf numFmtId="1" fontId="0" fillId="0" borderId="1" xfId="0" applyNumberFormat="1" applyBorder="1" applyAlignment="1">
      <alignment horizontal="center"/>
    </xf>
    <xf numFmtId="0" fontId="3" fillId="0" borderId="1" xfId="0" applyFont="1" applyBorder="1"/>
    <xf numFmtId="0" fontId="6" fillId="3" borderId="17" xfId="0" applyFont="1" applyFill="1" applyBorder="1"/>
    <xf numFmtId="0" fontId="6" fillId="3" borderId="26" xfId="0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3" fillId="5" borderId="0" xfId="0" applyFont="1" applyFill="1"/>
    <xf numFmtId="0" fontId="1" fillId="5" borderId="0" xfId="0" applyFont="1" applyFill="1"/>
    <xf numFmtId="0" fontId="0" fillId="5" borderId="0" xfId="0" applyFill="1"/>
    <xf numFmtId="0" fontId="8" fillId="5" borderId="0" xfId="0" applyFont="1" applyFill="1" applyAlignment="1">
      <alignment horizontal="center"/>
    </xf>
    <xf numFmtId="0" fontId="8" fillId="9" borderId="1" xfId="0" applyFont="1" applyFill="1" applyBorder="1"/>
    <xf numFmtId="44" fontId="0" fillId="9" borderId="1" xfId="0" applyNumberFormat="1" applyFill="1" applyBorder="1"/>
    <xf numFmtId="0" fontId="0" fillId="0" borderId="27" xfId="0" applyBorder="1"/>
    <xf numFmtId="1" fontId="0" fillId="0" borderId="27" xfId="0" applyNumberFormat="1" applyBorder="1"/>
    <xf numFmtId="0" fontId="0" fillId="0" borderId="31" xfId="0" applyBorder="1"/>
    <xf numFmtId="1" fontId="0" fillId="0" borderId="31" xfId="0" applyNumberFormat="1" applyBorder="1"/>
    <xf numFmtId="0" fontId="15" fillId="10" borderId="28" xfId="0" applyFont="1" applyFill="1" applyBorder="1" applyAlignment="1">
      <alignment horizontal="center"/>
    </xf>
    <xf numFmtId="0" fontId="15" fillId="10" borderId="29" xfId="0" applyFont="1" applyFill="1" applyBorder="1" applyAlignment="1">
      <alignment horizontal="center"/>
    </xf>
    <xf numFmtId="0" fontId="15" fillId="10" borderId="29" xfId="0" applyFont="1" applyFill="1" applyBorder="1" applyAlignment="1">
      <alignment horizontal="center" wrapText="1"/>
    </xf>
    <xf numFmtId="0" fontId="15" fillId="10" borderId="30" xfId="0" applyFont="1" applyFill="1" applyBorder="1" applyAlignment="1">
      <alignment horizontal="center"/>
    </xf>
    <xf numFmtId="169" fontId="0" fillId="0" borderId="31" xfId="0" applyNumberFormat="1" applyBorder="1"/>
    <xf numFmtId="169" fontId="0" fillId="0" borderId="27" xfId="0" applyNumberFormat="1" applyBorder="1"/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" xfId="0" applyBorder="1" applyAlignment="1">
      <alignment horizontal="center" vertical="center"/>
    </xf>
    <xf numFmtId="2" fontId="0" fillId="0" borderId="27" xfId="0" applyNumberFormat="1" applyBorder="1"/>
    <xf numFmtId="0" fontId="15" fillId="10" borderId="33" xfId="0" applyFont="1" applyFill="1" applyBorder="1" applyAlignment="1">
      <alignment horizontal="center" wrapText="1"/>
    </xf>
    <xf numFmtId="0" fontId="0" fillId="0" borderId="0" xfId="0" applyAlignment="1">
      <alignment horizontal="center"/>
    </xf>
    <xf numFmtId="0" fontId="0" fillId="11" borderId="0" xfId="0" applyFill="1" applyAlignment="1">
      <alignment horizontal="center"/>
    </xf>
    <xf numFmtId="0" fontId="8" fillId="0" borderId="34" xfId="0" applyFont="1" applyBorder="1" applyAlignment="1">
      <alignment horizontal="center" vertical="center"/>
    </xf>
    <xf numFmtId="0" fontId="8" fillId="11" borderId="1" xfId="0" applyFont="1" applyFill="1" applyBorder="1" applyAlignment="1">
      <alignment horizontal="center"/>
    </xf>
    <xf numFmtId="0" fontId="8" fillId="11" borderId="19" xfId="0" applyFont="1" applyFill="1" applyBorder="1" applyAlignment="1">
      <alignment horizontal="center"/>
    </xf>
    <xf numFmtId="0" fontId="3" fillId="0" borderId="0" xfId="0" applyFont="1" applyAlignment="1">
      <alignment horizontal="center"/>
    </xf>
    <xf numFmtId="0" fontId="1" fillId="2" borderId="1" xfId="0" applyFont="1" applyFill="1" applyBorder="1"/>
    <xf numFmtId="0" fontId="1" fillId="2" borderId="0" xfId="0" applyFont="1" applyFill="1" applyAlignment="1">
      <alignment horizontal="center"/>
    </xf>
    <xf numFmtId="0" fontId="6" fillId="3" borderId="1" xfId="0" applyFont="1" applyFill="1" applyBorder="1" applyAlignment="1">
      <alignment horizontal="center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center"/>
    </xf>
    <xf numFmtId="0" fontId="6" fillId="3" borderId="17" xfId="0" applyFont="1" applyFill="1" applyBorder="1" applyAlignment="1">
      <alignment horizontal="left"/>
    </xf>
    <xf numFmtId="0" fontId="6" fillId="3" borderId="18" xfId="0" applyFont="1" applyFill="1" applyBorder="1" applyAlignment="1">
      <alignment horizontal="left"/>
    </xf>
    <xf numFmtId="0" fontId="6" fillId="3" borderId="19" xfId="0" applyFont="1" applyFill="1" applyBorder="1" applyAlignment="1">
      <alignment horizontal="left"/>
    </xf>
    <xf numFmtId="0" fontId="6" fillId="2" borderId="1" xfId="0" applyFont="1" applyFill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17" xfId="0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9" xfId="0" applyBorder="1" applyAlignment="1">
      <alignment horizontal="left"/>
    </xf>
    <xf numFmtId="0" fontId="4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14" fontId="5" fillId="3" borderId="0" xfId="0" applyNumberFormat="1" applyFont="1" applyFill="1" applyAlignment="1">
      <alignment horizontal="left"/>
    </xf>
    <xf numFmtId="0" fontId="5" fillId="3" borderId="0" xfId="0" applyFont="1" applyFill="1" applyAlignment="1">
      <alignment horizontal="left"/>
    </xf>
    <xf numFmtId="0" fontId="6" fillId="3" borderId="0" xfId="0" applyFont="1" applyFill="1" applyAlignment="1">
      <alignment horizontal="center"/>
    </xf>
    <xf numFmtId="0" fontId="0" fillId="0" borderId="27" xfId="0" applyBorder="1" applyAlignment="1">
      <alignment horizontal="left" wrapText="1"/>
    </xf>
    <xf numFmtId="0" fontId="0" fillId="0" borderId="32" xfId="0" applyBorder="1" applyAlignment="1">
      <alignment horizontal="left" wrapText="1"/>
    </xf>
    <xf numFmtId="0" fontId="0" fillId="0" borderId="17" xfId="0" applyBorder="1" applyAlignment="1">
      <alignment horizontal="right"/>
    </xf>
    <xf numFmtId="0" fontId="0" fillId="0" borderId="18" xfId="0" applyBorder="1" applyAlignment="1">
      <alignment horizontal="right"/>
    </xf>
    <xf numFmtId="0" fontId="0" fillId="0" borderId="19" xfId="0" applyBorder="1" applyAlignment="1">
      <alignment horizontal="right"/>
    </xf>
    <xf numFmtId="0" fontId="0" fillId="0" borderId="1" xfId="0" applyBorder="1" applyAlignment="1">
      <alignment horizontal="right"/>
    </xf>
  </cellXfs>
  <cellStyles count="14">
    <cellStyle name="Currency 2" xfId="6" xr:uid="{AD8FA430-5FE9-44B0-85C8-5D9A7AE0F81A}"/>
    <cellStyle name="Moneda" xfId="2" builtinId="4"/>
    <cellStyle name="Moneda 2" xfId="1" xr:uid="{BD0F4524-7367-47F4-9176-CF261D08C301}"/>
    <cellStyle name="Moneda 2 2" xfId="8" xr:uid="{080BD643-2EE8-41F5-B293-9B72098BD03A}"/>
    <cellStyle name="Moneda 3" xfId="4" xr:uid="{63100617-0704-4AEE-9769-536309024193}"/>
    <cellStyle name="Moneda 3 2" xfId="13" xr:uid="{B637B21F-1988-4A7E-8009-78C325BBC15E}"/>
    <cellStyle name="Moneda 4" xfId="7" xr:uid="{19C678F2-2A6E-4BAF-9752-1E53A335B96E}"/>
    <cellStyle name="Moneda 5" xfId="9" xr:uid="{B4D0A44A-861C-4FFA-BD78-06983EBDD8E4}"/>
    <cellStyle name="Normal" xfId="0" builtinId="0"/>
    <cellStyle name="Normal 10 33" xfId="12" xr:uid="{5F657669-8B22-426D-9B5F-363A82AC81BE}"/>
    <cellStyle name="Normal 2" xfId="5" xr:uid="{F2EA9DD4-109A-408D-A941-CF6331141793}"/>
    <cellStyle name="Normal 2 2" xfId="11" xr:uid="{14C42B1B-2C2D-4DBC-B252-02BFC18572D4}"/>
    <cellStyle name="Normal 2 2 2" xfId="10" xr:uid="{1EF2E22D-CB94-472F-93D8-56A66619AE36}"/>
    <cellStyle name="Porcentaje" xfId="3" builtinId="5"/>
  </cellStyles>
  <dxfs count="0"/>
  <tableStyles count="0" defaultTableStyle="TableStyleMedium2" defaultPivotStyle="PivotStyleLight16"/>
  <colors>
    <mruColors>
      <color rgb="FFB69559"/>
      <color rgb="FF122337"/>
      <color rgb="FFC7664C"/>
      <color rgb="FFF6F5F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593273</xdr:colOff>
      <xdr:row>0</xdr:row>
      <xdr:rowOff>0</xdr:rowOff>
    </xdr:from>
    <xdr:to>
      <xdr:col>8</xdr:col>
      <xdr:colOff>701858</xdr:colOff>
      <xdr:row>3</xdr:row>
      <xdr:rowOff>94</xdr:rowOff>
    </xdr:to>
    <xdr:pic macro="[0]!GenerarCotizacionCompleta">
      <xdr:nvPicPr>
        <xdr:cNvPr id="3" name="Imagen 2">
          <a:extLst>
            <a:ext uri="{FF2B5EF4-FFF2-40B4-BE49-F238E27FC236}">
              <a16:creationId xmlns:a16="http://schemas.microsoft.com/office/drawing/2014/main" id="{DED48B1C-3FDF-A4B5-2380-B290282EFB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289473" y="0"/>
          <a:ext cx="870585" cy="76209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F25440-3933-445D-A84D-00A480F7F4D1}">
  <sheetPr codeName="Hoja1">
    <tabColor rgb="FFB69559"/>
  </sheetPr>
  <dimension ref="A1:N200"/>
  <sheetViews>
    <sheetView tabSelected="1" workbookViewId="0">
      <selection activeCell="B2" sqref="B2"/>
    </sheetView>
  </sheetViews>
  <sheetFormatPr baseColWidth="10" defaultColWidth="8.88671875" defaultRowHeight="14.4" x14ac:dyDescent="0.3"/>
  <cols>
    <col min="1" max="1" width="11.44140625" style="116" customWidth="1"/>
    <col min="2" max="2" width="35.109375" style="115" customWidth="1"/>
    <col min="3" max="3" width="9.109375" style="117" customWidth="1"/>
    <col min="4" max="4" width="10.33203125" style="115" customWidth="1"/>
    <col min="5" max="7" width="11.44140625" style="115" customWidth="1"/>
    <col min="8" max="8" width="11.44140625" style="117" customWidth="1"/>
    <col min="9" max="9" width="25" style="115" customWidth="1"/>
    <col min="10" max="10" width="5" style="115" customWidth="1"/>
    <col min="11" max="12" width="4.5546875" style="115" customWidth="1"/>
    <col min="13" max="13" width="4.6640625" style="115" customWidth="1"/>
    <col min="14" max="14" width="19" style="115" customWidth="1"/>
  </cols>
  <sheetData>
    <row r="1" spans="1:14" x14ac:dyDescent="0.3">
      <c r="A1" s="113" t="s">
        <v>0</v>
      </c>
      <c r="B1" s="114" t="s">
        <v>1</v>
      </c>
      <c r="C1" s="113" t="s">
        <v>2</v>
      </c>
      <c r="D1" s="113" t="s">
        <v>362</v>
      </c>
      <c r="E1" s="113" t="s">
        <v>32</v>
      </c>
      <c r="F1" s="113" t="s">
        <v>497</v>
      </c>
      <c r="G1" s="113" t="s">
        <v>3</v>
      </c>
      <c r="H1" s="113" t="s">
        <v>4</v>
      </c>
      <c r="I1" s="113" t="s">
        <v>5</v>
      </c>
      <c r="J1" s="113" t="s">
        <v>498</v>
      </c>
      <c r="K1" s="113" t="s">
        <v>499</v>
      </c>
      <c r="L1" s="113" t="s">
        <v>500</v>
      </c>
      <c r="M1" s="113" t="s">
        <v>501</v>
      </c>
      <c r="N1" s="113" t="s">
        <v>502</v>
      </c>
    </row>
    <row r="2" spans="1:14" x14ac:dyDescent="0.3">
      <c r="A2" s="113" t="str">
        <f>IF(B2&lt;&gt;"",IF(COUNTA($B$2:B2)&lt;=26,CHAR(64+COUNTA($B$2:B2)),IF(COUNTA($B$2:B2)&lt;=702,CHAR(64+QUOTIENT(COUNTA($B$2:B2)-1,26))&amp;CHAR(65+MOD(COUNTA($B$2:B2)-1,26)),CHAR(64+QUOTIENT(COUNTA($B$2:B2)-27,676))&amp;CHAR(65+MOD(QUOTIENT(COUNTA($B$2:B2)-27,26),26))&amp;CHAR(65+MOD(COUNTA($B$2:B2)-1,26)))),"")</f>
        <v/>
      </c>
      <c r="B2" s="110"/>
      <c r="C2" s="111"/>
      <c r="D2" s="110"/>
      <c r="E2" s="110"/>
      <c r="F2" s="110"/>
      <c r="G2" s="110"/>
      <c r="H2" s="111"/>
      <c r="I2" s="110"/>
      <c r="J2" s="110"/>
      <c r="K2" s="110"/>
      <c r="L2" s="110"/>
      <c r="M2" s="110"/>
      <c r="N2" s="110"/>
    </row>
    <row r="3" spans="1:14" x14ac:dyDescent="0.3">
      <c r="A3" s="113"/>
      <c r="B3" s="110"/>
      <c r="C3" s="111"/>
      <c r="D3" s="110"/>
      <c r="E3" s="110"/>
      <c r="F3" s="110"/>
      <c r="G3" s="110"/>
      <c r="H3" s="111"/>
      <c r="I3" s="110"/>
      <c r="J3" s="110"/>
      <c r="K3" s="110"/>
      <c r="L3" s="110"/>
      <c r="M3" s="110"/>
      <c r="N3" s="110"/>
    </row>
    <row r="4" spans="1:14" x14ac:dyDescent="0.3">
      <c r="A4" s="113"/>
      <c r="B4" s="110"/>
      <c r="C4" s="111"/>
      <c r="D4" s="110"/>
      <c r="E4" s="110"/>
      <c r="F4" s="110"/>
      <c r="G4" s="110"/>
      <c r="H4" s="111"/>
      <c r="I4" s="110"/>
      <c r="J4" s="110"/>
      <c r="K4" s="110"/>
      <c r="L4" s="110"/>
      <c r="M4" s="110"/>
      <c r="N4" s="110"/>
    </row>
    <row r="5" spans="1:14" x14ac:dyDescent="0.3">
      <c r="A5" s="113"/>
      <c r="B5" s="110"/>
      <c r="C5" s="111"/>
      <c r="D5" s="110"/>
      <c r="E5" s="110"/>
      <c r="F5" s="110"/>
      <c r="G5" s="110"/>
      <c r="H5" s="111"/>
      <c r="I5" s="110"/>
      <c r="J5" s="110"/>
      <c r="K5" s="110"/>
      <c r="L5" s="110"/>
      <c r="M5" s="110"/>
      <c r="N5" s="110"/>
    </row>
    <row r="6" spans="1:14" x14ac:dyDescent="0.3">
      <c r="A6" s="113"/>
      <c r="B6" s="110"/>
      <c r="C6" s="111"/>
      <c r="D6" s="110"/>
      <c r="E6" s="110"/>
      <c r="F6" s="110"/>
      <c r="G6" s="110"/>
      <c r="H6" s="111"/>
      <c r="I6" s="110"/>
      <c r="J6" s="110"/>
      <c r="K6" s="110"/>
      <c r="L6" s="110"/>
      <c r="M6" s="110"/>
      <c r="N6" s="110"/>
    </row>
    <row r="7" spans="1:14" x14ac:dyDescent="0.3">
      <c r="A7" s="113"/>
      <c r="B7" s="110"/>
      <c r="C7" s="111"/>
      <c r="D7" s="110"/>
      <c r="E7" s="110"/>
      <c r="F7" s="110"/>
      <c r="G7" s="110"/>
      <c r="H7" s="111"/>
      <c r="I7" s="110"/>
      <c r="J7" s="110"/>
      <c r="K7" s="110"/>
      <c r="L7" s="110"/>
      <c r="M7" s="110"/>
      <c r="N7" s="110"/>
    </row>
    <row r="8" spans="1:14" x14ac:dyDescent="0.3">
      <c r="A8" s="113"/>
      <c r="B8" s="110"/>
      <c r="C8" s="111"/>
      <c r="D8" s="110"/>
      <c r="E8" s="110"/>
      <c r="F8" s="110"/>
      <c r="G8" s="110"/>
      <c r="H8" s="111"/>
      <c r="I8" s="110"/>
      <c r="J8" s="110"/>
      <c r="K8" s="110"/>
      <c r="L8" s="110"/>
      <c r="M8" s="110"/>
      <c r="N8" s="110"/>
    </row>
    <row r="9" spans="1:14" x14ac:dyDescent="0.3">
      <c r="A9" s="113"/>
      <c r="B9" s="110"/>
      <c r="C9" s="111"/>
      <c r="D9" s="110"/>
      <c r="E9" s="110"/>
      <c r="F9" s="110"/>
      <c r="G9" s="110"/>
      <c r="H9" s="111"/>
      <c r="I9" s="110"/>
      <c r="J9" s="110"/>
      <c r="K9" s="110"/>
      <c r="L9" s="110"/>
      <c r="M9" s="110"/>
      <c r="N9" s="110"/>
    </row>
    <row r="10" spans="1:14" x14ac:dyDescent="0.3">
      <c r="A10" s="113"/>
      <c r="B10" s="110"/>
      <c r="C10" s="111"/>
      <c r="D10" s="110"/>
      <c r="E10" s="110"/>
      <c r="F10" s="110"/>
      <c r="G10" s="110"/>
      <c r="H10" s="111"/>
      <c r="I10" s="110"/>
      <c r="J10" s="110"/>
      <c r="K10" s="110"/>
      <c r="L10" s="110"/>
      <c r="M10" s="110"/>
      <c r="N10" s="110"/>
    </row>
    <row r="11" spans="1:14" x14ac:dyDescent="0.3">
      <c r="A11" s="113"/>
      <c r="B11" s="110"/>
      <c r="C11" s="111"/>
      <c r="D11" s="110"/>
      <c r="E11" s="110"/>
      <c r="F11" s="110"/>
      <c r="G11" s="110"/>
      <c r="H11" s="111"/>
      <c r="I11" s="110"/>
      <c r="J11" s="110"/>
      <c r="K11" s="110"/>
      <c r="L11" s="110"/>
      <c r="M11" s="110"/>
      <c r="N11" s="110"/>
    </row>
    <row r="12" spans="1:14" x14ac:dyDescent="0.3">
      <c r="A12" s="113"/>
      <c r="B12" s="110"/>
      <c r="C12" s="111"/>
      <c r="D12" s="110"/>
      <c r="E12" s="110"/>
      <c r="F12" s="110"/>
      <c r="G12" s="110"/>
      <c r="H12" s="111"/>
      <c r="I12" s="110"/>
      <c r="J12" s="110"/>
      <c r="K12" s="110"/>
      <c r="L12" s="110"/>
      <c r="M12" s="110"/>
      <c r="N12" s="110"/>
    </row>
    <row r="13" spans="1:14" x14ac:dyDescent="0.3">
      <c r="A13" s="113"/>
      <c r="B13" s="110"/>
      <c r="C13" s="111"/>
      <c r="D13" s="110"/>
      <c r="E13" s="110"/>
      <c r="F13" s="110"/>
      <c r="G13" s="110"/>
      <c r="H13" s="111"/>
      <c r="I13" s="110"/>
      <c r="J13" s="110"/>
      <c r="K13" s="110"/>
      <c r="L13" s="110"/>
      <c r="M13" s="110"/>
      <c r="N13" s="110"/>
    </row>
    <row r="14" spans="1:14" x14ac:dyDescent="0.3">
      <c r="A14" s="113"/>
      <c r="B14" s="110"/>
      <c r="C14" s="111"/>
      <c r="D14" s="110"/>
      <c r="E14" s="110"/>
      <c r="F14" s="110"/>
      <c r="G14" s="110"/>
      <c r="H14" s="111"/>
      <c r="I14" s="110"/>
      <c r="J14" s="110"/>
      <c r="K14" s="110"/>
      <c r="L14" s="110"/>
      <c r="M14" s="110"/>
      <c r="N14" s="110"/>
    </row>
    <row r="15" spans="1:14" x14ac:dyDescent="0.3">
      <c r="A15" s="113"/>
      <c r="B15" s="110"/>
      <c r="C15" s="111"/>
      <c r="D15" s="110"/>
      <c r="E15" s="110"/>
      <c r="F15" s="110"/>
      <c r="G15" s="110"/>
      <c r="H15" s="111"/>
      <c r="I15" s="110"/>
      <c r="J15" s="110"/>
      <c r="K15" s="110"/>
      <c r="L15" s="110"/>
      <c r="M15" s="110"/>
      <c r="N15" s="110"/>
    </row>
    <row r="16" spans="1:14" x14ac:dyDescent="0.3">
      <c r="A16" s="113"/>
      <c r="B16" s="110"/>
      <c r="C16" s="111"/>
      <c r="D16" s="110"/>
      <c r="E16" s="110"/>
      <c r="F16" s="110"/>
      <c r="G16" s="110"/>
      <c r="H16" s="111"/>
      <c r="I16" s="110"/>
      <c r="J16" s="110"/>
      <c r="K16" s="110"/>
      <c r="L16" s="110"/>
      <c r="M16" s="110"/>
      <c r="N16" s="110"/>
    </row>
    <row r="17" spans="1:14" x14ac:dyDescent="0.3">
      <c r="A17" s="113"/>
      <c r="B17" s="110"/>
      <c r="C17" s="111"/>
      <c r="D17" s="110"/>
      <c r="E17" s="110"/>
      <c r="F17" s="110"/>
      <c r="G17" s="110"/>
      <c r="H17" s="111"/>
      <c r="I17" s="110"/>
      <c r="J17" s="110"/>
      <c r="K17" s="110"/>
      <c r="L17" s="110"/>
      <c r="M17" s="110"/>
      <c r="N17" s="110"/>
    </row>
    <row r="18" spans="1:14" x14ac:dyDescent="0.3">
      <c r="A18" s="113"/>
      <c r="B18" s="110"/>
      <c r="C18" s="111"/>
      <c r="D18" s="110"/>
      <c r="E18" s="110"/>
      <c r="F18" s="110"/>
      <c r="G18" s="110"/>
      <c r="H18" s="111"/>
      <c r="I18" s="110"/>
      <c r="J18" s="110"/>
      <c r="K18" s="110"/>
      <c r="L18" s="110"/>
      <c r="M18" s="110"/>
      <c r="N18" s="110"/>
    </row>
    <row r="19" spans="1:14" x14ac:dyDescent="0.3">
      <c r="A19" s="113"/>
      <c r="B19" s="110"/>
      <c r="C19" s="111"/>
      <c r="D19" s="110"/>
      <c r="E19" s="110"/>
      <c r="F19" s="110"/>
      <c r="G19" s="110"/>
      <c r="H19" s="111"/>
      <c r="I19" s="110"/>
      <c r="J19" s="110"/>
      <c r="K19" s="110"/>
      <c r="L19" s="110"/>
      <c r="M19" s="110"/>
      <c r="N19" s="110"/>
    </row>
    <row r="20" spans="1:14" x14ac:dyDescent="0.3">
      <c r="A20" s="113"/>
      <c r="B20" s="110"/>
      <c r="C20" s="111"/>
      <c r="D20" s="110"/>
      <c r="E20" s="110"/>
      <c r="F20" s="110"/>
      <c r="G20" s="110"/>
      <c r="H20" s="111"/>
      <c r="I20" s="110"/>
      <c r="J20" s="110"/>
      <c r="K20" s="110"/>
      <c r="L20" s="110"/>
      <c r="M20" s="110"/>
      <c r="N20" s="110"/>
    </row>
    <row r="21" spans="1:14" x14ac:dyDescent="0.3">
      <c r="A21" s="113"/>
      <c r="B21" s="110"/>
      <c r="C21" s="111"/>
      <c r="D21" s="110"/>
      <c r="E21" s="110"/>
      <c r="F21" s="110"/>
      <c r="G21" s="110"/>
      <c r="H21" s="111"/>
      <c r="I21" s="110"/>
      <c r="J21" s="110"/>
      <c r="K21" s="110"/>
      <c r="L21" s="110"/>
      <c r="M21" s="110"/>
      <c r="N21" s="110"/>
    </row>
    <row r="22" spans="1:14" x14ac:dyDescent="0.3">
      <c r="A22" s="113"/>
      <c r="B22" s="110"/>
      <c r="C22" s="111"/>
      <c r="D22" s="110"/>
      <c r="E22" s="110"/>
      <c r="F22" s="110"/>
      <c r="G22" s="110"/>
      <c r="H22" s="111"/>
      <c r="I22" s="110"/>
      <c r="J22" s="110"/>
      <c r="K22" s="110"/>
      <c r="L22" s="110"/>
      <c r="M22" s="110"/>
      <c r="N22" s="110"/>
    </row>
    <row r="23" spans="1:14" x14ac:dyDescent="0.3">
      <c r="A23" s="113"/>
      <c r="B23" s="110"/>
      <c r="C23" s="111"/>
      <c r="D23" s="110"/>
      <c r="E23" s="110"/>
      <c r="F23" s="110"/>
      <c r="G23" s="110"/>
      <c r="H23" s="111"/>
      <c r="I23" s="110"/>
      <c r="J23" s="110"/>
      <c r="K23" s="110"/>
      <c r="L23" s="110"/>
      <c r="M23" s="110"/>
      <c r="N23" s="110"/>
    </row>
    <row r="24" spans="1:14" x14ac:dyDescent="0.3">
      <c r="A24" s="113"/>
      <c r="B24" s="110"/>
      <c r="C24" s="111"/>
      <c r="D24" s="110"/>
      <c r="E24" s="110"/>
      <c r="F24" s="110"/>
      <c r="G24" s="110"/>
      <c r="H24" s="111"/>
      <c r="I24" s="110"/>
      <c r="J24" s="110"/>
      <c r="K24" s="110"/>
      <c r="L24" s="110"/>
      <c r="M24" s="110"/>
      <c r="N24" s="110"/>
    </row>
    <row r="25" spans="1:14" x14ac:dyDescent="0.3">
      <c r="A25" s="113"/>
      <c r="B25" s="110"/>
      <c r="C25" s="111"/>
      <c r="D25" s="110"/>
      <c r="E25" s="110"/>
      <c r="F25" s="110"/>
      <c r="G25" s="110"/>
      <c r="H25" s="111"/>
      <c r="I25" s="110"/>
      <c r="J25" s="110"/>
      <c r="K25" s="110"/>
      <c r="L25" s="110"/>
      <c r="M25" s="110"/>
      <c r="N25" s="110"/>
    </row>
    <row r="26" spans="1:14" x14ac:dyDescent="0.3">
      <c r="A26" s="113"/>
      <c r="B26" s="110"/>
      <c r="C26" s="111"/>
      <c r="D26" s="110"/>
      <c r="E26" s="110"/>
      <c r="F26" s="110"/>
      <c r="G26" s="110"/>
      <c r="H26" s="111"/>
      <c r="I26" s="110"/>
      <c r="J26" s="110"/>
      <c r="K26" s="110"/>
      <c r="L26" s="110"/>
      <c r="M26" s="110"/>
      <c r="N26" s="110"/>
    </row>
    <row r="27" spans="1:14" x14ac:dyDescent="0.3">
      <c r="A27" s="113"/>
      <c r="B27" s="110"/>
      <c r="C27" s="111"/>
      <c r="D27" s="110"/>
      <c r="E27" s="110"/>
      <c r="F27" s="110"/>
      <c r="G27" s="110"/>
      <c r="H27" s="111"/>
      <c r="I27" s="110"/>
      <c r="J27" s="110"/>
      <c r="K27" s="110"/>
      <c r="L27" s="110"/>
      <c r="M27" s="110"/>
      <c r="N27" s="110"/>
    </row>
    <row r="28" spans="1:14" x14ac:dyDescent="0.3">
      <c r="A28" s="113"/>
      <c r="B28" s="110"/>
      <c r="C28" s="111"/>
      <c r="D28" s="110"/>
      <c r="E28" s="110"/>
      <c r="F28" s="110"/>
      <c r="G28" s="110"/>
      <c r="H28" s="111"/>
      <c r="I28" s="110"/>
      <c r="J28" s="110"/>
      <c r="K28" s="110"/>
      <c r="L28" s="110"/>
      <c r="M28" s="110"/>
      <c r="N28" s="110"/>
    </row>
    <row r="29" spans="1:14" x14ac:dyDescent="0.3">
      <c r="A29" s="113"/>
      <c r="B29" s="110"/>
      <c r="C29" s="111"/>
      <c r="D29" s="110"/>
      <c r="E29" s="110"/>
      <c r="F29" s="110"/>
      <c r="G29" s="110"/>
      <c r="H29" s="111"/>
      <c r="I29" s="110"/>
      <c r="J29" s="110"/>
      <c r="K29" s="110"/>
      <c r="L29" s="110"/>
      <c r="M29" s="110"/>
      <c r="N29" s="110"/>
    </row>
    <row r="30" spans="1:14" x14ac:dyDescent="0.3">
      <c r="A30" s="113"/>
      <c r="B30" s="110"/>
      <c r="C30" s="111"/>
      <c r="D30" s="110"/>
      <c r="E30" s="110"/>
      <c r="F30" s="110"/>
      <c r="G30" s="110"/>
      <c r="H30" s="111"/>
      <c r="I30" s="110"/>
      <c r="J30" s="110"/>
      <c r="K30" s="110"/>
      <c r="L30" s="110"/>
      <c r="M30" s="110"/>
      <c r="N30" s="110"/>
    </row>
    <row r="31" spans="1:14" x14ac:dyDescent="0.3">
      <c r="A31" s="113"/>
      <c r="B31" s="110"/>
      <c r="C31" s="111"/>
      <c r="D31" s="110"/>
      <c r="E31" s="110"/>
      <c r="F31" s="110"/>
      <c r="G31" s="110"/>
      <c r="H31" s="111"/>
      <c r="I31" s="110"/>
      <c r="J31" s="110"/>
      <c r="K31" s="110"/>
      <c r="L31" s="110"/>
      <c r="M31" s="110"/>
      <c r="N31" s="110"/>
    </row>
    <row r="32" spans="1:14" x14ac:dyDescent="0.3">
      <c r="A32" s="113"/>
      <c r="B32" s="110"/>
      <c r="C32" s="111"/>
      <c r="D32" s="110"/>
      <c r="E32" s="110"/>
      <c r="F32" s="110"/>
      <c r="G32" s="110"/>
      <c r="H32" s="111"/>
      <c r="I32" s="110"/>
      <c r="J32" s="110"/>
      <c r="K32" s="110"/>
      <c r="L32" s="110"/>
      <c r="M32" s="110"/>
      <c r="N32" s="110"/>
    </row>
    <row r="33" spans="1:14" x14ac:dyDescent="0.3">
      <c r="A33" s="113"/>
      <c r="B33" s="110"/>
      <c r="C33" s="111"/>
      <c r="D33" s="110"/>
      <c r="E33" s="110"/>
      <c r="F33" s="110"/>
      <c r="G33" s="110"/>
      <c r="H33" s="111"/>
      <c r="I33" s="110"/>
      <c r="N33" s="110"/>
    </row>
    <row r="34" spans="1:14" x14ac:dyDescent="0.3">
      <c r="A34" s="113"/>
      <c r="B34" s="110"/>
      <c r="C34" s="111"/>
      <c r="D34" s="110"/>
      <c r="E34" s="110"/>
      <c r="F34" s="110"/>
      <c r="G34" s="110"/>
      <c r="H34" s="111"/>
      <c r="I34" s="110"/>
      <c r="N34" s="110"/>
    </row>
    <row r="35" spans="1:14" x14ac:dyDescent="0.3">
      <c r="A35" s="113"/>
      <c r="B35" s="110"/>
      <c r="C35" s="111"/>
      <c r="D35" s="110"/>
      <c r="E35" s="110"/>
      <c r="F35" s="110"/>
      <c r="G35" s="110"/>
      <c r="H35" s="111"/>
      <c r="I35" s="110"/>
      <c r="N35" s="110"/>
    </row>
    <row r="36" spans="1:14" x14ac:dyDescent="0.3">
      <c r="A36" s="113"/>
      <c r="B36" s="110"/>
      <c r="C36" s="111"/>
      <c r="D36" s="110"/>
      <c r="E36" s="110"/>
      <c r="F36" s="110"/>
      <c r="G36" s="110"/>
      <c r="H36" s="111"/>
      <c r="I36" s="110"/>
      <c r="N36" s="110"/>
    </row>
    <row r="37" spans="1:14" x14ac:dyDescent="0.3">
      <c r="A37" s="113"/>
      <c r="B37" s="110"/>
      <c r="C37" s="111"/>
      <c r="D37" s="110"/>
      <c r="E37" s="110"/>
      <c r="F37" s="110"/>
      <c r="G37" s="110"/>
      <c r="H37" s="111"/>
      <c r="I37" s="110"/>
      <c r="N37" s="110"/>
    </row>
    <row r="38" spans="1:14" x14ac:dyDescent="0.3">
      <c r="A38" s="113"/>
      <c r="B38" s="110"/>
      <c r="C38" s="111"/>
      <c r="D38" s="110"/>
      <c r="E38" s="110"/>
      <c r="F38" s="110"/>
      <c r="G38" s="110"/>
      <c r="H38" s="111"/>
      <c r="I38" s="110"/>
      <c r="N38" s="110"/>
    </row>
    <row r="39" spans="1:14" x14ac:dyDescent="0.3">
      <c r="A39" s="113"/>
      <c r="B39" s="110"/>
      <c r="C39" s="111"/>
      <c r="D39" s="110"/>
      <c r="E39" s="110"/>
      <c r="F39" s="110"/>
      <c r="G39" s="110"/>
      <c r="H39" s="111"/>
      <c r="I39" s="110"/>
      <c r="N39" s="110"/>
    </row>
    <row r="40" spans="1:14" x14ac:dyDescent="0.3">
      <c r="A40" s="113"/>
      <c r="B40" s="110"/>
      <c r="C40" s="111"/>
      <c r="D40" s="110"/>
      <c r="E40" s="110"/>
      <c r="F40" s="110"/>
      <c r="G40" s="110"/>
      <c r="H40" s="111"/>
      <c r="I40" s="110"/>
      <c r="N40" s="110"/>
    </row>
    <row r="41" spans="1:14" x14ac:dyDescent="0.3">
      <c r="A41" s="113"/>
      <c r="B41" s="110"/>
      <c r="C41" s="111"/>
      <c r="D41" s="110"/>
      <c r="E41" s="110"/>
      <c r="F41" s="110"/>
      <c r="G41" s="110"/>
      <c r="H41" s="111"/>
      <c r="I41" s="110"/>
      <c r="N41" s="110"/>
    </row>
    <row r="42" spans="1:14" x14ac:dyDescent="0.3">
      <c r="A42" s="113"/>
      <c r="B42" s="110"/>
      <c r="C42" s="111"/>
      <c r="D42" s="110"/>
      <c r="E42" s="110"/>
      <c r="F42" s="110"/>
      <c r="G42" s="110"/>
      <c r="H42" s="111"/>
      <c r="I42" s="110"/>
      <c r="N42" s="110"/>
    </row>
    <row r="43" spans="1:14" x14ac:dyDescent="0.3">
      <c r="A43" s="113"/>
      <c r="B43" s="110"/>
      <c r="C43" s="111"/>
      <c r="D43" s="110"/>
      <c r="E43" s="110"/>
      <c r="F43" s="110"/>
      <c r="G43" s="110"/>
      <c r="H43" s="111"/>
      <c r="I43" s="110"/>
      <c r="N43" s="110"/>
    </row>
    <row r="44" spans="1:14" x14ac:dyDescent="0.3">
      <c r="A44" s="113"/>
      <c r="B44" s="110"/>
      <c r="C44" s="111"/>
      <c r="D44" s="110"/>
      <c r="E44" s="110"/>
      <c r="F44" s="110"/>
      <c r="G44" s="110"/>
      <c r="H44" s="111"/>
      <c r="I44" s="110"/>
      <c r="N44" s="110"/>
    </row>
    <row r="45" spans="1:14" x14ac:dyDescent="0.3">
      <c r="A45" s="113"/>
      <c r="B45" s="110"/>
      <c r="C45" s="111"/>
      <c r="D45" s="110"/>
      <c r="E45" s="110"/>
      <c r="F45" s="110"/>
      <c r="G45" s="110"/>
      <c r="H45" s="111"/>
      <c r="I45" s="110"/>
      <c r="N45" s="110"/>
    </row>
    <row r="46" spans="1:14" x14ac:dyDescent="0.3">
      <c r="A46" s="113"/>
      <c r="B46" s="110"/>
      <c r="C46" s="111"/>
      <c r="D46" s="110"/>
      <c r="E46" s="110"/>
      <c r="F46" s="110"/>
      <c r="G46" s="110"/>
      <c r="H46" s="111"/>
      <c r="I46" s="110"/>
      <c r="N46" s="110"/>
    </row>
    <row r="47" spans="1:14" x14ac:dyDescent="0.3">
      <c r="A47" s="113"/>
      <c r="B47" s="110"/>
      <c r="C47" s="111"/>
      <c r="D47" s="110"/>
      <c r="E47" s="110"/>
      <c r="F47" s="110"/>
      <c r="G47" s="110"/>
      <c r="H47" s="111"/>
      <c r="I47" s="110"/>
      <c r="N47" s="110"/>
    </row>
    <row r="48" spans="1:14" x14ac:dyDescent="0.3">
      <c r="A48" s="113"/>
      <c r="B48" s="110"/>
      <c r="C48" s="111"/>
      <c r="D48" s="110"/>
      <c r="E48" s="110"/>
      <c r="F48" s="110"/>
      <c r="G48" s="110"/>
      <c r="H48" s="111"/>
      <c r="I48" s="110"/>
      <c r="N48" s="110"/>
    </row>
    <row r="49" spans="1:14" x14ac:dyDescent="0.3">
      <c r="A49" s="113"/>
      <c r="B49" s="110"/>
      <c r="C49" s="111"/>
      <c r="D49" s="110"/>
      <c r="E49" s="110"/>
      <c r="F49" s="110"/>
      <c r="G49" s="110"/>
      <c r="H49" s="111"/>
      <c r="I49" s="110"/>
      <c r="N49" s="110"/>
    </row>
    <row r="50" spans="1:14" x14ac:dyDescent="0.3">
      <c r="A50" s="113"/>
      <c r="B50" s="110"/>
      <c r="C50" s="111"/>
      <c r="D50" s="110"/>
      <c r="E50" s="110"/>
      <c r="F50" s="110"/>
      <c r="G50" s="110"/>
      <c r="H50" s="111"/>
      <c r="I50" s="110"/>
      <c r="N50" s="110"/>
    </row>
    <row r="51" spans="1:14" x14ac:dyDescent="0.3">
      <c r="A51" s="113"/>
      <c r="B51" s="110"/>
      <c r="C51" s="111"/>
      <c r="D51" s="110"/>
      <c r="E51" s="110"/>
      <c r="F51" s="110"/>
      <c r="G51" s="110"/>
      <c r="H51" s="111"/>
      <c r="I51" s="110"/>
      <c r="N51" s="110"/>
    </row>
    <row r="52" spans="1:14" x14ac:dyDescent="0.3">
      <c r="A52" s="113"/>
      <c r="B52" s="110"/>
      <c r="C52" s="111"/>
      <c r="D52" s="110"/>
      <c r="E52" s="110"/>
      <c r="F52" s="110"/>
      <c r="G52" s="110"/>
      <c r="H52" s="111"/>
      <c r="I52" s="110"/>
      <c r="N52" s="110"/>
    </row>
    <row r="53" spans="1:14" x14ac:dyDescent="0.3">
      <c r="A53" s="113"/>
      <c r="B53" s="110"/>
      <c r="C53" s="111"/>
      <c r="D53" s="110"/>
      <c r="E53" s="110"/>
      <c r="F53" s="110"/>
      <c r="G53" s="110"/>
      <c r="H53" s="111"/>
      <c r="I53" s="110"/>
      <c r="N53" s="110"/>
    </row>
    <row r="54" spans="1:14" x14ac:dyDescent="0.3">
      <c r="A54" s="113"/>
      <c r="B54" s="110"/>
      <c r="C54" s="111"/>
      <c r="D54" s="110"/>
      <c r="E54" s="110"/>
      <c r="F54" s="110"/>
      <c r="G54" s="110"/>
      <c r="H54" s="111"/>
      <c r="I54" s="110"/>
      <c r="N54" s="110"/>
    </row>
    <row r="55" spans="1:14" x14ac:dyDescent="0.3">
      <c r="A55" s="113"/>
      <c r="B55" s="110"/>
      <c r="C55" s="111"/>
      <c r="D55" s="110"/>
      <c r="E55" s="110"/>
      <c r="F55" s="110"/>
      <c r="G55" s="110"/>
      <c r="H55" s="111"/>
      <c r="I55" s="110"/>
      <c r="N55" s="110"/>
    </row>
    <row r="56" spans="1:14" x14ac:dyDescent="0.3">
      <c r="A56" s="113"/>
      <c r="B56" s="110"/>
      <c r="C56" s="111"/>
      <c r="D56" s="110"/>
      <c r="E56" s="110"/>
      <c r="F56" s="110"/>
      <c r="G56" s="110"/>
      <c r="H56" s="111"/>
      <c r="I56" s="110"/>
      <c r="N56" s="110"/>
    </row>
    <row r="57" spans="1:14" x14ac:dyDescent="0.3">
      <c r="A57" s="113"/>
      <c r="B57" s="110"/>
      <c r="C57" s="111"/>
      <c r="D57" s="110"/>
      <c r="E57" s="110"/>
      <c r="F57" s="110"/>
      <c r="G57" s="110"/>
      <c r="H57" s="111"/>
      <c r="I57" s="110"/>
      <c r="N57" s="110"/>
    </row>
    <row r="58" spans="1:14" x14ac:dyDescent="0.3">
      <c r="A58" s="113"/>
      <c r="B58" s="110"/>
      <c r="C58" s="111"/>
      <c r="D58" s="110"/>
      <c r="E58" s="110"/>
      <c r="F58" s="110"/>
      <c r="G58" s="110"/>
      <c r="H58" s="111"/>
      <c r="I58" s="110"/>
      <c r="N58" s="110"/>
    </row>
    <row r="59" spans="1:14" x14ac:dyDescent="0.3">
      <c r="A59" s="113"/>
      <c r="B59" s="110"/>
      <c r="C59" s="111"/>
      <c r="D59" s="110"/>
      <c r="E59" s="110"/>
      <c r="F59" s="110"/>
      <c r="G59" s="110"/>
      <c r="H59" s="111"/>
      <c r="I59" s="110"/>
      <c r="N59" s="110"/>
    </row>
    <row r="60" spans="1:14" x14ac:dyDescent="0.3">
      <c r="A60" s="113"/>
      <c r="B60" s="110"/>
      <c r="C60" s="111"/>
      <c r="D60" s="110"/>
      <c r="E60" s="110"/>
      <c r="F60" s="110"/>
      <c r="G60" s="110"/>
      <c r="H60" s="111"/>
      <c r="I60" s="110"/>
      <c r="N60" s="110"/>
    </row>
    <row r="61" spans="1:14" x14ac:dyDescent="0.3">
      <c r="A61" s="113"/>
      <c r="B61" s="110"/>
      <c r="C61" s="111"/>
      <c r="D61" s="110"/>
      <c r="E61" s="110"/>
      <c r="F61" s="110"/>
      <c r="G61" s="110"/>
      <c r="H61" s="111"/>
      <c r="I61" s="110"/>
      <c r="N61" s="110"/>
    </row>
    <row r="62" spans="1:14" x14ac:dyDescent="0.3">
      <c r="A62" s="113"/>
      <c r="B62" s="110"/>
      <c r="C62" s="111"/>
      <c r="D62" s="110"/>
      <c r="E62" s="110"/>
      <c r="F62" s="110"/>
      <c r="G62" s="110"/>
      <c r="H62" s="111"/>
      <c r="I62" s="110"/>
      <c r="N62" s="110"/>
    </row>
    <row r="63" spans="1:14" x14ac:dyDescent="0.3">
      <c r="A63" s="113"/>
      <c r="B63" s="110"/>
      <c r="C63" s="111"/>
      <c r="D63" s="110"/>
      <c r="E63" s="110"/>
      <c r="F63" s="110"/>
      <c r="G63" s="110"/>
      <c r="H63" s="111"/>
      <c r="I63" s="110"/>
      <c r="N63" s="110"/>
    </row>
    <row r="64" spans="1:14" x14ac:dyDescent="0.3">
      <c r="A64" s="113"/>
      <c r="B64" s="110"/>
      <c r="C64" s="111"/>
      <c r="D64" s="110"/>
      <c r="E64" s="110"/>
      <c r="F64" s="110"/>
      <c r="G64" s="110"/>
      <c r="H64" s="111"/>
      <c r="I64" s="110"/>
      <c r="N64" s="110"/>
    </row>
    <row r="65" spans="1:14" x14ac:dyDescent="0.3">
      <c r="A65" s="113"/>
      <c r="B65" s="110"/>
      <c r="C65" s="111"/>
      <c r="D65" s="110"/>
      <c r="E65" s="110"/>
      <c r="F65" s="110"/>
      <c r="G65" s="110"/>
      <c r="H65" s="111"/>
      <c r="I65" s="110"/>
      <c r="N65" s="110"/>
    </row>
    <row r="66" spans="1:14" x14ac:dyDescent="0.3">
      <c r="A66" s="113"/>
      <c r="B66" s="110"/>
      <c r="C66" s="111"/>
      <c r="D66" s="110"/>
      <c r="E66" s="110"/>
      <c r="F66" s="110"/>
      <c r="G66" s="110"/>
      <c r="H66" s="111"/>
      <c r="I66" s="110"/>
      <c r="N66" s="110"/>
    </row>
    <row r="67" spans="1:14" x14ac:dyDescent="0.3">
      <c r="A67" s="113"/>
      <c r="B67" s="110"/>
      <c r="C67" s="111"/>
      <c r="D67" s="110"/>
      <c r="E67" s="110"/>
      <c r="F67" s="110"/>
      <c r="G67" s="110"/>
      <c r="H67" s="111"/>
      <c r="I67" s="110"/>
      <c r="N67" s="110"/>
    </row>
    <row r="68" spans="1:14" x14ac:dyDescent="0.3">
      <c r="A68" s="113"/>
      <c r="B68" s="110"/>
      <c r="C68" s="111"/>
      <c r="D68" s="110"/>
      <c r="E68" s="110"/>
      <c r="F68" s="110"/>
      <c r="G68" s="110"/>
      <c r="H68" s="111"/>
      <c r="I68" s="110"/>
      <c r="N68" s="110"/>
    </row>
    <row r="69" spans="1:14" x14ac:dyDescent="0.3">
      <c r="A69" s="113"/>
      <c r="B69" s="110"/>
      <c r="C69" s="111"/>
      <c r="D69" s="110"/>
      <c r="E69" s="110"/>
      <c r="F69" s="110"/>
      <c r="G69" s="110"/>
      <c r="H69" s="111"/>
      <c r="I69" s="110"/>
      <c r="N69" s="110"/>
    </row>
    <row r="70" spans="1:14" x14ac:dyDescent="0.3">
      <c r="A70" s="113"/>
      <c r="B70" s="110"/>
      <c r="C70" s="111"/>
      <c r="D70" s="110"/>
      <c r="E70" s="110"/>
      <c r="F70" s="110"/>
      <c r="G70" s="110"/>
      <c r="H70" s="111"/>
      <c r="I70" s="110"/>
      <c r="N70" s="110"/>
    </row>
    <row r="71" spans="1:14" x14ac:dyDescent="0.3">
      <c r="A71" s="113"/>
      <c r="B71" s="110"/>
      <c r="C71" s="111"/>
      <c r="D71" s="110"/>
      <c r="E71" s="110"/>
      <c r="F71" s="110"/>
      <c r="G71" s="110"/>
      <c r="H71" s="111"/>
      <c r="I71" s="110"/>
      <c r="N71" s="110"/>
    </row>
    <row r="72" spans="1:14" x14ac:dyDescent="0.3">
      <c r="A72" s="113"/>
      <c r="B72" s="110"/>
      <c r="C72" s="111"/>
      <c r="D72" s="110"/>
      <c r="E72" s="110"/>
      <c r="F72" s="110"/>
      <c r="G72" s="110"/>
      <c r="H72" s="111"/>
      <c r="I72" s="110"/>
      <c r="N72" s="110"/>
    </row>
    <row r="73" spans="1:14" x14ac:dyDescent="0.3">
      <c r="A73" s="113"/>
      <c r="B73" s="110"/>
      <c r="C73" s="111"/>
      <c r="D73" s="110"/>
      <c r="E73" s="110"/>
      <c r="F73" s="110"/>
      <c r="G73" s="110"/>
      <c r="H73" s="111"/>
      <c r="I73" s="110"/>
      <c r="N73" s="110"/>
    </row>
    <row r="74" spans="1:14" x14ac:dyDescent="0.3">
      <c r="A74" s="113"/>
      <c r="B74" s="110"/>
      <c r="C74" s="111"/>
      <c r="D74" s="110"/>
      <c r="E74" s="110"/>
      <c r="F74" s="110"/>
      <c r="G74" s="110"/>
      <c r="H74" s="111"/>
      <c r="I74" s="110"/>
      <c r="N74" s="110"/>
    </row>
    <row r="75" spans="1:14" x14ac:dyDescent="0.3">
      <c r="A75" s="113"/>
      <c r="B75" s="110"/>
      <c r="C75" s="111"/>
      <c r="D75" s="110"/>
      <c r="E75" s="110"/>
      <c r="F75" s="110"/>
      <c r="G75" s="110"/>
      <c r="H75" s="111"/>
      <c r="I75" s="110"/>
      <c r="N75" s="110"/>
    </row>
    <row r="76" spans="1:14" x14ac:dyDescent="0.3">
      <c r="A76" s="113"/>
      <c r="B76" s="110"/>
      <c r="C76" s="111"/>
      <c r="D76" s="110"/>
      <c r="E76" s="110"/>
      <c r="F76" s="110"/>
      <c r="G76" s="110"/>
      <c r="H76" s="111"/>
      <c r="I76" s="110"/>
      <c r="N76" s="110"/>
    </row>
    <row r="77" spans="1:14" x14ac:dyDescent="0.3">
      <c r="A77" s="113"/>
      <c r="B77" s="110"/>
      <c r="C77" s="111"/>
      <c r="D77" s="110"/>
      <c r="E77" s="110"/>
      <c r="F77" s="110"/>
      <c r="G77" s="110"/>
      <c r="H77" s="111"/>
      <c r="I77" s="110"/>
      <c r="N77" s="110"/>
    </row>
    <row r="78" spans="1:14" x14ac:dyDescent="0.3">
      <c r="A78" s="113"/>
      <c r="B78" s="110"/>
      <c r="C78" s="111"/>
      <c r="D78" s="110"/>
      <c r="E78" s="110"/>
      <c r="F78" s="110"/>
      <c r="G78" s="110"/>
      <c r="H78" s="111"/>
      <c r="I78" s="110"/>
      <c r="N78" s="110"/>
    </row>
    <row r="79" spans="1:14" x14ac:dyDescent="0.3">
      <c r="A79" s="113"/>
      <c r="B79" s="110"/>
      <c r="C79" s="111"/>
      <c r="D79" s="110"/>
      <c r="E79" s="110"/>
      <c r="F79" s="110"/>
      <c r="G79" s="110"/>
      <c r="H79" s="111"/>
      <c r="I79" s="110"/>
      <c r="N79" s="110"/>
    </row>
    <row r="80" spans="1:14" x14ac:dyDescent="0.3">
      <c r="A80" s="113"/>
      <c r="B80" s="110"/>
      <c r="C80" s="111"/>
      <c r="D80" s="110"/>
      <c r="E80" s="110"/>
      <c r="F80" s="110"/>
      <c r="G80" s="110"/>
      <c r="H80" s="111"/>
      <c r="I80" s="110"/>
      <c r="N80" s="110"/>
    </row>
    <row r="81" spans="1:14" x14ac:dyDescent="0.3">
      <c r="A81" s="113"/>
      <c r="B81" s="110"/>
      <c r="C81" s="111"/>
      <c r="D81" s="110"/>
      <c r="E81" s="110"/>
      <c r="F81" s="110"/>
      <c r="G81" s="110"/>
      <c r="H81" s="111"/>
      <c r="I81" s="110"/>
      <c r="N81" s="110"/>
    </row>
    <row r="82" spans="1:14" x14ac:dyDescent="0.3">
      <c r="A82" s="113"/>
      <c r="B82" s="110"/>
      <c r="C82" s="111"/>
      <c r="D82" s="110"/>
      <c r="E82" s="110"/>
      <c r="F82" s="110"/>
      <c r="G82" s="110"/>
      <c r="H82" s="111"/>
      <c r="I82" s="110"/>
      <c r="N82" s="110"/>
    </row>
    <row r="83" spans="1:14" x14ac:dyDescent="0.3">
      <c r="A83" s="113"/>
      <c r="B83" s="110"/>
      <c r="C83" s="111"/>
      <c r="D83" s="110"/>
      <c r="E83" s="110"/>
      <c r="F83" s="110"/>
      <c r="G83" s="110"/>
      <c r="H83" s="111"/>
      <c r="I83" s="110"/>
      <c r="N83" s="110"/>
    </row>
    <row r="84" spans="1:14" x14ac:dyDescent="0.3">
      <c r="A84" s="113"/>
      <c r="B84" s="110"/>
      <c r="C84" s="111"/>
      <c r="D84" s="110"/>
      <c r="E84" s="110"/>
      <c r="F84" s="110"/>
      <c r="G84" s="110"/>
      <c r="H84" s="111"/>
      <c r="I84" s="110"/>
      <c r="N84" s="110"/>
    </row>
    <row r="85" spans="1:14" x14ac:dyDescent="0.3">
      <c r="A85" s="113"/>
      <c r="B85" s="110"/>
      <c r="C85" s="111"/>
      <c r="D85" s="110"/>
      <c r="E85" s="110"/>
      <c r="F85" s="110"/>
      <c r="G85" s="110"/>
      <c r="H85" s="111"/>
      <c r="I85" s="110"/>
      <c r="N85" s="110"/>
    </row>
    <row r="86" spans="1:14" x14ac:dyDescent="0.3">
      <c r="A86" s="113"/>
      <c r="B86" s="110"/>
      <c r="C86" s="111"/>
      <c r="D86" s="110"/>
      <c r="E86" s="110"/>
      <c r="F86" s="110"/>
      <c r="G86" s="110"/>
      <c r="H86" s="111"/>
      <c r="I86" s="110"/>
      <c r="N86" s="110"/>
    </row>
    <row r="87" spans="1:14" x14ac:dyDescent="0.3">
      <c r="A87" s="113"/>
      <c r="B87" s="110"/>
      <c r="C87" s="111"/>
      <c r="D87" s="110"/>
      <c r="E87" s="110"/>
      <c r="F87" s="110"/>
      <c r="G87" s="110"/>
      <c r="H87" s="111"/>
      <c r="I87" s="110"/>
      <c r="N87" s="110"/>
    </row>
    <row r="88" spans="1:14" x14ac:dyDescent="0.3">
      <c r="A88" s="113"/>
      <c r="B88" s="110"/>
      <c r="C88" s="111"/>
      <c r="D88" s="110"/>
      <c r="E88" s="110"/>
      <c r="F88" s="110"/>
      <c r="G88" s="110"/>
      <c r="H88" s="111"/>
      <c r="I88" s="110"/>
      <c r="N88" s="110"/>
    </row>
    <row r="89" spans="1:14" x14ac:dyDescent="0.3">
      <c r="A89" s="113"/>
      <c r="B89" s="110"/>
      <c r="C89" s="111"/>
      <c r="D89" s="110"/>
      <c r="E89" s="110"/>
      <c r="F89" s="110"/>
      <c r="G89" s="110"/>
      <c r="H89" s="111"/>
      <c r="I89" s="110"/>
      <c r="N89" s="110"/>
    </row>
    <row r="90" spans="1:14" x14ac:dyDescent="0.3">
      <c r="A90" s="113"/>
      <c r="B90" s="110"/>
      <c r="C90" s="111"/>
      <c r="D90" s="110"/>
      <c r="E90" s="110"/>
      <c r="F90" s="110"/>
      <c r="G90" s="110"/>
      <c r="H90" s="111"/>
      <c r="I90" s="110"/>
      <c r="N90" s="110"/>
    </row>
    <row r="91" spans="1:14" x14ac:dyDescent="0.3">
      <c r="A91" s="113"/>
      <c r="B91" s="110"/>
      <c r="C91" s="111"/>
      <c r="D91" s="110"/>
      <c r="E91" s="110"/>
      <c r="F91" s="110"/>
      <c r="G91" s="110"/>
      <c r="H91" s="111"/>
      <c r="I91" s="110"/>
      <c r="N91" s="110"/>
    </row>
    <row r="92" spans="1:14" x14ac:dyDescent="0.3">
      <c r="A92" s="113"/>
      <c r="B92" s="110"/>
      <c r="C92" s="111"/>
      <c r="D92" s="110"/>
      <c r="E92" s="110"/>
      <c r="F92" s="110"/>
      <c r="G92" s="110"/>
      <c r="H92" s="111"/>
      <c r="I92" s="110"/>
      <c r="N92" s="110"/>
    </row>
    <row r="93" spans="1:14" x14ac:dyDescent="0.3">
      <c r="A93" s="113"/>
      <c r="B93" s="110"/>
      <c r="C93" s="111"/>
      <c r="D93" s="110"/>
      <c r="E93" s="110"/>
      <c r="F93" s="110"/>
      <c r="G93" s="110"/>
      <c r="H93" s="111"/>
      <c r="I93" s="110"/>
      <c r="N93" s="110"/>
    </row>
    <row r="94" spans="1:14" x14ac:dyDescent="0.3">
      <c r="A94" s="113"/>
      <c r="B94" s="110"/>
      <c r="C94" s="111"/>
      <c r="D94" s="110"/>
      <c r="E94" s="110"/>
      <c r="F94" s="110"/>
      <c r="G94" s="110"/>
      <c r="H94" s="111"/>
      <c r="I94" s="110"/>
      <c r="N94" s="110"/>
    </row>
    <row r="95" spans="1:14" x14ac:dyDescent="0.3">
      <c r="A95" s="113"/>
      <c r="B95" s="110"/>
      <c r="C95" s="111"/>
      <c r="D95" s="110"/>
      <c r="E95" s="110"/>
      <c r="F95" s="110"/>
      <c r="G95" s="110"/>
      <c r="H95" s="111"/>
      <c r="I95" s="110"/>
      <c r="N95" s="110"/>
    </row>
    <row r="96" spans="1:14" x14ac:dyDescent="0.3">
      <c r="A96" s="113"/>
      <c r="B96" s="110"/>
      <c r="C96" s="111"/>
      <c r="D96" s="110"/>
      <c r="E96" s="110"/>
      <c r="F96" s="110"/>
      <c r="G96" s="110"/>
      <c r="H96" s="111"/>
      <c r="I96" s="110"/>
      <c r="N96" s="110"/>
    </row>
    <row r="97" spans="1:14" x14ac:dyDescent="0.3">
      <c r="A97" s="113"/>
      <c r="B97" s="110"/>
      <c r="C97" s="111"/>
      <c r="D97" s="110"/>
      <c r="E97" s="110"/>
      <c r="F97" s="110"/>
      <c r="G97" s="110"/>
      <c r="H97" s="111"/>
      <c r="I97" s="110"/>
      <c r="N97" s="110"/>
    </row>
    <row r="98" spans="1:14" x14ac:dyDescent="0.3">
      <c r="A98" s="113"/>
      <c r="B98" s="110"/>
      <c r="C98" s="111"/>
      <c r="D98" s="110"/>
      <c r="E98" s="110"/>
      <c r="F98" s="110"/>
      <c r="G98" s="110"/>
      <c r="H98" s="111"/>
      <c r="I98" s="110"/>
      <c r="N98" s="110"/>
    </row>
    <row r="99" spans="1:14" x14ac:dyDescent="0.3">
      <c r="A99" s="113"/>
      <c r="B99" s="110"/>
      <c r="C99" s="111"/>
      <c r="D99" s="110"/>
      <c r="E99" s="110"/>
      <c r="F99" s="110"/>
      <c r="G99" s="110"/>
      <c r="H99" s="111"/>
      <c r="I99" s="110"/>
      <c r="N99" s="110"/>
    </row>
    <row r="100" spans="1:14" x14ac:dyDescent="0.3">
      <c r="A100" s="113"/>
      <c r="B100" s="110"/>
      <c r="C100" s="111"/>
      <c r="D100" s="110"/>
      <c r="E100" s="110"/>
      <c r="F100" s="110"/>
      <c r="G100" s="110"/>
      <c r="H100" s="111"/>
      <c r="I100" s="110"/>
      <c r="N100" s="110"/>
    </row>
    <row r="101" spans="1:14" x14ac:dyDescent="0.3">
      <c r="A101" s="113"/>
      <c r="B101" s="110"/>
      <c r="C101" s="111"/>
      <c r="D101" s="110"/>
      <c r="E101" s="110"/>
      <c r="F101" s="110"/>
      <c r="G101" s="110"/>
      <c r="H101" s="111"/>
      <c r="I101" s="110"/>
      <c r="N101" s="110"/>
    </row>
    <row r="102" spans="1:14" x14ac:dyDescent="0.3">
      <c r="A102" s="113"/>
      <c r="B102" s="110"/>
      <c r="C102" s="111"/>
      <c r="D102" s="110"/>
      <c r="E102" s="110"/>
      <c r="F102" s="110"/>
      <c r="G102" s="110"/>
      <c r="H102" s="111"/>
      <c r="I102" s="110"/>
      <c r="N102" s="110"/>
    </row>
    <row r="103" spans="1:14" x14ac:dyDescent="0.3">
      <c r="A103" s="113"/>
      <c r="B103" s="110"/>
      <c r="C103" s="111"/>
      <c r="D103" s="110"/>
      <c r="E103" s="110"/>
      <c r="F103" s="110"/>
      <c r="G103" s="110"/>
      <c r="H103" s="111"/>
      <c r="I103" s="110"/>
      <c r="N103" s="110"/>
    </row>
    <row r="104" spans="1:14" x14ac:dyDescent="0.3">
      <c r="A104" s="113"/>
      <c r="B104" s="110"/>
      <c r="C104" s="111"/>
      <c r="D104" s="110"/>
      <c r="E104" s="110"/>
      <c r="F104" s="110"/>
      <c r="G104" s="110"/>
      <c r="H104" s="111"/>
      <c r="I104" s="110"/>
      <c r="N104" s="110"/>
    </row>
    <row r="105" spans="1:14" x14ac:dyDescent="0.3">
      <c r="A105" s="113"/>
      <c r="B105" s="110"/>
      <c r="C105" s="111"/>
      <c r="D105" s="110"/>
      <c r="E105" s="110"/>
      <c r="F105" s="110"/>
      <c r="G105" s="110"/>
      <c r="H105" s="111"/>
      <c r="I105" s="110"/>
      <c r="N105" s="110"/>
    </row>
    <row r="106" spans="1:14" x14ac:dyDescent="0.3">
      <c r="A106" s="113"/>
      <c r="B106" s="110"/>
      <c r="C106" s="111"/>
      <c r="D106" s="110"/>
      <c r="E106" s="110"/>
      <c r="F106" s="110"/>
      <c r="G106" s="110"/>
      <c r="H106" s="111"/>
      <c r="I106" s="110"/>
      <c r="N106" s="110"/>
    </row>
    <row r="107" spans="1:14" x14ac:dyDescent="0.3">
      <c r="A107" s="113"/>
      <c r="B107" s="110"/>
      <c r="C107" s="111"/>
      <c r="D107" s="110"/>
      <c r="E107" s="110"/>
      <c r="F107" s="110"/>
      <c r="G107" s="110"/>
      <c r="H107" s="111"/>
      <c r="I107" s="110"/>
      <c r="N107" s="110"/>
    </row>
    <row r="108" spans="1:14" x14ac:dyDescent="0.3">
      <c r="A108" s="113"/>
      <c r="B108" s="110"/>
      <c r="C108" s="111"/>
      <c r="D108" s="110"/>
      <c r="E108" s="110"/>
      <c r="F108" s="110"/>
      <c r="G108" s="110"/>
      <c r="H108" s="111"/>
      <c r="I108" s="110"/>
      <c r="N108" s="110"/>
    </row>
    <row r="109" spans="1:14" x14ac:dyDescent="0.3">
      <c r="A109" s="113"/>
      <c r="B109" s="110"/>
      <c r="C109" s="111"/>
      <c r="D109" s="110"/>
      <c r="E109" s="110"/>
      <c r="F109" s="110"/>
      <c r="G109" s="110"/>
      <c r="H109" s="111"/>
      <c r="I109" s="110"/>
      <c r="N109" s="110"/>
    </row>
    <row r="110" spans="1:14" x14ac:dyDescent="0.3">
      <c r="A110" s="113"/>
      <c r="B110" s="110"/>
      <c r="C110" s="111"/>
      <c r="D110" s="110"/>
      <c r="E110" s="110"/>
      <c r="F110" s="110"/>
      <c r="G110" s="110"/>
      <c r="H110" s="111"/>
      <c r="I110" s="110"/>
      <c r="N110" s="110"/>
    </row>
    <row r="111" spans="1:14" x14ac:dyDescent="0.3">
      <c r="A111" s="113"/>
      <c r="B111" s="110"/>
      <c r="C111" s="111"/>
      <c r="D111" s="110"/>
      <c r="E111" s="110"/>
      <c r="F111" s="110"/>
      <c r="G111" s="110"/>
      <c r="H111" s="111"/>
      <c r="I111" s="110"/>
      <c r="N111" s="110"/>
    </row>
    <row r="112" spans="1:14" x14ac:dyDescent="0.3">
      <c r="A112" s="113"/>
      <c r="B112" s="110"/>
      <c r="C112" s="111"/>
      <c r="D112" s="110"/>
      <c r="E112" s="110"/>
      <c r="F112" s="110"/>
      <c r="G112" s="110"/>
      <c r="H112" s="111"/>
      <c r="I112" s="110"/>
      <c r="N112" s="110"/>
    </row>
    <row r="113" spans="1:14" x14ac:dyDescent="0.3">
      <c r="A113" s="113"/>
      <c r="B113" s="110"/>
      <c r="C113" s="111"/>
      <c r="D113" s="110"/>
      <c r="E113" s="110"/>
      <c r="F113" s="110"/>
      <c r="G113" s="110"/>
      <c r="H113" s="111"/>
      <c r="I113" s="110"/>
      <c r="N113" s="110"/>
    </row>
    <row r="114" spans="1:14" x14ac:dyDescent="0.3">
      <c r="A114" s="113"/>
      <c r="B114" s="110"/>
      <c r="C114" s="111"/>
      <c r="D114" s="110"/>
      <c r="E114" s="110"/>
      <c r="F114" s="110"/>
      <c r="G114" s="110"/>
      <c r="H114" s="111"/>
      <c r="I114" s="110"/>
      <c r="N114" s="110"/>
    </row>
    <row r="115" spans="1:14" x14ac:dyDescent="0.3">
      <c r="A115" s="113"/>
      <c r="B115" s="110"/>
      <c r="C115" s="111"/>
      <c r="D115" s="110"/>
      <c r="E115" s="110"/>
      <c r="F115" s="110"/>
      <c r="G115" s="110"/>
      <c r="H115" s="111"/>
      <c r="I115" s="110"/>
      <c r="N115" s="110"/>
    </row>
    <row r="116" spans="1:14" x14ac:dyDescent="0.3">
      <c r="A116" s="113"/>
      <c r="B116" s="110"/>
      <c r="C116" s="111"/>
      <c r="D116" s="110"/>
      <c r="E116" s="110"/>
      <c r="F116" s="110"/>
      <c r="G116" s="110"/>
      <c r="H116" s="111"/>
      <c r="I116" s="110"/>
      <c r="N116" s="110"/>
    </row>
    <row r="117" spans="1:14" x14ac:dyDescent="0.3">
      <c r="A117" s="113"/>
      <c r="B117" s="110"/>
      <c r="C117" s="111"/>
      <c r="D117" s="110"/>
      <c r="E117" s="110"/>
      <c r="F117" s="110"/>
      <c r="G117" s="110"/>
      <c r="H117" s="111"/>
      <c r="I117" s="110"/>
      <c r="N117" s="110"/>
    </row>
    <row r="118" spans="1:14" x14ac:dyDescent="0.3">
      <c r="A118" s="113"/>
      <c r="B118" s="110"/>
      <c r="C118" s="111"/>
      <c r="D118" s="110"/>
      <c r="E118" s="110"/>
      <c r="F118" s="110"/>
      <c r="G118" s="110"/>
      <c r="H118" s="111"/>
      <c r="I118" s="110"/>
      <c r="N118" s="110"/>
    </row>
    <row r="119" spans="1:14" x14ac:dyDescent="0.3">
      <c r="A119" s="113"/>
      <c r="B119" s="110"/>
      <c r="C119" s="111"/>
      <c r="D119" s="110"/>
      <c r="E119" s="110"/>
      <c r="F119" s="110"/>
      <c r="G119" s="110"/>
      <c r="H119" s="111"/>
      <c r="I119" s="110"/>
      <c r="N119" s="110"/>
    </row>
    <row r="120" spans="1:14" x14ac:dyDescent="0.3">
      <c r="A120" s="113"/>
      <c r="B120" s="110"/>
      <c r="C120" s="111"/>
      <c r="D120" s="110"/>
      <c r="E120" s="110"/>
      <c r="F120" s="110"/>
      <c r="G120" s="110"/>
      <c r="H120" s="111"/>
      <c r="I120" s="110"/>
      <c r="N120" s="110"/>
    </row>
    <row r="121" spans="1:14" x14ac:dyDescent="0.3">
      <c r="A121" s="113"/>
      <c r="B121" s="110"/>
      <c r="C121" s="111"/>
      <c r="D121" s="110"/>
      <c r="E121" s="110"/>
      <c r="F121" s="110"/>
      <c r="G121" s="110"/>
      <c r="H121" s="111"/>
      <c r="I121" s="110"/>
      <c r="N121" s="110"/>
    </row>
    <row r="122" spans="1:14" x14ac:dyDescent="0.3">
      <c r="A122" s="113"/>
      <c r="B122" s="110"/>
      <c r="C122" s="111"/>
      <c r="D122" s="110"/>
      <c r="E122" s="110"/>
      <c r="F122" s="110"/>
      <c r="G122" s="110"/>
      <c r="H122" s="111"/>
      <c r="I122" s="110"/>
      <c r="N122" s="110"/>
    </row>
    <row r="123" spans="1:14" x14ac:dyDescent="0.3">
      <c r="A123" s="113"/>
      <c r="B123" s="110"/>
      <c r="C123" s="111"/>
      <c r="D123" s="110"/>
      <c r="E123" s="110"/>
      <c r="F123" s="110"/>
      <c r="G123" s="110"/>
      <c r="H123" s="111"/>
      <c r="I123" s="110"/>
      <c r="N123" s="110"/>
    </row>
    <row r="124" spans="1:14" x14ac:dyDescent="0.3">
      <c r="A124" s="113"/>
      <c r="B124" s="110"/>
      <c r="C124" s="111"/>
      <c r="D124" s="110"/>
      <c r="E124" s="110"/>
      <c r="F124" s="110"/>
      <c r="G124" s="110"/>
      <c r="H124" s="111"/>
      <c r="I124" s="110"/>
      <c r="N124" s="110"/>
    </row>
    <row r="125" spans="1:14" x14ac:dyDescent="0.3">
      <c r="A125" s="113"/>
      <c r="B125" s="110"/>
      <c r="C125" s="111"/>
      <c r="D125" s="110"/>
      <c r="E125" s="110"/>
      <c r="F125" s="110"/>
      <c r="G125" s="110"/>
      <c r="H125" s="111"/>
      <c r="I125" s="110"/>
      <c r="N125" s="110"/>
    </row>
    <row r="126" spans="1:14" x14ac:dyDescent="0.3">
      <c r="A126" s="113"/>
      <c r="B126" s="110"/>
      <c r="C126" s="111"/>
      <c r="D126" s="110"/>
      <c r="E126" s="110"/>
      <c r="F126" s="110"/>
      <c r="G126" s="110"/>
      <c r="H126" s="111"/>
      <c r="I126" s="110"/>
      <c r="N126" s="110"/>
    </row>
    <row r="127" spans="1:14" x14ac:dyDescent="0.3">
      <c r="A127" s="113"/>
      <c r="B127" s="110"/>
      <c r="C127" s="111"/>
      <c r="D127" s="110"/>
      <c r="E127" s="110"/>
      <c r="F127" s="110"/>
      <c r="G127" s="110"/>
      <c r="H127" s="111"/>
      <c r="I127" s="110"/>
      <c r="N127" s="110"/>
    </row>
    <row r="128" spans="1:14" x14ac:dyDescent="0.3">
      <c r="A128" s="113"/>
      <c r="B128" s="110"/>
      <c r="C128" s="111"/>
      <c r="D128" s="110"/>
      <c r="E128" s="110"/>
      <c r="F128" s="110"/>
      <c r="G128" s="110"/>
      <c r="H128" s="111"/>
      <c r="I128" s="110"/>
      <c r="N128" s="110"/>
    </row>
    <row r="129" spans="1:14" x14ac:dyDescent="0.3">
      <c r="A129" s="113"/>
      <c r="B129" s="110"/>
      <c r="C129" s="111"/>
      <c r="D129" s="110"/>
      <c r="E129" s="110"/>
      <c r="F129" s="110"/>
      <c r="G129" s="110"/>
      <c r="H129" s="111"/>
      <c r="I129" s="110"/>
      <c r="J129" s="110"/>
      <c r="K129" s="110"/>
      <c r="L129" s="110"/>
      <c r="M129" s="110"/>
      <c r="N129" s="110"/>
    </row>
    <row r="130" spans="1:14" x14ac:dyDescent="0.3">
      <c r="A130" s="113"/>
      <c r="B130" s="110"/>
      <c r="C130" s="111"/>
      <c r="D130" s="110"/>
      <c r="E130" s="110"/>
      <c r="F130" s="110"/>
      <c r="G130" s="110"/>
      <c r="H130" s="111"/>
      <c r="I130" s="110"/>
      <c r="J130" s="110"/>
      <c r="K130" s="110"/>
      <c r="L130" s="110"/>
      <c r="M130" s="110"/>
      <c r="N130" s="110"/>
    </row>
    <row r="131" spans="1:14" x14ac:dyDescent="0.3">
      <c r="A131" s="113"/>
      <c r="B131" s="110"/>
      <c r="C131" s="111"/>
      <c r="D131" s="110"/>
      <c r="E131" s="110"/>
      <c r="F131" s="110"/>
      <c r="G131" s="110"/>
      <c r="H131" s="111"/>
      <c r="I131" s="110"/>
      <c r="J131" s="110"/>
      <c r="K131" s="110"/>
      <c r="L131" s="110"/>
      <c r="M131" s="110"/>
      <c r="N131" s="110"/>
    </row>
    <row r="132" spans="1:14" x14ac:dyDescent="0.3">
      <c r="A132" s="113"/>
      <c r="B132" s="110"/>
      <c r="C132" s="111"/>
      <c r="D132" s="110"/>
      <c r="E132" s="110"/>
      <c r="F132" s="110"/>
      <c r="G132" s="110"/>
      <c r="H132" s="111"/>
      <c r="I132" s="110"/>
      <c r="J132" s="110"/>
      <c r="K132" s="110"/>
      <c r="L132" s="110"/>
      <c r="M132" s="110"/>
      <c r="N132" s="110"/>
    </row>
    <row r="133" spans="1:14" x14ac:dyDescent="0.3">
      <c r="A133" s="113"/>
      <c r="B133" s="110"/>
      <c r="C133" s="111"/>
      <c r="D133" s="110"/>
      <c r="E133" s="110"/>
      <c r="F133" s="110"/>
      <c r="G133" s="110"/>
      <c r="H133" s="111"/>
      <c r="I133" s="110"/>
      <c r="J133" s="110"/>
      <c r="K133" s="110"/>
      <c r="L133" s="110"/>
      <c r="M133" s="110"/>
      <c r="N133" s="110"/>
    </row>
    <row r="134" spans="1:14" x14ac:dyDescent="0.3">
      <c r="A134" s="113"/>
      <c r="B134" s="110"/>
      <c r="C134" s="111"/>
      <c r="D134" s="110"/>
      <c r="E134" s="110"/>
      <c r="F134" s="110"/>
      <c r="G134" s="110"/>
      <c r="H134" s="111"/>
      <c r="I134" s="110"/>
      <c r="J134" s="110"/>
      <c r="K134" s="110"/>
      <c r="L134" s="110"/>
      <c r="M134" s="110"/>
      <c r="N134" s="110"/>
    </row>
    <row r="135" spans="1:14" x14ac:dyDescent="0.3">
      <c r="A135" s="113"/>
      <c r="B135" s="110"/>
      <c r="C135" s="111"/>
      <c r="D135" s="110"/>
      <c r="E135" s="110"/>
      <c r="F135" s="110"/>
      <c r="G135" s="110"/>
      <c r="H135" s="111"/>
      <c r="I135" s="110"/>
      <c r="J135" s="110"/>
      <c r="K135" s="110"/>
      <c r="L135" s="110"/>
      <c r="M135" s="110"/>
      <c r="N135" s="110"/>
    </row>
    <row r="136" spans="1:14" x14ac:dyDescent="0.3">
      <c r="A136" s="113"/>
      <c r="B136" s="110"/>
      <c r="C136" s="111"/>
      <c r="D136" s="110"/>
      <c r="E136" s="110"/>
      <c r="F136" s="110"/>
      <c r="G136" s="110"/>
      <c r="H136" s="111"/>
      <c r="I136" s="110"/>
      <c r="J136" s="110"/>
      <c r="K136" s="110"/>
      <c r="L136" s="110"/>
      <c r="M136" s="110"/>
      <c r="N136" s="110"/>
    </row>
    <row r="137" spans="1:14" x14ac:dyDescent="0.3">
      <c r="A137" s="113"/>
      <c r="B137" s="110"/>
      <c r="C137" s="111"/>
      <c r="D137" s="110"/>
      <c r="E137" s="110"/>
      <c r="F137" s="110"/>
      <c r="G137" s="110"/>
      <c r="H137" s="111"/>
      <c r="I137" s="110"/>
      <c r="J137" s="110"/>
      <c r="K137" s="110"/>
      <c r="L137" s="110"/>
      <c r="M137" s="110"/>
      <c r="N137" s="110"/>
    </row>
    <row r="138" spans="1:14" x14ac:dyDescent="0.3">
      <c r="A138" s="113"/>
      <c r="B138" s="110"/>
      <c r="C138" s="111"/>
      <c r="D138" s="110"/>
      <c r="E138" s="110"/>
      <c r="F138" s="110"/>
      <c r="G138" s="110"/>
      <c r="H138" s="111"/>
      <c r="I138" s="110"/>
      <c r="J138" s="110"/>
      <c r="K138" s="110"/>
      <c r="L138" s="110"/>
      <c r="M138" s="110"/>
      <c r="N138" s="110"/>
    </row>
    <row r="139" spans="1:14" x14ac:dyDescent="0.3">
      <c r="A139" s="113"/>
      <c r="B139" s="110"/>
      <c r="C139" s="111"/>
      <c r="D139" s="110"/>
      <c r="E139" s="110"/>
      <c r="F139" s="110"/>
      <c r="G139" s="110"/>
      <c r="H139" s="111"/>
      <c r="I139" s="110"/>
      <c r="J139" s="110"/>
      <c r="K139" s="110"/>
      <c r="L139" s="110"/>
      <c r="M139" s="110"/>
      <c r="N139" s="110"/>
    </row>
    <row r="140" spans="1:14" x14ac:dyDescent="0.3">
      <c r="A140" s="113"/>
      <c r="B140" s="110"/>
      <c r="C140" s="111"/>
      <c r="D140" s="110"/>
      <c r="E140" s="110"/>
      <c r="F140" s="110"/>
      <c r="G140" s="110"/>
      <c r="H140" s="111"/>
      <c r="I140" s="110"/>
      <c r="J140" s="110"/>
      <c r="K140" s="110"/>
      <c r="L140" s="110"/>
      <c r="M140" s="110"/>
      <c r="N140" s="110"/>
    </row>
    <row r="141" spans="1:14" x14ac:dyDescent="0.3">
      <c r="A141" s="113"/>
      <c r="B141" s="110"/>
      <c r="C141" s="111"/>
      <c r="D141" s="110"/>
      <c r="E141" s="110"/>
      <c r="F141" s="110"/>
      <c r="G141" s="110"/>
      <c r="H141" s="111"/>
      <c r="I141" s="110"/>
      <c r="J141" s="110"/>
      <c r="K141" s="110"/>
      <c r="L141" s="110"/>
      <c r="M141" s="110"/>
      <c r="N141" s="110"/>
    </row>
    <row r="142" spans="1:14" x14ac:dyDescent="0.3">
      <c r="A142" s="113"/>
      <c r="B142" s="110"/>
      <c r="C142" s="111"/>
      <c r="D142" s="110"/>
      <c r="E142" s="110"/>
      <c r="F142" s="110"/>
      <c r="G142" s="110"/>
      <c r="H142" s="111"/>
      <c r="I142" s="110"/>
      <c r="J142" s="110"/>
      <c r="K142" s="110"/>
      <c r="L142" s="110"/>
      <c r="M142" s="110"/>
      <c r="N142" s="110"/>
    </row>
    <row r="143" spans="1:14" x14ac:dyDescent="0.3">
      <c r="A143" s="113"/>
      <c r="B143" s="110"/>
      <c r="C143" s="111"/>
      <c r="D143" s="110"/>
      <c r="E143" s="110"/>
      <c r="F143" s="110"/>
      <c r="G143" s="110"/>
      <c r="H143" s="111"/>
      <c r="I143" s="110"/>
      <c r="J143" s="110"/>
      <c r="K143" s="110"/>
      <c r="L143" s="110"/>
      <c r="M143" s="110"/>
      <c r="N143" s="110"/>
    </row>
    <row r="144" spans="1:14" x14ac:dyDescent="0.3">
      <c r="A144" s="113"/>
      <c r="B144" s="110"/>
      <c r="C144" s="111"/>
      <c r="D144" s="110"/>
      <c r="E144" s="110"/>
      <c r="F144" s="110"/>
      <c r="G144" s="110"/>
      <c r="H144" s="111"/>
      <c r="I144" s="110"/>
      <c r="J144" s="110"/>
      <c r="K144" s="110"/>
      <c r="L144" s="110"/>
      <c r="M144" s="110"/>
      <c r="N144" s="110"/>
    </row>
    <row r="145" spans="1:14" x14ac:dyDescent="0.3">
      <c r="A145" s="113"/>
      <c r="B145" s="110"/>
      <c r="C145" s="111"/>
      <c r="D145" s="110"/>
      <c r="E145" s="110"/>
      <c r="F145" s="110"/>
      <c r="G145" s="110"/>
      <c r="H145" s="111"/>
      <c r="I145" s="110"/>
      <c r="J145" s="110"/>
      <c r="K145" s="110"/>
      <c r="L145" s="110"/>
      <c r="M145" s="110"/>
      <c r="N145" s="110"/>
    </row>
    <row r="146" spans="1:14" x14ac:dyDescent="0.3">
      <c r="A146" s="113"/>
      <c r="B146" s="110"/>
      <c r="C146" s="111"/>
      <c r="D146" s="110"/>
      <c r="E146" s="110"/>
      <c r="F146" s="110"/>
      <c r="G146" s="110"/>
      <c r="H146" s="111"/>
      <c r="I146" s="110"/>
      <c r="J146" s="110"/>
      <c r="K146" s="110"/>
      <c r="L146" s="110"/>
      <c r="M146" s="110"/>
      <c r="N146" s="110"/>
    </row>
    <row r="147" spans="1:14" x14ac:dyDescent="0.3">
      <c r="A147" s="113"/>
      <c r="B147" s="110"/>
      <c r="C147" s="111"/>
      <c r="D147" s="110"/>
      <c r="E147" s="110"/>
      <c r="F147" s="110"/>
      <c r="G147" s="110"/>
      <c r="H147" s="111"/>
      <c r="I147" s="110"/>
      <c r="J147" s="110"/>
      <c r="K147" s="110"/>
      <c r="L147" s="110"/>
      <c r="M147" s="110"/>
      <c r="N147" s="110"/>
    </row>
    <row r="148" spans="1:14" x14ac:dyDescent="0.3">
      <c r="A148" s="113"/>
      <c r="B148" s="110"/>
      <c r="C148" s="111"/>
      <c r="D148" s="110"/>
      <c r="E148" s="110"/>
      <c r="F148" s="110"/>
      <c r="G148" s="110"/>
      <c r="H148" s="111"/>
      <c r="I148" s="110"/>
      <c r="J148" s="110"/>
      <c r="K148" s="110"/>
      <c r="L148" s="110"/>
      <c r="M148" s="110"/>
      <c r="N148" s="110"/>
    </row>
    <row r="149" spans="1:14" x14ac:dyDescent="0.3">
      <c r="A149" s="113"/>
      <c r="B149" s="110"/>
      <c r="C149" s="111"/>
      <c r="D149" s="110"/>
      <c r="E149" s="110"/>
      <c r="F149" s="110"/>
      <c r="G149" s="110"/>
      <c r="H149" s="111"/>
      <c r="I149" s="110"/>
      <c r="J149" s="110"/>
      <c r="K149" s="110"/>
      <c r="L149" s="110"/>
      <c r="M149" s="110"/>
      <c r="N149" s="110"/>
    </row>
    <row r="150" spans="1:14" x14ac:dyDescent="0.3">
      <c r="A150" s="113"/>
      <c r="B150" s="110"/>
      <c r="C150" s="111"/>
      <c r="D150" s="110"/>
      <c r="E150" s="110"/>
      <c r="F150" s="110"/>
      <c r="G150" s="110"/>
      <c r="H150" s="111"/>
      <c r="I150" s="110"/>
      <c r="J150" s="110"/>
      <c r="K150" s="110"/>
      <c r="L150" s="110"/>
      <c r="M150" s="110"/>
      <c r="N150" s="110"/>
    </row>
    <row r="151" spans="1:14" x14ac:dyDescent="0.3">
      <c r="A151" s="113"/>
      <c r="B151" s="110"/>
      <c r="C151" s="111"/>
      <c r="D151" s="110"/>
      <c r="E151" s="110"/>
      <c r="F151" s="110"/>
      <c r="G151" s="110"/>
      <c r="H151" s="111"/>
      <c r="I151" s="110"/>
      <c r="J151" s="110"/>
      <c r="K151" s="110"/>
      <c r="L151" s="110"/>
      <c r="M151" s="110"/>
      <c r="N151" s="110"/>
    </row>
    <row r="152" spans="1:14" x14ac:dyDescent="0.3">
      <c r="A152" s="113"/>
      <c r="B152" s="110"/>
      <c r="C152" s="111"/>
      <c r="D152" s="110"/>
      <c r="E152" s="110"/>
      <c r="F152" s="110"/>
      <c r="G152" s="110"/>
      <c r="H152" s="111"/>
      <c r="I152" s="110"/>
      <c r="J152" s="110"/>
      <c r="K152" s="110"/>
      <c r="L152" s="110"/>
      <c r="M152" s="110"/>
      <c r="N152" s="110"/>
    </row>
    <row r="153" spans="1:14" x14ac:dyDescent="0.3">
      <c r="A153" s="113"/>
      <c r="B153" s="110"/>
      <c r="C153" s="111"/>
      <c r="D153" s="110"/>
      <c r="E153" s="110"/>
      <c r="F153" s="110"/>
      <c r="G153" s="110"/>
      <c r="H153" s="111"/>
      <c r="I153" s="110"/>
      <c r="J153" s="110"/>
      <c r="K153" s="110"/>
      <c r="L153" s="110"/>
      <c r="M153" s="110"/>
      <c r="N153" s="110"/>
    </row>
    <row r="154" spans="1:14" x14ac:dyDescent="0.3">
      <c r="A154" s="113"/>
      <c r="B154" s="110"/>
      <c r="C154" s="111"/>
      <c r="D154" s="110"/>
      <c r="E154" s="110"/>
      <c r="F154" s="110"/>
      <c r="G154" s="110"/>
      <c r="H154" s="111"/>
      <c r="I154" s="110"/>
      <c r="J154" s="110"/>
      <c r="K154" s="110"/>
      <c r="L154" s="110"/>
      <c r="M154" s="110"/>
      <c r="N154" s="110"/>
    </row>
    <row r="155" spans="1:14" x14ac:dyDescent="0.3">
      <c r="A155" s="113"/>
      <c r="B155" s="110"/>
      <c r="C155" s="111"/>
      <c r="D155" s="110"/>
      <c r="E155" s="110"/>
      <c r="F155" s="110"/>
      <c r="G155" s="110"/>
      <c r="H155" s="111"/>
      <c r="I155" s="110"/>
      <c r="J155" s="110"/>
      <c r="K155" s="110"/>
      <c r="L155" s="110"/>
      <c r="M155" s="110"/>
      <c r="N155" s="110"/>
    </row>
    <row r="156" spans="1:14" x14ac:dyDescent="0.3">
      <c r="A156" s="113"/>
      <c r="B156" s="110"/>
      <c r="C156" s="111"/>
      <c r="D156" s="110"/>
      <c r="E156" s="110"/>
      <c r="F156" s="110"/>
      <c r="G156" s="110"/>
      <c r="H156" s="111"/>
      <c r="I156" s="110"/>
      <c r="J156" s="110"/>
      <c r="K156" s="110"/>
      <c r="L156" s="110"/>
      <c r="M156" s="110"/>
      <c r="N156" s="110"/>
    </row>
    <row r="157" spans="1:14" x14ac:dyDescent="0.3">
      <c r="A157" s="113"/>
      <c r="B157" s="110"/>
      <c r="C157" s="111"/>
      <c r="D157" s="110"/>
      <c r="E157" s="110"/>
      <c r="F157" s="110"/>
      <c r="G157" s="110"/>
      <c r="H157" s="111"/>
      <c r="I157" s="110"/>
      <c r="J157" s="110"/>
      <c r="K157" s="110"/>
      <c r="L157" s="110"/>
      <c r="M157" s="110"/>
      <c r="N157" s="110"/>
    </row>
    <row r="158" spans="1:14" x14ac:dyDescent="0.3">
      <c r="A158" s="113"/>
      <c r="B158" s="110"/>
      <c r="C158" s="111"/>
      <c r="D158" s="110"/>
      <c r="E158" s="110"/>
      <c r="F158" s="110"/>
      <c r="G158" s="110"/>
      <c r="H158" s="111"/>
      <c r="I158" s="110"/>
      <c r="J158" s="110"/>
      <c r="K158" s="110"/>
      <c r="L158" s="110"/>
      <c r="M158" s="110"/>
      <c r="N158" s="110"/>
    </row>
    <row r="159" spans="1:14" x14ac:dyDescent="0.3">
      <c r="A159" s="113"/>
      <c r="B159" s="110"/>
      <c r="C159" s="111"/>
      <c r="D159" s="110"/>
      <c r="E159" s="110"/>
      <c r="F159" s="110"/>
      <c r="G159" s="110"/>
      <c r="H159" s="111"/>
      <c r="I159" s="110"/>
      <c r="J159" s="110"/>
      <c r="K159" s="110"/>
      <c r="L159" s="110"/>
      <c r="M159" s="110"/>
      <c r="N159" s="110"/>
    </row>
    <row r="160" spans="1:14" x14ac:dyDescent="0.3">
      <c r="A160" s="113"/>
      <c r="B160" s="110"/>
      <c r="C160" s="111"/>
      <c r="D160" s="110"/>
      <c r="E160" s="110"/>
      <c r="F160" s="110"/>
      <c r="G160" s="110"/>
      <c r="H160" s="111"/>
      <c r="I160" s="110"/>
      <c r="J160" s="110"/>
      <c r="K160" s="110"/>
      <c r="L160" s="110"/>
      <c r="M160" s="110"/>
      <c r="N160" s="110"/>
    </row>
    <row r="161" spans="1:14" x14ac:dyDescent="0.3">
      <c r="A161" s="113"/>
      <c r="B161" s="110"/>
      <c r="C161" s="111"/>
      <c r="D161" s="110"/>
      <c r="E161" s="110"/>
      <c r="F161" s="110"/>
      <c r="G161" s="110"/>
      <c r="H161" s="111"/>
      <c r="I161" s="110"/>
      <c r="J161" s="110"/>
      <c r="K161" s="110"/>
      <c r="L161" s="110"/>
      <c r="M161" s="110"/>
      <c r="N161" s="110"/>
    </row>
    <row r="162" spans="1:14" x14ac:dyDescent="0.3">
      <c r="A162" s="113"/>
      <c r="B162" s="110"/>
      <c r="C162" s="111"/>
      <c r="D162" s="110"/>
      <c r="E162" s="110"/>
      <c r="F162" s="110"/>
      <c r="G162" s="110"/>
      <c r="H162" s="111"/>
      <c r="I162" s="110"/>
      <c r="J162" s="110"/>
      <c r="K162" s="110"/>
      <c r="L162" s="110"/>
      <c r="M162" s="110"/>
      <c r="N162" s="110"/>
    </row>
    <row r="163" spans="1:14" x14ac:dyDescent="0.3">
      <c r="A163" s="113"/>
      <c r="B163" s="110"/>
      <c r="C163" s="111"/>
      <c r="D163" s="110"/>
      <c r="E163" s="110"/>
      <c r="F163" s="110"/>
      <c r="G163" s="110"/>
      <c r="H163" s="111"/>
      <c r="I163" s="110"/>
      <c r="J163" s="110"/>
      <c r="K163" s="110"/>
      <c r="L163" s="110"/>
      <c r="M163" s="110"/>
      <c r="N163" s="110"/>
    </row>
    <row r="164" spans="1:14" x14ac:dyDescent="0.3">
      <c r="A164" s="113"/>
      <c r="B164" s="110"/>
      <c r="C164" s="111"/>
      <c r="D164" s="110"/>
      <c r="E164" s="110"/>
      <c r="F164" s="110"/>
      <c r="G164" s="110"/>
      <c r="H164" s="111"/>
      <c r="I164" s="110"/>
      <c r="J164" s="110"/>
      <c r="K164" s="110"/>
      <c r="L164" s="110"/>
      <c r="M164" s="110"/>
      <c r="N164" s="110"/>
    </row>
    <row r="165" spans="1:14" x14ac:dyDescent="0.3">
      <c r="A165" s="113"/>
      <c r="B165" s="110"/>
      <c r="C165" s="111"/>
      <c r="D165" s="110"/>
      <c r="E165" s="110"/>
      <c r="F165" s="110"/>
      <c r="G165" s="110"/>
      <c r="H165" s="111"/>
      <c r="I165" s="110"/>
      <c r="J165" s="110"/>
      <c r="K165" s="110"/>
      <c r="L165" s="110"/>
      <c r="M165" s="110"/>
      <c r="N165" s="110"/>
    </row>
    <row r="166" spans="1:14" x14ac:dyDescent="0.3">
      <c r="A166" s="113"/>
      <c r="B166" s="110"/>
      <c r="C166" s="111"/>
      <c r="D166" s="110"/>
      <c r="E166" s="110"/>
      <c r="F166" s="110"/>
      <c r="G166" s="110"/>
      <c r="H166" s="111"/>
      <c r="I166" s="110"/>
      <c r="J166" s="110"/>
      <c r="K166" s="110"/>
      <c r="L166" s="110"/>
      <c r="M166" s="110"/>
      <c r="N166" s="110"/>
    </row>
    <row r="167" spans="1:14" x14ac:dyDescent="0.3">
      <c r="A167" s="113"/>
      <c r="B167" s="110"/>
      <c r="C167" s="111"/>
      <c r="D167" s="110"/>
      <c r="E167" s="110"/>
      <c r="F167" s="110"/>
      <c r="G167" s="110"/>
      <c r="H167" s="111"/>
      <c r="I167" s="110"/>
      <c r="J167" s="110"/>
      <c r="K167" s="110"/>
      <c r="L167" s="110"/>
      <c r="M167" s="110"/>
      <c r="N167" s="110"/>
    </row>
    <row r="168" spans="1:14" x14ac:dyDescent="0.3">
      <c r="A168" s="113"/>
      <c r="B168" s="110"/>
      <c r="C168" s="111"/>
      <c r="D168" s="110"/>
      <c r="E168" s="110"/>
      <c r="F168" s="110"/>
      <c r="G168" s="110"/>
      <c r="H168" s="111"/>
      <c r="I168" s="110"/>
      <c r="J168" s="110"/>
      <c r="K168" s="110"/>
      <c r="L168" s="110"/>
      <c r="M168" s="110"/>
      <c r="N168" s="110"/>
    </row>
    <row r="169" spans="1:14" x14ac:dyDescent="0.3">
      <c r="A169" s="113"/>
      <c r="B169" s="110"/>
      <c r="C169" s="111"/>
      <c r="D169" s="110"/>
      <c r="E169" s="110"/>
      <c r="F169" s="110"/>
      <c r="G169" s="110"/>
      <c r="H169" s="111"/>
      <c r="I169" s="110"/>
      <c r="J169" s="110"/>
      <c r="K169" s="110"/>
      <c r="L169" s="110"/>
      <c r="M169" s="110"/>
      <c r="N169" s="110"/>
    </row>
    <row r="170" spans="1:14" x14ac:dyDescent="0.3">
      <c r="A170" s="113"/>
      <c r="B170" s="110"/>
      <c r="C170" s="111"/>
      <c r="D170" s="110"/>
      <c r="E170" s="110"/>
      <c r="F170" s="110"/>
      <c r="G170" s="110"/>
      <c r="H170" s="111"/>
      <c r="I170" s="110"/>
      <c r="J170" s="110"/>
      <c r="K170" s="110"/>
      <c r="L170" s="110"/>
      <c r="M170" s="110"/>
      <c r="N170" s="110"/>
    </row>
    <row r="171" spans="1:14" x14ac:dyDescent="0.3">
      <c r="A171" s="113"/>
      <c r="B171" s="110"/>
      <c r="C171" s="111"/>
      <c r="D171" s="110"/>
      <c r="E171" s="110"/>
      <c r="F171" s="110"/>
      <c r="G171" s="110"/>
      <c r="H171" s="111"/>
      <c r="I171" s="110"/>
      <c r="J171" s="110"/>
      <c r="K171" s="110"/>
      <c r="L171" s="110"/>
      <c r="M171" s="110"/>
      <c r="N171" s="110"/>
    </row>
    <row r="172" spans="1:14" x14ac:dyDescent="0.3">
      <c r="A172" s="113"/>
      <c r="B172" s="110"/>
      <c r="C172" s="111"/>
      <c r="D172" s="110"/>
      <c r="E172" s="110"/>
      <c r="F172" s="110"/>
      <c r="G172" s="110"/>
      <c r="H172" s="111"/>
      <c r="I172" s="110"/>
      <c r="J172" s="110"/>
      <c r="K172" s="110"/>
      <c r="L172" s="110"/>
      <c r="M172" s="110"/>
      <c r="N172" s="110"/>
    </row>
    <row r="173" spans="1:14" x14ac:dyDescent="0.3">
      <c r="A173" s="113"/>
      <c r="B173" s="110"/>
      <c r="C173" s="111"/>
      <c r="D173" s="110"/>
      <c r="E173" s="110"/>
      <c r="F173" s="110"/>
      <c r="G173" s="110"/>
      <c r="H173" s="111"/>
      <c r="I173" s="110"/>
      <c r="J173" s="110"/>
      <c r="K173" s="110"/>
      <c r="L173" s="110"/>
      <c r="M173" s="110"/>
      <c r="N173" s="110"/>
    </row>
    <row r="174" spans="1:14" x14ac:dyDescent="0.3">
      <c r="A174" s="113"/>
      <c r="B174" s="110"/>
      <c r="C174" s="111"/>
      <c r="D174" s="110"/>
      <c r="E174" s="110"/>
      <c r="F174" s="110"/>
      <c r="G174" s="110"/>
      <c r="H174" s="111"/>
      <c r="I174" s="110"/>
      <c r="J174" s="110"/>
      <c r="K174" s="110"/>
      <c r="L174" s="110"/>
      <c r="M174" s="110"/>
      <c r="N174" s="110"/>
    </row>
    <row r="175" spans="1:14" x14ac:dyDescent="0.3">
      <c r="A175" s="113"/>
      <c r="B175" s="110"/>
      <c r="C175" s="111"/>
      <c r="D175" s="110"/>
      <c r="E175" s="110"/>
      <c r="F175" s="110"/>
      <c r="G175" s="110"/>
      <c r="H175" s="111"/>
      <c r="I175" s="110"/>
      <c r="J175" s="110"/>
      <c r="K175" s="110"/>
      <c r="L175" s="110"/>
      <c r="M175" s="110"/>
      <c r="N175" s="110"/>
    </row>
    <row r="176" spans="1:14" x14ac:dyDescent="0.3">
      <c r="A176" s="113"/>
      <c r="B176" s="110"/>
      <c r="C176" s="111"/>
      <c r="D176" s="110"/>
      <c r="E176" s="110"/>
      <c r="F176" s="110"/>
      <c r="G176" s="110"/>
      <c r="H176" s="111"/>
      <c r="I176" s="110"/>
      <c r="J176" s="110"/>
      <c r="K176" s="110"/>
      <c r="L176" s="110"/>
      <c r="M176" s="110"/>
      <c r="N176" s="110"/>
    </row>
    <row r="177" spans="1:14" x14ac:dyDescent="0.3">
      <c r="A177" s="113"/>
      <c r="B177" s="110"/>
      <c r="C177" s="111"/>
      <c r="D177" s="110"/>
      <c r="E177" s="110"/>
      <c r="F177" s="110"/>
      <c r="G177" s="110"/>
      <c r="H177" s="111"/>
      <c r="I177" s="110"/>
      <c r="J177" s="110"/>
      <c r="K177" s="110"/>
      <c r="L177" s="110"/>
      <c r="M177" s="110"/>
      <c r="N177" s="110"/>
    </row>
    <row r="178" spans="1:14" x14ac:dyDescent="0.3">
      <c r="A178" s="113"/>
      <c r="B178" s="110"/>
      <c r="C178" s="111"/>
      <c r="D178" s="110"/>
      <c r="E178" s="110"/>
      <c r="F178" s="110"/>
      <c r="G178" s="110"/>
      <c r="H178" s="111"/>
      <c r="I178" s="110"/>
      <c r="J178" s="110"/>
      <c r="K178" s="110"/>
      <c r="L178" s="110"/>
      <c r="M178" s="110"/>
      <c r="N178" s="110"/>
    </row>
    <row r="179" spans="1:14" x14ac:dyDescent="0.3">
      <c r="A179" s="113"/>
      <c r="B179" s="110"/>
      <c r="C179" s="111"/>
      <c r="D179" s="110"/>
      <c r="E179" s="110"/>
      <c r="F179" s="110"/>
      <c r="G179" s="110"/>
      <c r="H179" s="111"/>
      <c r="I179" s="110"/>
      <c r="J179" s="110"/>
      <c r="K179" s="110"/>
      <c r="L179" s="110"/>
      <c r="M179" s="110"/>
      <c r="N179" s="110"/>
    </row>
    <row r="180" spans="1:14" x14ac:dyDescent="0.3">
      <c r="A180" s="113"/>
      <c r="B180" s="110"/>
      <c r="C180" s="111"/>
      <c r="D180" s="110"/>
      <c r="E180" s="110"/>
      <c r="F180" s="110"/>
      <c r="G180" s="110"/>
      <c r="H180" s="111"/>
      <c r="I180" s="110"/>
      <c r="J180" s="110"/>
      <c r="K180" s="110"/>
      <c r="L180" s="110"/>
      <c r="M180" s="110"/>
      <c r="N180" s="110"/>
    </row>
    <row r="181" spans="1:14" x14ac:dyDescent="0.3">
      <c r="A181" s="113"/>
      <c r="B181" s="110"/>
      <c r="C181" s="111"/>
      <c r="D181" s="110"/>
      <c r="E181" s="110"/>
      <c r="F181" s="110"/>
      <c r="G181" s="110"/>
      <c r="H181" s="111"/>
      <c r="I181" s="110"/>
      <c r="J181" s="110"/>
      <c r="K181" s="110"/>
      <c r="L181" s="110"/>
      <c r="M181" s="110"/>
      <c r="N181" s="110"/>
    </row>
    <row r="182" spans="1:14" x14ac:dyDescent="0.3">
      <c r="A182" s="113"/>
      <c r="B182" s="110"/>
      <c r="C182" s="111"/>
      <c r="D182" s="110"/>
      <c r="E182" s="110"/>
      <c r="F182" s="110"/>
      <c r="G182" s="110"/>
      <c r="H182" s="111"/>
      <c r="I182" s="110"/>
      <c r="J182" s="110"/>
      <c r="K182" s="110"/>
      <c r="L182" s="110"/>
      <c r="M182" s="110"/>
      <c r="N182" s="110"/>
    </row>
    <row r="183" spans="1:14" x14ac:dyDescent="0.3">
      <c r="A183" s="113"/>
      <c r="B183" s="110"/>
      <c r="C183" s="111"/>
      <c r="D183" s="110"/>
      <c r="E183" s="110"/>
      <c r="F183" s="110"/>
      <c r="G183" s="110"/>
      <c r="H183" s="111"/>
      <c r="I183" s="110"/>
      <c r="J183" s="110"/>
      <c r="K183" s="110"/>
      <c r="L183" s="110"/>
      <c r="M183" s="110"/>
      <c r="N183" s="110"/>
    </row>
    <row r="184" spans="1:14" x14ac:dyDescent="0.3">
      <c r="A184" s="113"/>
      <c r="B184" s="110"/>
      <c r="C184" s="111"/>
      <c r="D184" s="110"/>
      <c r="E184" s="110"/>
      <c r="F184" s="110"/>
      <c r="G184" s="110"/>
      <c r="H184" s="111"/>
      <c r="I184" s="110"/>
      <c r="J184" s="110"/>
      <c r="K184" s="110"/>
      <c r="L184" s="110"/>
      <c r="M184" s="110"/>
      <c r="N184" s="110"/>
    </row>
    <row r="185" spans="1:14" x14ac:dyDescent="0.3">
      <c r="A185" s="113"/>
      <c r="B185" s="110"/>
      <c r="C185" s="111"/>
      <c r="D185" s="110"/>
      <c r="E185" s="110"/>
      <c r="F185" s="110"/>
      <c r="G185" s="110"/>
      <c r="H185" s="111"/>
      <c r="I185" s="110"/>
      <c r="J185" s="110"/>
      <c r="K185" s="110"/>
      <c r="L185" s="110"/>
      <c r="M185" s="110"/>
      <c r="N185" s="110"/>
    </row>
    <row r="186" spans="1:14" x14ac:dyDescent="0.3">
      <c r="A186" s="113"/>
      <c r="B186" s="110"/>
      <c r="C186" s="111"/>
      <c r="D186" s="110"/>
      <c r="E186" s="110"/>
      <c r="F186" s="110"/>
      <c r="G186" s="110"/>
      <c r="H186" s="111"/>
      <c r="I186" s="110"/>
      <c r="J186" s="110"/>
      <c r="K186" s="110"/>
      <c r="L186" s="110"/>
      <c r="M186" s="110"/>
      <c r="N186" s="110"/>
    </row>
    <row r="187" spans="1:14" x14ac:dyDescent="0.3">
      <c r="A187" s="113"/>
      <c r="B187" s="110"/>
      <c r="C187" s="111"/>
      <c r="D187" s="110"/>
      <c r="E187" s="110"/>
      <c r="F187" s="110"/>
      <c r="G187" s="110"/>
      <c r="H187" s="111"/>
      <c r="I187" s="110"/>
      <c r="J187" s="110"/>
      <c r="K187" s="110"/>
      <c r="L187" s="110"/>
      <c r="M187" s="110"/>
      <c r="N187" s="110"/>
    </row>
    <row r="188" spans="1:14" x14ac:dyDescent="0.3">
      <c r="A188" s="113"/>
      <c r="B188" s="110"/>
      <c r="C188" s="111"/>
      <c r="D188" s="110"/>
      <c r="E188" s="110"/>
      <c r="F188" s="110"/>
      <c r="G188" s="110"/>
      <c r="H188" s="111"/>
      <c r="I188" s="110"/>
      <c r="J188" s="110"/>
      <c r="K188" s="110"/>
      <c r="L188" s="110"/>
      <c r="M188" s="110"/>
      <c r="N188" s="110"/>
    </row>
    <row r="189" spans="1:14" x14ac:dyDescent="0.3">
      <c r="A189" s="113"/>
      <c r="B189" s="110"/>
      <c r="C189" s="111"/>
      <c r="D189" s="110"/>
      <c r="E189" s="110"/>
      <c r="F189" s="110"/>
      <c r="G189" s="110"/>
      <c r="H189" s="111"/>
      <c r="I189" s="110"/>
      <c r="J189" s="110"/>
      <c r="K189" s="110"/>
      <c r="L189" s="110"/>
      <c r="M189" s="110"/>
      <c r="N189" s="110"/>
    </row>
    <row r="190" spans="1:14" x14ac:dyDescent="0.3">
      <c r="A190" s="113"/>
      <c r="B190" s="110"/>
      <c r="C190" s="111"/>
      <c r="D190" s="110"/>
      <c r="E190" s="110"/>
      <c r="F190" s="110"/>
      <c r="G190" s="110"/>
      <c r="H190" s="111"/>
      <c r="I190" s="110"/>
      <c r="J190" s="110"/>
      <c r="K190" s="110"/>
      <c r="L190" s="110"/>
      <c r="M190" s="110"/>
      <c r="N190" s="110"/>
    </row>
    <row r="191" spans="1:14" x14ac:dyDescent="0.3">
      <c r="A191" s="113"/>
      <c r="B191" s="110"/>
      <c r="C191" s="111"/>
      <c r="D191" s="110"/>
      <c r="E191" s="110"/>
      <c r="F191" s="110"/>
      <c r="G191" s="110"/>
      <c r="H191" s="111"/>
      <c r="I191" s="110"/>
      <c r="J191" s="110"/>
      <c r="K191" s="110"/>
      <c r="L191" s="110"/>
      <c r="M191" s="110"/>
      <c r="N191" s="110"/>
    </row>
    <row r="192" spans="1:14" x14ac:dyDescent="0.3">
      <c r="A192" s="113"/>
      <c r="B192" s="110"/>
      <c r="C192" s="111"/>
      <c r="D192" s="110"/>
      <c r="E192" s="110"/>
      <c r="F192" s="110"/>
      <c r="G192" s="110"/>
      <c r="H192" s="111"/>
      <c r="I192" s="110"/>
      <c r="J192" s="110"/>
      <c r="K192" s="110"/>
      <c r="L192" s="110"/>
      <c r="M192" s="110"/>
      <c r="N192" s="110"/>
    </row>
    <row r="193" spans="1:14" x14ac:dyDescent="0.3">
      <c r="A193" s="113"/>
      <c r="B193" s="110"/>
      <c r="C193" s="111"/>
      <c r="D193" s="110"/>
      <c r="E193" s="110"/>
      <c r="F193" s="110"/>
      <c r="G193" s="110"/>
      <c r="H193" s="111"/>
      <c r="I193" s="110"/>
      <c r="J193" s="110"/>
      <c r="K193" s="110"/>
      <c r="L193" s="110"/>
      <c r="M193" s="110"/>
      <c r="N193" s="110"/>
    </row>
    <row r="194" spans="1:14" x14ac:dyDescent="0.3">
      <c r="A194" s="113"/>
      <c r="B194" s="110"/>
      <c r="C194" s="111"/>
      <c r="D194" s="110"/>
      <c r="E194" s="110"/>
      <c r="F194" s="110"/>
      <c r="G194" s="110"/>
      <c r="H194" s="111"/>
      <c r="I194" s="110"/>
      <c r="J194" s="110"/>
      <c r="K194" s="110"/>
      <c r="L194" s="110"/>
      <c r="M194" s="110"/>
      <c r="N194" s="110"/>
    </row>
    <row r="195" spans="1:14" x14ac:dyDescent="0.3">
      <c r="A195" s="113"/>
      <c r="B195" s="110"/>
      <c r="C195" s="111"/>
      <c r="D195" s="110"/>
      <c r="E195" s="110"/>
      <c r="F195" s="110"/>
      <c r="G195" s="110"/>
      <c r="H195" s="111"/>
      <c r="I195" s="110"/>
      <c r="J195" s="110"/>
      <c r="K195" s="110"/>
      <c r="L195" s="110"/>
      <c r="M195" s="110"/>
      <c r="N195" s="110"/>
    </row>
    <row r="196" spans="1:14" x14ac:dyDescent="0.3">
      <c r="A196" s="113"/>
      <c r="B196" s="110"/>
      <c r="C196" s="111"/>
      <c r="D196" s="110"/>
      <c r="E196" s="110"/>
      <c r="F196" s="110"/>
      <c r="G196" s="110"/>
      <c r="H196" s="111"/>
      <c r="I196" s="110"/>
      <c r="J196" s="110"/>
      <c r="K196" s="110"/>
      <c r="L196" s="110"/>
      <c r="M196" s="110"/>
      <c r="N196" s="110"/>
    </row>
    <row r="197" spans="1:14" x14ac:dyDescent="0.3">
      <c r="A197" s="113"/>
      <c r="B197" s="110"/>
      <c r="C197" s="111"/>
      <c r="D197" s="110"/>
      <c r="E197" s="110"/>
      <c r="F197" s="110"/>
      <c r="G197" s="110"/>
      <c r="H197" s="111"/>
      <c r="I197" s="110"/>
      <c r="J197" s="110"/>
      <c r="K197" s="110"/>
      <c r="L197" s="110"/>
      <c r="M197" s="110"/>
      <c r="N197" s="110"/>
    </row>
    <row r="198" spans="1:14" x14ac:dyDescent="0.3">
      <c r="A198" s="113"/>
      <c r="B198" s="110"/>
      <c r="C198" s="111"/>
      <c r="D198" s="110"/>
      <c r="E198" s="110"/>
      <c r="F198" s="110"/>
      <c r="G198" s="110"/>
      <c r="H198" s="111"/>
      <c r="I198" s="110"/>
      <c r="J198" s="110"/>
      <c r="K198" s="110"/>
      <c r="L198" s="110"/>
      <c r="M198" s="110"/>
      <c r="N198" s="110"/>
    </row>
    <row r="199" spans="1:14" x14ac:dyDescent="0.3">
      <c r="A199" s="113"/>
      <c r="B199" s="110"/>
      <c r="C199" s="111"/>
      <c r="D199" s="110"/>
      <c r="E199" s="110"/>
      <c r="F199" s="110"/>
      <c r="G199" s="110"/>
      <c r="H199" s="111"/>
      <c r="I199" s="110"/>
      <c r="J199" s="110"/>
      <c r="K199" s="110"/>
      <c r="L199" s="110"/>
      <c r="M199" s="110"/>
      <c r="N199" s="110"/>
    </row>
    <row r="200" spans="1:14" x14ac:dyDescent="0.3">
      <c r="A200" s="113"/>
      <c r="B200" s="110"/>
      <c r="C200" s="111"/>
      <c r="D200" s="110"/>
      <c r="E200" s="110"/>
      <c r="F200" s="110"/>
      <c r="G200" s="110"/>
      <c r="H200" s="111"/>
      <c r="I200" s="110"/>
      <c r="J200" s="110"/>
      <c r="K200" s="110"/>
      <c r="L200" s="110"/>
      <c r="M200" s="110"/>
      <c r="N200" s="1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27A69-55C4-48EA-8DD9-95631E4A8C31}">
  <sheetPr codeName="Hoja2">
    <tabColor rgb="FFC7664C"/>
  </sheetPr>
  <dimension ref="A1:AC331"/>
  <sheetViews>
    <sheetView zoomScaleNormal="100" workbookViewId="0">
      <selection activeCell="A30" sqref="A30:C30"/>
    </sheetView>
  </sheetViews>
  <sheetFormatPr baseColWidth="10" defaultColWidth="11.44140625" defaultRowHeight="14.4" x14ac:dyDescent="0.3"/>
  <cols>
    <col min="1" max="1" width="22" customWidth="1"/>
    <col min="2" max="2" width="17" customWidth="1"/>
    <col min="3" max="3" width="13.44140625" customWidth="1"/>
    <col min="4" max="4" width="14.5546875" customWidth="1"/>
    <col min="5" max="5" width="16.88671875" customWidth="1"/>
    <col min="6" max="6" width="18.6640625" customWidth="1"/>
    <col min="7" max="7" width="17.44140625" customWidth="1"/>
    <col min="10" max="10" width="36.44140625" customWidth="1"/>
    <col min="11" max="11" width="10" customWidth="1"/>
  </cols>
  <sheetData>
    <row r="1" spans="1:29" s="15" customFormat="1" ht="30" customHeight="1" x14ac:dyDescent="0.3">
      <c r="A1" s="131" t="s">
        <v>13</v>
      </c>
      <c r="B1" s="132"/>
      <c r="C1" s="132"/>
      <c r="D1" s="132"/>
      <c r="E1" s="132"/>
      <c r="F1" s="132"/>
      <c r="G1" s="132"/>
      <c r="H1" s="132"/>
      <c r="I1" s="132"/>
      <c r="J1" s="132"/>
      <c r="K1" s="132"/>
    </row>
    <row r="2" spans="1:29" s="15" customFormat="1" x14ac:dyDescent="0.3">
      <c r="A2" s="17" t="s">
        <v>14</v>
      </c>
      <c r="B2" s="133">
        <f ca="1">TODAY()</f>
        <v>45939</v>
      </c>
      <c r="C2" s="133"/>
      <c r="D2" s="16"/>
      <c r="E2" s="135" t="s">
        <v>15</v>
      </c>
      <c r="F2" s="135"/>
      <c r="G2" s="135"/>
      <c r="H2" s="16"/>
      <c r="I2" s="16"/>
      <c r="J2" s="16"/>
      <c r="K2" s="16"/>
    </row>
    <row r="3" spans="1:29" s="15" customFormat="1" x14ac:dyDescent="0.3">
      <c r="A3" s="17" t="s">
        <v>16</v>
      </c>
      <c r="B3" s="134"/>
      <c r="C3" s="134"/>
      <c r="D3" s="16"/>
      <c r="E3" s="16"/>
      <c r="F3" s="16"/>
      <c r="G3" s="16"/>
      <c r="H3" s="16"/>
      <c r="I3" s="16"/>
      <c r="J3" s="16"/>
      <c r="K3" s="16"/>
    </row>
    <row r="4" spans="1:29" s="1" customFormat="1" x14ac:dyDescent="0.3">
      <c r="A4" s="124" t="s">
        <v>17</v>
      </c>
      <c r="B4" s="124"/>
      <c r="C4" s="124"/>
      <c r="D4" s="124"/>
      <c r="E4" s="124"/>
      <c r="F4" s="124"/>
      <c r="G4" s="124"/>
      <c r="H4" s="89"/>
      <c r="I4" s="89"/>
      <c r="J4" s="89"/>
      <c r="K4" s="89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</row>
    <row r="5" spans="1:29" x14ac:dyDescent="0.3">
      <c r="A5" s="86" t="s">
        <v>18</v>
      </c>
      <c r="B5" s="105" t="s">
        <v>19</v>
      </c>
      <c r="C5" s="105" t="s">
        <v>20</v>
      </c>
      <c r="D5" s="105" t="s">
        <v>21</v>
      </c>
      <c r="E5" s="87" t="s">
        <v>22</v>
      </c>
      <c r="F5" s="105" t="s">
        <v>23</v>
      </c>
      <c r="G5" s="105" t="s">
        <v>24</v>
      </c>
      <c r="H5" s="91"/>
      <c r="I5" s="91"/>
      <c r="J5" s="91"/>
      <c r="K5" s="91"/>
      <c r="L5" s="91"/>
      <c r="M5" s="91"/>
      <c r="N5" s="91"/>
      <c r="O5" s="91"/>
      <c r="P5" s="91"/>
      <c r="Q5" s="91"/>
      <c r="R5" s="91"/>
      <c r="S5" s="91"/>
      <c r="T5" s="91"/>
      <c r="U5" s="91"/>
      <c r="V5" s="91"/>
      <c r="W5" s="91"/>
      <c r="X5" s="91"/>
      <c r="Y5" s="91"/>
      <c r="Z5" s="91"/>
      <c r="AA5" s="91"/>
      <c r="AB5" s="91"/>
    </row>
    <row r="6" spans="1:29" x14ac:dyDescent="0.3">
      <c r="A6" s="82" t="s">
        <v>7</v>
      </c>
      <c r="B6" s="2">
        <v>1.83</v>
      </c>
      <c r="C6" s="106">
        <v>15</v>
      </c>
      <c r="D6" s="106">
        <v>2</v>
      </c>
      <c r="E6" s="84">
        <f>IF(D6=0,"",IF(OR(C6=6,C6=15,C6=18),(D6*0.1)+D6,(D6*0.2)+D6))</f>
        <v>2.2000000000000002</v>
      </c>
      <c r="F6" s="27">
        <f>SUMIFS(Tableros!$F:$F, Tableros!$A:$A, $A6, Tableros!$D:$D, $B6, Tableros!$E:$E, $C6)</f>
        <v>112773</v>
      </c>
      <c r="G6" s="27">
        <f t="shared" ref="G6:G15" si="0">IFERROR(E6*F6,0)</f>
        <v>248100.6</v>
      </c>
      <c r="H6" s="91"/>
      <c r="I6" s="91"/>
      <c r="J6" s="91"/>
      <c r="K6" s="91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</row>
    <row r="7" spans="1:29" x14ac:dyDescent="0.3">
      <c r="A7" s="83"/>
      <c r="B7" s="85"/>
      <c r="C7" s="106"/>
      <c r="D7" s="106"/>
      <c r="E7" s="84" t="str">
        <f t="shared" ref="E7:E15" si="1">IF(D7=0,"",IF(OR(C7=6,C7=15,C7=18),(D7*0.1)+D7,(D7*0.2)+D7))</f>
        <v/>
      </c>
      <c r="F7" s="27">
        <f>SUMIFS(Tableros!$F:$F, Tableros!$A:$A, $A7, Tableros!$D:$D, $B7, Tableros!$E:$E, $C7)</f>
        <v>0</v>
      </c>
      <c r="G7" s="27">
        <f t="shared" si="0"/>
        <v>0</v>
      </c>
      <c r="H7" s="91"/>
      <c r="I7" s="91"/>
      <c r="J7" s="91"/>
      <c r="K7" s="91"/>
      <c r="L7" s="91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</row>
    <row r="8" spans="1:29" x14ac:dyDescent="0.3">
      <c r="A8" s="82"/>
      <c r="B8" s="2"/>
      <c r="C8" s="106"/>
      <c r="D8" s="106"/>
      <c r="E8" s="84" t="str">
        <f t="shared" si="1"/>
        <v/>
      </c>
      <c r="F8" s="27">
        <f>SUMIFS(Tableros!$F:$F, Tableros!$A:$A, $A8, Tableros!$D:$D, $B8, Tableros!$E:$E, $C8)</f>
        <v>0</v>
      </c>
      <c r="G8" s="27">
        <f t="shared" si="0"/>
        <v>0</v>
      </c>
      <c r="H8" s="91"/>
      <c r="I8" s="91"/>
      <c r="J8" s="91"/>
      <c r="K8" s="91"/>
      <c r="L8" s="91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</row>
    <row r="9" spans="1:29" x14ac:dyDescent="0.3">
      <c r="A9" s="82"/>
      <c r="B9" s="2"/>
      <c r="C9" s="106"/>
      <c r="D9" s="106"/>
      <c r="E9" s="84" t="str">
        <f t="shared" si="1"/>
        <v/>
      </c>
      <c r="F9" s="27">
        <f>SUMIFS(Tableros!$F:$F, Tableros!$A:$A, $A9, Tableros!$D:$D, $B9, Tableros!$E:$E, $C9)</f>
        <v>0</v>
      </c>
      <c r="G9" s="27">
        <f t="shared" si="0"/>
        <v>0</v>
      </c>
      <c r="H9" s="91"/>
      <c r="I9" s="91"/>
      <c r="J9" s="91"/>
      <c r="K9" s="91"/>
      <c r="L9" s="91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</row>
    <row r="10" spans="1:29" x14ac:dyDescent="0.3">
      <c r="A10" s="82"/>
      <c r="B10" s="2"/>
      <c r="C10" s="106"/>
      <c r="D10" s="106"/>
      <c r="E10" s="84" t="str">
        <f t="shared" si="1"/>
        <v/>
      </c>
      <c r="F10" s="27">
        <f>SUMIFS(Tableros!$F:$F, Tableros!$A:$A, $A10, Tableros!$D:$D, $B10, Tableros!$E:$E, $C10)</f>
        <v>0</v>
      </c>
      <c r="G10" s="27">
        <f t="shared" si="0"/>
        <v>0</v>
      </c>
      <c r="H10" s="91"/>
      <c r="I10" s="91"/>
      <c r="J10" s="91"/>
      <c r="K10" s="91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</row>
    <row r="11" spans="1:29" x14ac:dyDescent="0.3">
      <c r="A11" s="82"/>
      <c r="B11" s="2"/>
      <c r="C11" s="106"/>
      <c r="D11" s="106"/>
      <c r="E11" s="84" t="str">
        <f t="shared" si="1"/>
        <v/>
      </c>
      <c r="F11" s="27">
        <f>SUMIFS(Tableros!$F:$F, Tableros!$A:$A, $A11, Tableros!$D:$D, $B11, Tableros!$E:$E, $C11)</f>
        <v>0</v>
      </c>
      <c r="G11" s="27">
        <f t="shared" si="0"/>
        <v>0</v>
      </c>
      <c r="H11" s="91"/>
      <c r="I11" s="91"/>
      <c r="J11" s="91"/>
      <c r="K11" s="91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</row>
    <row r="12" spans="1:29" x14ac:dyDescent="0.3">
      <c r="A12" s="82"/>
      <c r="B12" s="2"/>
      <c r="C12" s="106"/>
      <c r="D12" s="106"/>
      <c r="E12" s="84" t="str">
        <f t="shared" si="1"/>
        <v/>
      </c>
      <c r="F12" s="27">
        <f>SUMIFS(Tableros!$F:$F, Tableros!$A:$A, $A12, Tableros!$D:$D, $B12, Tableros!$E:$E, $C12)</f>
        <v>0</v>
      </c>
      <c r="G12" s="27">
        <f t="shared" si="0"/>
        <v>0</v>
      </c>
      <c r="H12" s="91"/>
      <c r="I12" s="91"/>
      <c r="J12" s="124" t="s">
        <v>25</v>
      </c>
      <c r="K12" s="124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  <c r="AC12" s="91"/>
    </row>
    <row r="13" spans="1:29" x14ac:dyDescent="0.3">
      <c r="A13" s="82"/>
      <c r="B13" s="2"/>
      <c r="C13" s="106"/>
      <c r="D13" s="106"/>
      <c r="E13" s="84" t="str">
        <f t="shared" si="1"/>
        <v/>
      </c>
      <c r="F13" s="27">
        <f>SUMIFS(Tableros!$F:$F, Tableros!$A:$A, $A13, Tableros!$D:$D, $B13, Tableros!$E:$E, $C13)</f>
        <v>0</v>
      </c>
      <c r="G13" s="27">
        <f t="shared" si="0"/>
        <v>0</v>
      </c>
      <c r="H13" s="91"/>
      <c r="I13" s="91"/>
      <c r="J13" s="105" t="s">
        <v>26</v>
      </c>
      <c r="K13" s="105" t="s">
        <v>2</v>
      </c>
      <c r="L13" s="91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  <c r="AC13" s="91"/>
    </row>
    <row r="14" spans="1:29" x14ac:dyDescent="0.3">
      <c r="A14" s="82"/>
      <c r="B14" s="2"/>
      <c r="C14" s="106"/>
      <c r="D14" s="106"/>
      <c r="E14" s="84" t="str">
        <f t="shared" si="1"/>
        <v/>
      </c>
      <c r="F14" s="27">
        <f>SUMIFS(Tableros!$F:$F, Tableros!$A:$A, $A14, Tableros!$D:$D, $B14, Tableros!$E:$E, $C14)</f>
        <v>0</v>
      </c>
      <c r="G14" s="27">
        <f t="shared" si="0"/>
        <v>0</v>
      </c>
      <c r="H14" s="91"/>
      <c r="I14" s="91"/>
      <c r="J14" s="2" t="s">
        <v>475</v>
      </c>
      <c r="K14" s="106">
        <v>5</v>
      </c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  <c r="AA14" s="91"/>
      <c r="AB14" s="91"/>
      <c r="AC14" s="91"/>
    </row>
    <row r="15" spans="1:29" x14ac:dyDescent="0.3">
      <c r="A15" s="82"/>
      <c r="B15" s="2"/>
      <c r="C15" s="106"/>
      <c r="D15" s="106"/>
      <c r="E15" s="84" t="str">
        <f t="shared" si="1"/>
        <v/>
      </c>
      <c r="F15" s="27">
        <f>SUMIFS(Tableros!$F:$F, Tableros!$A:$A, $A15, Tableros!$D:$D, $B15, Tableros!$E:$E, $C15)</f>
        <v>0</v>
      </c>
      <c r="G15" s="27">
        <f t="shared" si="0"/>
        <v>0</v>
      </c>
      <c r="H15" s="91"/>
      <c r="I15" s="91"/>
      <c r="J15" s="2" t="s">
        <v>28</v>
      </c>
      <c r="K15" s="106">
        <v>3</v>
      </c>
      <c r="L15" s="91"/>
      <c r="M15" s="91"/>
      <c r="N15" s="91"/>
      <c r="O15" s="91"/>
      <c r="P15" s="91"/>
      <c r="Q15" s="91"/>
      <c r="R15" s="91"/>
      <c r="S15" s="91"/>
      <c r="T15" s="91"/>
      <c r="U15" s="91"/>
      <c r="V15" s="91"/>
      <c r="W15" s="91"/>
      <c r="X15" s="91"/>
      <c r="Y15" s="91"/>
      <c r="Z15" s="91"/>
      <c r="AA15" s="91"/>
      <c r="AB15" s="91"/>
      <c r="AC15" s="91"/>
    </row>
    <row r="16" spans="1:29" x14ac:dyDescent="0.3">
      <c r="A16" s="125"/>
      <c r="B16" s="126"/>
      <c r="C16" s="126"/>
      <c r="D16" s="126"/>
      <c r="E16" s="127"/>
      <c r="F16" s="88" t="s">
        <v>29</v>
      </c>
      <c r="G16" s="27">
        <f>SUM(G6:G15)</f>
        <v>248100.6</v>
      </c>
      <c r="H16" s="91"/>
      <c r="I16" s="91"/>
      <c r="J16" s="2" t="s">
        <v>30</v>
      </c>
      <c r="K16" s="106">
        <v>2</v>
      </c>
      <c r="L16" s="91"/>
      <c r="M16" s="91"/>
      <c r="N16" s="91"/>
      <c r="O16" s="91"/>
      <c r="P16" s="91"/>
      <c r="Q16" s="91"/>
      <c r="R16" s="91"/>
      <c r="S16" s="91"/>
      <c r="T16" s="91"/>
      <c r="U16" s="91"/>
      <c r="V16" s="91"/>
      <c r="W16" s="91"/>
      <c r="X16" s="91"/>
      <c r="Y16" s="91"/>
      <c r="Z16" s="91"/>
      <c r="AA16" s="91"/>
      <c r="AB16" s="91"/>
      <c r="AC16" s="91"/>
    </row>
    <row r="17" spans="1:29" x14ac:dyDescent="0.3">
      <c r="A17" s="121" t="s">
        <v>31</v>
      </c>
      <c r="B17" s="122"/>
      <c r="C17" s="123"/>
      <c r="D17" s="105" t="s">
        <v>32</v>
      </c>
      <c r="E17" s="105" t="s">
        <v>33</v>
      </c>
      <c r="F17" s="105" t="s">
        <v>23</v>
      </c>
      <c r="G17" s="105" t="s">
        <v>24</v>
      </c>
      <c r="H17" s="91"/>
      <c r="I17" s="91"/>
      <c r="J17" s="2" t="s">
        <v>27</v>
      </c>
      <c r="K17" s="106">
        <v>2</v>
      </c>
      <c r="L17" s="91"/>
      <c r="M17" s="91"/>
      <c r="N17" s="91"/>
      <c r="O17" s="91"/>
      <c r="P17" s="91"/>
      <c r="Q17" s="91"/>
      <c r="R17" s="91"/>
      <c r="S17" s="91"/>
      <c r="T17" s="91"/>
      <c r="U17" s="91"/>
      <c r="V17" s="91"/>
      <c r="W17" s="91"/>
      <c r="X17" s="91"/>
      <c r="Y17" s="91"/>
      <c r="Z17" s="91"/>
      <c r="AA17" s="91"/>
      <c r="AB17" s="91"/>
      <c r="AC17" s="91"/>
    </row>
    <row r="18" spans="1:29" x14ac:dyDescent="0.3">
      <c r="A18" s="128" t="s">
        <v>10</v>
      </c>
      <c r="B18" s="129"/>
      <c r="C18" s="130"/>
      <c r="D18" s="106">
        <v>19</v>
      </c>
      <c r="E18" s="106">
        <v>52724</v>
      </c>
      <c r="F18" s="27">
        <f>SUMIFS(Tapacantos!D:D,Tapacantos!A:A,cotizador!A18,Tapacantos!C:C,D18)</f>
        <v>700</v>
      </c>
      <c r="G18" s="27">
        <f>E18*F18</f>
        <v>36906800</v>
      </c>
      <c r="H18" s="91"/>
      <c r="I18" s="91"/>
      <c r="J18" s="2" t="s">
        <v>34</v>
      </c>
      <c r="K18" s="106">
        <v>3</v>
      </c>
      <c r="L18" s="91"/>
      <c r="M18" s="91"/>
      <c r="N18" s="91"/>
      <c r="O18" s="91"/>
      <c r="P18" s="91"/>
      <c r="Q18" s="91"/>
      <c r="R18" s="91"/>
      <c r="S18" s="91"/>
      <c r="T18" s="91"/>
      <c r="U18" s="91"/>
      <c r="V18" s="91"/>
      <c r="W18" s="91"/>
      <c r="X18" s="91"/>
      <c r="Y18" s="91"/>
      <c r="Z18" s="91"/>
      <c r="AA18" s="91"/>
      <c r="AB18" s="91"/>
      <c r="AC18" s="91"/>
    </row>
    <row r="19" spans="1:29" x14ac:dyDescent="0.3">
      <c r="A19" s="128"/>
      <c r="B19" s="129"/>
      <c r="C19" s="130"/>
      <c r="D19" s="106"/>
      <c r="E19" s="106"/>
      <c r="F19" s="27">
        <f>SUMIFS(Tapacantos!D:D,Tapacantos!A:A,cotizador!A19,Tapacantos!C:C,D19)</f>
        <v>0</v>
      </c>
      <c r="G19" s="27">
        <f t="shared" ref="G19:G27" si="2">E19*F19</f>
        <v>0</v>
      </c>
      <c r="H19" s="91"/>
      <c r="I19" s="91"/>
      <c r="J19" s="2" t="s">
        <v>35</v>
      </c>
      <c r="K19" s="106">
        <v>2</v>
      </c>
      <c r="L19" s="91"/>
      <c r="M19" s="91"/>
      <c r="N19" s="91"/>
      <c r="O19" s="91"/>
      <c r="P19" s="91"/>
      <c r="Q19" s="91"/>
      <c r="R19" s="91"/>
      <c r="S19" s="91"/>
      <c r="T19" s="91"/>
      <c r="U19" s="91"/>
      <c r="V19" s="91"/>
      <c r="W19" s="91"/>
      <c r="X19" s="91"/>
      <c r="Y19" s="91"/>
      <c r="Z19" s="91"/>
      <c r="AA19" s="91"/>
      <c r="AB19" s="91"/>
      <c r="AC19" s="91"/>
    </row>
    <row r="20" spans="1:29" x14ac:dyDescent="0.3">
      <c r="A20" s="128"/>
      <c r="B20" s="129"/>
      <c r="C20" s="130"/>
      <c r="D20" s="106"/>
      <c r="E20" s="106"/>
      <c r="F20" s="27">
        <f>SUMIFS(Tapacantos!D:D,Tapacantos!A:A,cotizador!A20,Tapacantos!C:C,D20)</f>
        <v>0</v>
      </c>
      <c r="G20" s="27">
        <f t="shared" si="2"/>
        <v>0</v>
      </c>
      <c r="H20" s="91"/>
      <c r="I20" s="91"/>
      <c r="J20" s="2" t="s">
        <v>492</v>
      </c>
      <c r="K20" s="106">
        <v>10</v>
      </c>
      <c r="L20" s="91"/>
      <c r="M20" s="91"/>
      <c r="N20" s="91"/>
      <c r="O20" s="91"/>
      <c r="P20" s="91"/>
      <c r="Q20" s="91"/>
      <c r="R20" s="91"/>
      <c r="S20" s="91"/>
      <c r="T20" s="91"/>
      <c r="U20" s="91"/>
      <c r="V20" s="91"/>
      <c r="W20" s="91"/>
      <c r="X20" s="91"/>
      <c r="Y20" s="91"/>
      <c r="Z20" s="91"/>
      <c r="AA20" s="91"/>
      <c r="AB20" s="91"/>
      <c r="AC20" s="91"/>
    </row>
    <row r="21" spans="1:29" x14ac:dyDescent="0.3">
      <c r="A21" s="128"/>
      <c r="B21" s="129"/>
      <c r="C21" s="130"/>
      <c r="D21" s="106"/>
      <c r="E21" s="106"/>
      <c r="F21" s="27">
        <f>SUMIFS(Tapacantos!D:D,Tapacantos!A:A,cotizador!A21,Tapacantos!C:C,D21)</f>
        <v>0</v>
      </c>
      <c r="G21" s="27">
        <f t="shared" si="2"/>
        <v>0</v>
      </c>
      <c r="H21" s="91"/>
      <c r="I21" s="91"/>
      <c r="J21" s="2"/>
      <c r="K21" s="106"/>
      <c r="L21" s="91"/>
      <c r="M21" s="91"/>
      <c r="N21" s="91"/>
      <c r="O21" s="91"/>
      <c r="P21" s="91"/>
      <c r="Q21" s="91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</row>
    <row r="22" spans="1:29" x14ac:dyDescent="0.3">
      <c r="A22" s="128"/>
      <c r="B22" s="129"/>
      <c r="C22" s="130"/>
      <c r="D22" s="106"/>
      <c r="E22" s="106"/>
      <c r="F22" s="27">
        <f>SUMIFS(Tapacantos!D:D,Tapacantos!A:A,cotizador!A22,Tapacantos!C:C,D22)</f>
        <v>0</v>
      </c>
      <c r="G22" s="27">
        <f t="shared" si="2"/>
        <v>0</v>
      </c>
      <c r="H22" s="91"/>
      <c r="I22" s="91"/>
      <c r="J22" s="2"/>
      <c r="K22" s="106"/>
      <c r="L22" s="91"/>
      <c r="M22" s="91"/>
      <c r="N22" s="91"/>
      <c r="O22" s="91"/>
      <c r="P22" s="91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</row>
    <row r="23" spans="1:29" x14ac:dyDescent="0.3">
      <c r="A23" s="128"/>
      <c r="B23" s="129"/>
      <c r="C23" s="130"/>
      <c r="D23" s="106"/>
      <c r="E23" s="106"/>
      <c r="F23" s="27">
        <f>SUMIFS(Tapacantos!D:D,Tapacantos!A:A,cotizador!A23,Tapacantos!C:C,D23)</f>
        <v>0</v>
      </c>
      <c r="G23" s="27">
        <f t="shared" si="2"/>
        <v>0</v>
      </c>
      <c r="H23" s="91"/>
      <c r="I23" s="91"/>
      <c r="J23" s="2"/>
      <c r="K23" s="106"/>
      <c r="L23" s="91"/>
      <c r="M23" s="91"/>
      <c r="N23" s="91"/>
      <c r="O23" s="91"/>
      <c r="P23" s="91"/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</row>
    <row r="24" spans="1:29" x14ac:dyDescent="0.3">
      <c r="A24" s="128"/>
      <c r="B24" s="129"/>
      <c r="C24" s="130"/>
      <c r="D24" s="106"/>
      <c r="E24" s="106"/>
      <c r="F24" s="27">
        <f>SUMIFS(Tapacantos!D:D,Tapacantos!A:A,cotizador!A24,Tapacantos!C:C,D24)</f>
        <v>0</v>
      </c>
      <c r="G24" s="27">
        <f t="shared" si="2"/>
        <v>0</v>
      </c>
      <c r="H24" s="91"/>
      <c r="I24" s="91"/>
      <c r="J24" s="2"/>
      <c r="K24" s="106"/>
      <c r="L24" s="91"/>
      <c r="M24" s="91"/>
      <c r="N24" s="91"/>
      <c r="O24" s="91"/>
      <c r="P24" s="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</row>
    <row r="25" spans="1:29" x14ac:dyDescent="0.3">
      <c r="A25" s="128"/>
      <c r="B25" s="129"/>
      <c r="C25" s="130"/>
      <c r="D25" s="106"/>
      <c r="E25" s="106"/>
      <c r="F25" s="27">
        <f>SUMIFS(Tapacantos!D:D,Tapacantos!A:A,cotizador!A25,Tapacantos!C:C,D25)</f>
        <v>0</v>
      </c>
      <c r="G25" s="27">
        <f t="shared" si="2"/>
        <v>0</v>
      </c>
      <c r="H25" s="91"/>
      <c r="I25" s="91"/>
      <c r="J25" s="2"/>
      <c r="K25" s="106"/>
      <c r="L25" s="91"/>
      <c r="M25" s="91"/>
      <c r="N25" s="91"/>
      <c r="O25" s="91"/>
      <c r="P25" s="91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</row>
    <row r="26" spans="1:29" x14ac:dyDescent="0.3">
      <c r="A26" s="128"/>
      <c r="B26" s="129"/>
      <c r="C26" s="130"/>
      <c r="D26" s="106"/>
      <c r="E26" s="106"/>
      <c r="F26" s="27">
        <f>SUMIFS(Tapacantos!D:D,Tapacantos!A:A,cotizador!A26,Tapacantos!C:C,D26)</f>
        <v>0</v>
      </c>
      <c r="G26" s="27">
        <f t="shared" si="2"/>
        <v>0</v>
      </c>
      <c r="H26" s="91"/>
      <c r="I26" s="91"/>
      <c r="J26" s="2"/>
      <c r="K26" s="106"/>
      <c r="L26" s="91"/>
      <c r="M26" s="91"/>
      <c r="N26" s="91"/>
      <c r="O26" s="91"/>
      <c r="P26" s="91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</row>
    <row r="27" spans="1:29" x14ac:dyDescent="0.3">
      <c r="A27" s="128"/>
      <c r="B27" s="129"/>
      <c r="C27" s="130"/>
      <c r="D27" s="106"/>
      <c r="E27" s="106"/>
      <c r="F27" s="27">
        <f>SUMIFS(Tapacantos!D:D,Tapacantos!A:A,cotizador!A27,Tapacantos!C:C,D27)</f>
        <v>0</v>
      </c>
      <c r="G27" s="27">
        <f t="shared" si="2"/>
        <v>0</v>
      </c>
      <c r="H27" s="91"/>
      <c r="I27" s="91"/>
      <c r="J27" s="2"/>
      <c r="K27" s="106"/>
      <c r="L27" s="91"/>
      <c r="M27" s="91"/>
      <c r="N27" s="91"/>
      <c r="O27" s="91"/>
      <c r="P27" s="91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</row>
    <row r="28" spans="1:29" x14ac:dyDescent="0.3">
      <c r="A28" s="125"/>
      <c r="B28" s="126"/>
      <c r="C28" s="126"/>
      <c r="D28" s="126"/>
      <c r="E28" s="127"/>
      <c r="F28" s="88" t="s">
        <v>29</v>
      </c>
      <c r="G28" s="28">
        <f>SUM(G18:G27)</f>
        <v>36906800</v>
      </c>
      <c r="H28" s="91"/>
      <c r="I28" s="91"/>
      <c r="J28" s="2"/>
      <c r="K28" s="106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</row>
    <row r="29" spans="1:29" x14ac:dyDescent="0.3">
      <c r="A29" s="121" t="s">
        <v>36</v>
      </c>
      <c r="B29" s="122"/>
      <c r="C29" s="123"/>
      <c r="D29" s="105" t="s">
        <v>37</v>
      </c>
      <c r="E29" s="105" t="s">
        <v>2</v>
      </c>
      <c r="F29" s="105" t="s">
        <v>23</v>
      </c>
      <c r="G29" s="105" t="s">
        <v>24</v>
      </c>
      <c r="H29" s="91"/>
      <c r="I29" s="91"/>
      <c r="J29" s="2"/>
      <c r="K29" s="106"/>
      <c r="L29" s="91"/>
      <c r="M29" s="91"/>
      <c r="N29" s="91"/>
      <c r="O29" s="91"/>
      <c r="P29" s="91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</row>
    <row r="30" spans="1:29" x14ac:dyDescent="0.3">
      <c r="A30" s="119" t="s">
        <v>216</v>
      </c>
      <c r="B30" s="119"/>
      <c r="C30" s="119"/>
      <c r="D30" s="2" t="str">
        <f>IFERROR(INDEX(Herrajes!B:B, MATCH(A30, Herrajes!A:A, 0)),"")</f>
        <v>Madecentro - Bonuit</v>
      </c>
      <c r="E30" s="2">
        <v>1</v>
      </c>
      <c r="F30" s="25">
        <f>SUMIFS(Herrajes!C:C,Herrajes!A:A,A30)</f>
        <v>48524</v>
      </c>
      <c r="G30" s="25">
        <f>F30*E30</f>
        <v>48524</v>
      </c>
      <c r="H30" s="91"/>
      <c r="I30" s="91"/>
      <c r="J30" s="2"/>
      <c r="K30" s="106"/>
      <c r="L30" s="91"/>
      <c r="M30" s="91"/>
      <c r="N30" s="91"/>
      <c r="O30" s="91"/>
      <c r="P30" s="91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</row>
    <row r="31" spans="1:29" x14ac:dyDescent="0.3">
      <c r="A31" s="119" t="s">
        <v>38</v>
      </c>
      <c r="B31" s="119"/>
      <c r="C31" s="119"/>
      <c r="D31" s="2" t="str">
        <f>IFERROR(INDEX(Herrajes!B:B, MATCH(A31, Herrajes!A:A, 0)),"")</f>
        <v>GM</v>
      </c>
      <c r="E31" s="2">
        <v>2</v>
      </c>
      <c r="F31" s="25">
        <f>SUMIFS(Herrajes!C:C,Herrajes!A:A,A31)</f>
        <v>530</v>
      </c>
      <c r="G31" s="25">
        <f t="shared" ref="G31:G39" si="3">F31*E31</f>
        <v>1060</v>
      </c>
      <c r="H31" s="91"/>
      <c r="I31" s="91"/>
      <c r="J31" s="2"/>
      <c r="K31" s="106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</row>
    <row r="32" spans="1:29" x14ac:dyDescent="0.3">
      <c r="A32" s="119" t="s">
        <v>134</v>
      </c>
      <c r="B32" s="119"/>
      <c r="C32" s="119"/>
      <c r="D32" s="2" t="str">
        <f>IFERROR(INDEX(Herrajes!B:B, MATCH(A32, Herrajes!A:A, 0)),"")</f>
        <v>GM</v>
      </c>
      <c r="E32" s="2">
        <v>3</v>
      </c>
      <c r="F32" s="25">
        <f>SUMIFS(Herrajes!C:C,Herrajes!A:A,A32)</f>
        <v>206608</v>
      </c>
      <c r="G32" s="25">
        <f t="shared" si="3"/>
        <v>619824</v>
      </c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</row>
    <row r="33" spans="1:29" ht="16.5" customHeight="1" x14ac:dyDescent="0.3">
      <c r="A33" s="119" t="s">
        <v>133</v>
      </c>
      <c r="B33" s="119"/>
      <c r="C33" s="119"/>
      <c r="D33" s="2" t="str">
        <f>IFERROR(INDEX(Herrajes!B:B, MATCH(A33, Herrajes!A:A, 0)),"")</f>
        <v>GM</v>
      </c>
      <c r="E33" s="2"/>
      <c r="F33" s="25">
        <f>SUMIFS(Herrajes!C:C,Herrajes!A:A,A33)</f>
        <v>195406</v>
      </c>
      <c r="G33" s="25">
        <f t="shared" si="3"/>
        <v>0</v>
      </c>
      <c r="H33" s="91"/>
      <c r="I33" s="91"/>
      <c r="J33" s="91"/>
      <c r="K33" s="91"/>
      <c r="L33" s="91"/>
      <c r="M33" s="91"/>
      <c r="N33" s="91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</row>
    <row r="34" spans="1:29" ht="15" customHeight="1" x14ac:dyDescent="0.3">
      <c r="A34" s="119" t="s">
        <v>135</v>
      </c>
      <c r="B34" s="119"/>
      <c r="C34" s="119"/>
      <c r="D34" s="2" t="str">
        <f>IFERROR(INDEX(Herrajes!B:B, MATCH(A34, Herrajes!A:A, 0)),"")</f>
        <v>GM</v>
      </c>
      <c r="E34" s="2"/>
      <c r="F34" s="25">
        <f>SUMIFS(Herrajes!C:C,Herrajes!A:A,A34)</f>
        <v>2188</v>
      </c>
      <c r="G34" s="25">
        <f t="shared" si="3"/>
        <v>0</v>
      </c>
      <c r="H34" s="91"/>
      <c r="I34" s="91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</row>
    <row r="35" spans="1:29" x14ac:dyDescent="0.3">
      <c r="A35" s="119" t="s">
        <v>136</v>
      </c>
      <c r="B35" s="119"/>
      <c r="C35" s="119"/>
      <c r="D35" s="2" t="str">
        <f>IFERROR(INDEX(Herrajes!B:B, MATCH(A35, Herrajes!A:A, 0)),"")</f>
        <v>GM</v>
      </c>
      <c r="E35" s="2"/>
      <c r="F35" s="25">
        <f>SUMIFS(Herrajes!C:C,Herrajes!A:A,A35)</f>
        <v>1038</v>
      </c>
      <c r="G35" s="25">
        <f t="shared" si="3"/>
        <v>0</v>
      </c>
      <c r="H35" s="91"/>
      <c r="I35" s="91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</row>
    <row r="36" spans="1:29" x14ac:dyDescent="0.3">
      <c r="A36" s="119" t="s">
        <v>135</v>
      </c>
      <c r="B36" s="119"/>
      <c r="C36" s="119"/>
      <c r="D36" s="2" t="str">
        <f>IFERROR(INDEX(Herrajes!B:B, MATCH(A36, Herrajes!A:A, 0)),"")</f>
        <v>GM</v>
      </c>
      <c r="E36" s="2"/>
      <c r="F36" s="25">
        <f>SUMIFS(Herrajes!C:C,Herrajes!A:A,A36)</f>
        <v>2188</v>
      </c>
      <c r="G36" s="25">
        <f t="shared" si="3"/>
        <v>0</v>
      </c>
      <c r="H36" s="91"/>
      <c r="I36" s="91"/>
      <c r="J36" s="91"/>
      <c r="K36" s="91"/>
      <c r="L36" s="91"/>
      <c r="M36" s="91"/>
      <c r="N36" s="91"/>
      <c r="O36" s="91"/>
      <c r="P36" s="91"/>
      <c r="Q36" s="91"/>
      <c r="R36" s="91"/>
      <c r="S36" s="91"/>
      <c r="T36" s="91"/>
      <c r="U36" s="91"/>
      <c r="V36" s="91"/>
      <c r="W36" s="91"/>
      <c r="X36" s="91"/>
      <c r="Y36" s="91"/>
      <c r="Z36" s="91"/>
      <c r="AA36" s="91"/>
      <c r="AB36" s="91"/>
      <c r="AC36" s="91"/>
    </row>
    <row r="37" spans="1:29" x14ac:dyDescent="0.3">
      <c r="A37" s="119"/>
      <c r="B37" s="119"/>
      <c r="C37" s="119"/>
      <c r="D37" s="2" t="str">
        <f>IFERROR(INDEX(Herrajes!B:B, MATCH(A37, Herrajes!A:A, 0)),"")</f>
        <v/>
      </c>
      <c r="E37" s="2"/>
      <c r="F37" s="25">
        <f>SUMIFS(Herrajes!C:C,Herrajes!A:A,A37)</f>
        <v>0</v>
      </c>
      <c r="G37" s="25">
        <f t="shared" si="3"/>
        <v>0</v>
      </c>
      <c r="H37" s="91"/>
      <c r="I37" s="91"/>
      <c r="J37" s="91"/>
      <c r="K37" s="91"/>
      <c r="L37" s="91"/>
      <c r="M37" s="91"/>
      <c r="N37" s="91"/>
      <c r="O37" s="91"/>
      <c r="P37" s="91"/>
      <c r="Q37" s="91"/>
      <c r="R37" s="91"/>
      <c r="S37" s="91"/>
      <c r="T37" s="91"/>
      <c r="U37" s="91"/>
      <c r="V37" s="91"/>
      <c r="W37" s="91"/>
      <c r="X37" s="91"/>
      <c r="Y37" s="91"/>
      <c r="Z37" s="91"/>
      <c r="AA37" s="91"/>
      <c r="AB37" s="91"/>
      <c r="AC37" s="91"/>
    </row>
    <row r="38" spans="1:29" x14ac:dyDescent="0.3">
      <c r="A38" s="119"/>
      <c r="B38" s="119"/>
      <c r="C38" s="119"/>
      <c r="D38" s="2" t="str">
        <f>IFERROR(INDEX(Herrajes!B:B, MATCH(A38, Herrajes!A:A, 0)),"")</f>
        <v/>
      </c>
      <c r="E38" s="2"/>
      <c r="F38" s="25">
        <f>SUMIFS(Herrajes!C:C,Herrajes!A:A,A38)</f>
        <v>0</v>
      </c>
      <c r="G38" s="25">
        <f t="shared" si="3"/>
        <v>0</v>
      </c>
      <c r="H38" s="91"/>
      <c r="I38" s="91"/>
      <c r="J38" s="91"/>
      <c r="K38" s="91"/>
      <c r="L38" s="91"/>
      <c r="M38" s="91"/>
      <c r="N38" s="91"/>
      <c r="O38" s="91"/>
      <c r="P38" s="91"/>
      <c r="Q38" s="91"/>
      <c r="R38" s="91"/>
      <c r="S38" s="91"/>
      <c r="T38" s="91"/>
      <c r="U38" s="91"/>
      <c r="V38" s="91"/>
      <c r="W38" s="91"/>
      <c r="X38" s="91"/>
      <c r="Y38" s="91"/>
      <c r="Z38" s="91"/>
      <c r="AA38" s="91"/>
      <c r="AB38" s="91"/>
      <c r="AC38" s="91"/>
    </row>
    <row r="39" spans="1:29" x14ac:dyDescent="0.3">
      <c r="A39" s="119"/>
      <c r="B39" s="119"/>
      <c r="C39" s="119"/>
      <c r="D39" s="2" t="str">
        <f>IFERROR(INDEX(Herrajes!B:B, MATCH(A39, Herrajes!A:A, 0)),"")</f>
        <v/>
      </c>
      <c r="E39" s="2"/>
      <c r="F39" s="25">
        <f>SUMIFS(Herrajes!C:C,Herrajes!A:A,A39)</f>
        <v>0</v>
      </c>
      <c r="G39" s="25">
        <f t="shared" si="3"/>
        <v>0</v>
      </c>
      <c r="H39" s="91"/>
      <c r="I39" s="91"/>
      <c r="J39" s="91"/>
      <c r="K39" s="91"/>
      <c r="L39" s="91"/>
      <c r="M39" s="91"/>
      <c r="N39" s="91"/>
      <c r="O39" s="91"/>
      <c r="P39" s="91"/>
      <c r="Q39" s="91"/>
      <c r="R39" s="91"/>
      <c r="S39" s="91"/>
      <c r="T39" s="91"/>
      <c r="U39" s="91"/>
      <c r="V39" s="91"/>
      <c r="W39" s="91"/>
      <c r="X39" s="91"/>
      <c r="Y39" s="91"/>
      <c r="Z39" s="91"/>
      <c r="AA39" s="91"/>
      <c r="AB39" s="91"/>
      <c r="AC39" s="91"/>
    </row>
    <row r="40" spans="1:29" x14ac:dyDescent="0.3">
      <c r="A40" s="120"/>
      <c r="B40" s="120"/>
      <c r="C40" s="120"/>
      <c r="D40" s="120"/>
      <c r="E40" s="120"/>
      <c r="F40" s="88" t="s">
        <v>29</v>
      </c>
      <c r="G40" s="30">
        <f>SUM(G30:G39)</f>
        <v>669408</v>
      </c>
      <c r="H40" s="91"/>
      <c r="I40" s="91"/>
      <c r="J40" s="91"/>
      <c r="K40" s="91"/>
      <c r="L40" s="91"/>
      <c r="M40" s="91"/>
      <c r="N40" s="91"/>
      <c r="O40" s="91"/>
      <c r="P40" s="91"/>
      <c r="Q40" s="91"/>
      <c r="R40" s="91"/>
      <c r="S40" s="91"/>
      <c r="T40" s="91"/>
      <c r="U40" s="91"/>
      <c r="V40" s="91"/>
      <c r="W40" s="91"/>
      <c r="X40" s="91"/>
      <c r="Y40" s="91"/>
      <c r="Z40" s="91"/>
      <c r="AA40" s="91"/>
      <c r="AB40" s="91"/>
      <c r="AC40" s="91"/>
    </row>
    <row r="41" spans="1:29" x14ac:dyDescent="0.3">
      <c r="A41" s="29" t="s">
        <v>40</v>
      </c>
      <c r="B41" s="30">
        <f>G16+G28+G40</f>
        <v>37824308.600000001</v>
      </c>
      <c r="C41" s="91"/>
      <c r="D41" s="91"/>
      <c r="E41" s="91"/>
      <c r="F41" s="92"/>
      <c r="G41" s="91"/>
      <c r="H41" s="91"/>
      <c r="I41" s="91"/>
      <c r="J41" s="91"/>
      <c r="K41" s="91"/>
      <c r="L41" s="91"/>
      <c r="M41" s="91"/>
      <c r="N41" s="91"/>
      <c r="O41" s="91"/>
      <c r="P41" s="91"/>
      <c r="Q41" s="91"/>
      <c r="R41" s="91"/>
      <c r="S41" s="91"/>
      <c r="T41" s="91"/>
      <c r="U41" s="91"/>
      <c r="V41" s="91"/>
      <c r="W41" s="91"/>
      <c r="X41" s="91"/>
      <c r="Y41" s="91"/>
      <c r="Z41" s="91"/>
      <c r="AA41" s="91"/>
      <c r="AB41" s="91"/>
      <c r="AC41" s="91"/>
    </row>
    <row r="42" spans="1:29" x14ac:dyDescent="0.3">
      <c r="A42" s="29" t="s">
        <v>41</v>
      </c>
      <c r="B42" s="80">
        <v>0.12</v>
      </c>
      <c r="C42" s="91"/>
      <c r="D42" s="91"/>
      <c r="E42" s="91"/>
      <c r="F42" s="91"/>
      <c r="G42" s="91"/>
      <c r="H42" s="91"/>
      <c r="I42" s="91"/>
      <c r="J42" s="91"/>
      <c r="K42" s="91"/>
      <c r="L42" s="91"/>
      <c r="M42" s="91"/>
      <c r="N42" s="91"/>
      <c r="O42" s="91"/>
      <c r="P42" s="91"/>
      <c r="Q42" s="91"/>
      <c r="R42" s="91"/>
      <c r="S42" s="91"/>
      <c r="T42" s="91"/>
      <c r="U42" s="91"/>
      <c r="V42" s="91"/>
      <c r="W42" s="91"/>
      <c r="X42" s="91"/>
      <c r="Y42" s="91"/>
      <c r="Z42" s="91"/>
      <c r="AA42" s="91"/>
      <c r="AB42" s="91"/>
      <c r="AC42" s="91"/>
    </row>
    <row r="43" spans="1:29" x14ac:dyDescent="0.3">
      <c r="A43" s="29" t="s">
        <v>42</v>
      </c>
      <c r="B43" s="30">
        <f>(B41*B42)+B41</f>
        <v>42363225.631999999</v>
      </c>
      <c r="C43" s="91"/>
      <c r="D43" s="91"/>
      <c r="E43" s="91"/>
      <c r="F43" s="91"/>
      <c r="G43" s="91"/>
      <c r="H43" s="91"/>
      <c r="I43" s="91"/>
      <c r="J43" s="91"/>
      <c r="K43" s="91"/>
      <c r="L43" s="91"/>
      <c r="M43" s="91"/>
      <c r="N43" s="91"/>
      <c r="O43" s="91"/>
      <c r="P43" s="91"/>
      <c r="Q43" s="91"/>
      <c r="R43" s="91"/>
      <c r="S43" s="91"/>
      <c r="T43" s="91"/>
      <c r="U43" s="91"/>
      <c r="V43" s="91"/>
      <c r="W43" s="91"/>
      <c r="X43" s="91"/>
      <c r="Y43" s="91"/>
      <c r="Z43" s="91"/>
      <c r="AA43" s="91"/>
      <c r="AB43" s="91"/>
      <c r="AC43" s="91"/>
    </row>
    <row r="44" spans="1:29" x14ac:dyDescent="0.3">
      <c r="A44" s="118" t="s">
        <v>43</v>
      </c>
      <c r="B44" s="118"/>
      <c r="C44" s="91"/>
      <c r="D44" s="91"/>
      <c r="E44" s="91"/>
      <c r="F44" s="91"/>
      <c r="G44" s="91"/>
      <c r="H44" s="91"/>
      <c r="I44" s="91"/>
      <c r="J44" s="91"/>
      <c r="K44" s="91"/>
      <c r="L44" s="91"/>
      <c r="M44" s="91"/>
      <c r="N44" s="91"/>
      <c r="O44" s="91"/>
      <c r="P44" s="91"/>
      <c r="Q44" s="91"/>
      <c r="R44" s="91"/>
      <c r="S44" s="91"/>
      <c r="T44" s="91"/>
      <c r="U44" s="91"/>
      <c r="V44" s="91"/>
      <c r="W44" s="91"/>
      <c r="X44" s="91"/>
      <c r="Y44" s="91"/>
      <c r="Z44" s="91"/>
      <c r="AA44" s="91"/>
      <c r="AB44" s="91"/>
      <c r="AC44" s="91"/>
    </row>
    <row r="45" spans="1:29" x14ac:dyDescent="0.3">
      <c r="A45" s="29" t="s">
        <v>44</v>
      </c>
      <c r="B45" s="30">
        <f>Corte!D28</f>
        <v>9879.255000000001</v>
      </c>
      <c r="C45" s="91"/>
      <c r="D45" s="91"/>
      <c r="E45" s="91"/>
      <c r="F45" s="91"/>
      <c r="G45" s="91"/>
      <c r="H45" s="91"/>
      <c r="I45" s="91"/>
      <c r="J45" s="91"/>
      <c r="K45" s="91"/>
      <c r="L45" s="91"/>
      <c r="M45" s="91"/>
      <c r="N45" s="91"/>
      <c r="O45" s="91"/>
      <c r="P45" s="91"/>
      <c r="Q45" s="91"/>
      <c r="R45" s="91"/>
      <c r="S45" s="91"/>
      <c r="T45" s="91"/>
      <c r="U45" s="91"/>
      <c r="V45" s="91"/>
      <c r="W45" s="91"/>
      <c r="X45" s="91"/>
      <c r="Y45" s="91"/>
      <c r="Z45" s="91"/>
      <c r="AA45" s="91"/>
      <c r="AB45" s="91"/>
      <c r="AC45" s="91"/>
    </row>
    <row r="46" spans="1:29" x14ac:dyDescent="0.3">
      <c r="A46" s="29" t="s">
        <v>45</v>
      </c>
      <c r="B46" s="30">
        <f>Enchape!B11</f>
        <v>9720987.5</v>
      </c>
      <c r="C46" s="91"/>
      <c r="D46" s="91"/>
      <c r="E46" s="91"/>
      <c r="F46" s="91"/>
      <c r="G46" s="91"/>
      <c r="H46" s="91"/>
      <c r="I46" s="91"/>
      <c r="J46" s="91"/>
      <c r="K46" s="91"/>
      <c r="L46" s="91"/>
      <c r="M46" s="91"/>
      <c r="N46" s="91"/>
      <c r="O46" s="91"/>
      <c r="P46" s="91"/>
      <c r="Q46" s="91"/>
      <c r="R46" s="91"/>
      <c r="S46" s="91"/>
      <c r="T46" s="91"/>
      <c r="U46" s="91"/>
      <c r="V46" s="91"/>
      <c r="W46" s="91"/>
      <c r="X46" s="91"/>
      <c r="Y46" s="91"/>
      <c r="Z46" s="91"/>
      <c r="AA46" s="91"/>
      <c r="AB46" s="91"/>
      <c r="AC46" s="91"/>
    </row>
    <row r="47" spans="1:29" x14ac:dyDescent="0.3">
      <c r="A47" s="29" t="s">
        <v>46</v>
      </c>
      <c r="B47" s="30">
        <f>Mecanizado!N34</f>
        <v>0</v>
      </c>
      <c r="C47" s="91"/>
      <c r="D47" s="91"/>
      <c r="E47" s="91"/>
      <c r="F47" s="91"/>
      <c r="G47" s="91"/>
      <c r="H47" s="91"/>
      <c r="I47" s="91"/>
      <c r="J47" s="91"/>
      <c r="K47" s="91"/>
      <c r="L47" s="91"/>
      <c r="M47" s="91"/>
      <c r="N47" s="91"/>
      <c r="O47" s="91"/>
      <c r="P47" s="91"/>
      <c r="Q47" s="91"/>
      <c r="R47" s="91"/>
      <c r="S47" s="91"/>
      <c r="T47" s="91"/>
      <c r="U47" s="91"/>
      <c r="V47" s="91"/>
      <c r="W47" s="91"/>
      <c r="X47" s="91"/>
      <c r="Y47" s="91"/>
      <c r="Z47" s="91"/>
      <c r="AA47" s="91"/>
      <c r="AB47" s="91"/>
      <c r="AC47" s="91"/>
    </row>
    <row r="48" spans="1:29" x14ac:dyDescent="0.3">
      <c r="A48" s="29" t="s">
        <v>25</v>
      </c>
      <c r="B48" s="30">
        <f>Armado!I28</f>
        <v>147600</v>
      </c>
      <c r="C48" s="91"/>
      <c r="D48" s="91"/>
      <c r="E48" s="91"/>
      <c r="F48" s="91"/>
      <c r="G48" s="91"/>
      <c r="H48" s="91"/>
      <c r="I48" s="91"/>
      <c r="J48" s="91"/>
      <c r="K48" s="91"/>
      <c r="L48" s="91"/>
      <c r="M48" s="91"/>
      <c r="N48" s="91"/>
      <c r="O48" s="91"/>
      <c r="P48" s="91"/>
      <c r="Q48" s="91"/>
      <c r="R48" s="91"/>
      <c r="S48" s="91"/>
      <c r="T48" s="91"/>
      <c r="U48" s="91"/>
      <c r="V48" s="91"/>
      <c r="W48" s="91"/>
      <c r="X48" s="91"/>
      <c r="Y48" s="91"/>
      <c r="Z48" s="91"/>
      <c r="AA48" s="91"/>
      <c r="AB48" s="91"/>
      <c r="AC48" s="91"/>
    </row>
    <row r="49" spans="1:29" x14ac:dyDescent="0.3">
      <c r="A49" s="29" t="s">
        <v>47</v>
      </c>
      <c r="B49" s="2"/>
      <c r="C49" s="91"/>
      <c r="D49" s="91"/>
      <c r="E49" s="91"/>
      <c r="F49" s="91"/>
      <c r="G49" s="91"/>
      <c r="H49" s="91"/>
      <c r="I49" s="91"/>
      <c r="J49" s="91"/>
      <c r="K49" s="91"/>
      <c r="L49" s="91"/>
      <c r="M49" s="91"/>
      <c r="N49" s="91"/>
      <c r="O49" s="91"/>
      <c r="P49" s="91"/>
      <c r="Q49" s="91"/>
      <c r="R49" s="91"/>
      <c r="S49" s="91"/>
      <c r="T49" s="91"/>
      <c r="U49" s="91"/>
      <c r="V49" s="91"/>
      <c r="W49" s="91"/>
      <c r="X49" s="91"/>
      <c r="Y49" s="91"/>
      <c r="Z49" s="91"/>
      <c r="AA49" s="91"/>
      <c r="AB49" s="91"/>
      <c r="AC49" s="91"/>
    </row>
    <row r="50" spans="1:29" x14ac:dyDescent="0.3">
      <c r="A50" s="29" t="s">
        <v>48</v>
      </c>
      <c r="B50" s="30">
        <f>SUM(B45:B49)</f>
        <v>9878466.7550000008</v>
      </c>
      <c r="C50" s="91"/>
      <c r="D50" s="91"/>
      <c r="E50" s="91"/>
      <c r="F50" s="91"/>
      <c r="G50" s="91"/>
      <c r="H50" s="91"/>
      <c r="I50" s="91"/>
      <c r="J50" s="91"/>
      <c r="K50" s="91"/>
      <c r="L50" s="91"/>
      <c r="M50" s="91"/>
      <c r="N50" s="91"/>
      <c r="O50" s="91"/>
      <c r="P50" s="91"/>
      <c r="Q50" s="91"/>
      <c r="R50" s="91"/>
      <c r="S50" s="91"/>
      <c r="T50" s="91"/>
      <c r="U50" s="91"/>
      <c r="V50" s="91"/>
      <c r="W50" s="91"/>
      <c r="X50" s="91"/>
      <c r="Y50" s="91"/>
      <c r="Z50" s="91"/>
      <c r="AA50" s="91"/>
      <c r="AB50" s="91"/>
      <c r="AC50" s="91"/>
    </row>
    <row r="51" spans="1:29" x14ac:dyDescent="0.3">
      <c r="A51" s="118" t="s">
        <v>49</v>
      </c>
      <c r="B51" s="118"/>
      <c r="C51" s="91"/>
      <c r="D51" s="91"/>
      <c r="E51" s="91"/>
      <c r="F51" s="91"/>
      <c r="G51" s="91"/>
      <c r="H51" s="91"/>
      <c r="I51" s="91"/>
      <c r="J51" s="91"/>
      <c r="K51" s="91"/>
      <c r="L51" s="91"/>
      <c r="M51" s="91"/>
      <c r="N51" s="91"/>
      <c r="O51" s="91"/>
      <c r="P51" s="91"/>
      <c r="Q51" s="91"/>
      <c r="R51" s="91"/>
      <c r="S51" s="91"/>
      <c r="T51" s="91"/>
      <c r="U51" s="91"/>
      <c r="V51" s="91"/>
      <c r="W51" s="91"/>
      <c r="X51" s="91"/>
      <c r="Y51" s="91"/>
      <c r="Z51" s="91"/>
      <c r="AA51" s="91"/>
      <c r="AB51" s="91"/>
      <c r="AC51" s="91"/>
    </row>
    <row r="52" spans="1:29" x14ac:dyDescent="0.3">
      <c r="A52" s="29" t="s">
        <v>50</v>
      </c>
      <c r="B52" s="81">
        <v>0.2</v>
      </c>
      <c r="C52" s="91"/>
      <c r="D52" s="91"/>
      <c r="E52" s="91"/>
      <c r="F52" s="91"/>
      <c r="G52" s="91"/>
      <c r="H52" s="91"/>
      <c r="I52" s="91"/>
      <c r="J52" s="91"/>
      <c r="K52" s="91"/>
      <c r="L52" s="91"/>
      <c r="M52" s="91"/>
      <c r="N52" s="91"/>
      <c r="O52" s="91"/>
      <c r="P52" s="91"/>
      <c r="Q52" s="91"/>
      <c r="R52" s="91"/>
      <c r="S52" s="91"/>
      <c r="T52" s="91"/>
      <c r="U52" s="91"/>
      <c r="V52" s="91"/>
      <c r="W52" s="91"/>
      <c r="X52" s="91"/>
      <c r="Y52" s="91"/>
      <c r="Z52" s="91"/>
      <c r="AA52" s="91"/>
      <c r="AB52" s="91"/>
      <c r="AC52" s="91"/>
    </row>
    <row r="53" spans="1:29" x14ac:dyDescent="0.3">
      <c r="A53" s="2"/>
      <c r="B53" s="30">
        <f>B50*B52</f>
        <v>1975693.3510000003</v>
      </c>
      <c r="C53" s="91"/>
      <c r="D53" s="91"/>
      <c r="E53" s="91"/>
      <c r="F53" s="91"/>
      <c r="G53" s="91"/>
      <c r="H53" s="91"/>
      <c r="I53" s="91"/>
      <c r="J53" s="91"/>
      <c r="K53" s="91"/>
      <c r="L53" s="91"/>
      <c r="M53" s="91"/>
      <c r="N53" s="91"/>
      <c r="O53" s="91"/>
      <c r="P53" s="91"/>
      <c r="Q53" s="91"/>
      <c r="R53" s="91"/>
      <c r="S53" s="91"/>
      <c r="T53" s="91"/>
      <c r="U53" s="91"/>
      <c r="V53" s="91"/>
      <c r="W53" s="91"/>
      <c r="X53" s="91"/>
      <c r="Y53" s="91"/>
      <c r="Z53" s="91"/>
      <c r="AA53" s="91"/>
      <c r="AB53" s="91"/>
      <c r="AC53" s="91"/>
    </row>
    <row r="54" spans="1:29" x14ac:dyDescent="0.3">
      <c r="A54" s="29" t="s">
        <v>51</v>
      </c>
      <c r="B54" s="30">
        <f>B50+B43+B53</f>
        <v>54217385.738000005</v>
      </c>
      <c r="C54" s="91"/>
      <c r="D54" s="91"/>
      <c r="E54" s="91"/>
      <c r="F54" s="91"/>
      <c r="G54" s="91"/>
      <c r="H54" s="91"/>
      <c r="I54" s="91"/>
      <c r="J54" s="91"/>
      <c r="K54" s="91"/>
      <c r="L54" s="91"/>
      <c r="M54" s="91"/>
      <c r="N54" s="91"/>
      <c r="O54" s="91"/>
      <c r="P54" s="91"/>
      <c r="Q54" s="91"/>
      <c r="R54" s="91"/>
      <c r="S54" s="91"/>
      <c r="T54" s="91"/>
      <c r="U54" s="91"/>
      <c r="V54" s="91"/>
      <c r="W54" s="91"/>
      <c r="X54" s="91"/>
      <c r="Y54" s="91"/>
      <c r="Z54" s="91"/>
      <c r="AA54" s="91"/>
      <c r="AB54" s="91"/>
      <c r="AC54" s="91"/>
    </row>
    <row r="55" spans="1:29" x14ac:dyDescent="0.3">
      <c r="A55" s="118" t="s">
        <v>52</v>
      </c>
      <c r="B55" s="118"/>
      <c r="C55" s="91"/>
      <c r="D55" s="91"/>
      <c r="E55" s="91"/>
      <c r="F55" s="91"/>
      <c r="G55" s="91"/>
      <c r="H55" s="91"/>
      <c r="I55" s="91"/>
      <c r="J55" s="91"/>
      <c r="K55" s="91"/>
      <c r="L55" s="91"/>
      <c r="M55" s="91"/>
      <c r="N55" s="91"/>
      <c r="O55" s="91"/>
      <c r="P55" s="91"/>
      <c r="Q55" s="91"/>
      <c r="R55" s="91"/>
      <c r="S55" s="91"/>
      <c r="T55" s="91"/>
      <c r="U55" s="91"/>
      <c r="V55" s="91"/>
      <c r="W55" s="91"/>
      <c r="X55" s="91"/>
      <c r="Y55" s="91"/>
      <c r="Z55" s="91"/>
      <c r="AA55" s="91"/>
      <c r="AB55" s="91"/>
      <c r="AC55" s="91"/>
    </row>
    <row r="56" spans="1:29" x14ac:dyDescent="0.3">
      <c r="A56" s="29" t="s">
        <v>53</v>
      </c>
      <c r="B56" s="80">
        <v>0.35</v>
      </c>
      <c r="C56" s="91"/>
      <c r="D56" s="91"/>
      <c r="E56" s="91"/>
      <c r="F56" s="91"/>
      <c r="G56" s="91"/>
      <c r="H56" s="91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/>
    </row>
    <row r="57" spans="1:29" x14ac:dyDescent="0.3">
      <c r="A57" s="29" t="s">
        <v>54</v>
      </c>
      <c r="B57" s="30">
        <f>B54*B56</f>
        <v>18976085.008299999</v>
      </c>
      <c r="C57" s="91"/>
      <c r="D57" s="91"/>
      <c r="E57" s="91"/>
      <c r="F57" s="91"/>
      <c r="G57" s="91"/>
      <c r="H57" s="91"/>
      <c r="I57" s="91"/>
      <c r="J57" s="91"/>
      <c r="K57" s="91"/>
      <c r="L57" s="91"/>
      <c r="M57" s="91"/>
      <c r="N57" s="91"/>
      <c r="O57" s="91"/>
      <c r="P57" s="91"/>
      <c r="Q57" s="91"/>
      <c r="R57" s="91"/>
      <c r="S57" s="91"/>
      <c r="T57" s="91"/>
      <c r="U57" s="91"/>
      <c r="V57" s="91"/>
      <c r="W57" s="91"/>
      <c r="X57" s="91"/>
      <c r="Y57" s="91"/>
      <c r="Z57" s="91"/>
      <c r="AA57" s="91"/>
      <c r="AB57" s="91"/>
      <c r="AC57" s="91"/>
    </row>
    <row r="58" spans="1:29" x14ac:dyDescent="0.3">
      <c r="A58" s="29" t="s">
        <v>51</v>
      </c>
      <c r="B58" s="30">
        <f>B57+B54</f>
        <v>73193470.746300012</v>
      </c>
      <c r="C58" s="91"/>
      <c r="D58" s="91"/>
      <c r="E58" s="91"/>
      <c r="F58" s="91"/>
      <c r="G58" s="91"/>
      <c r="H58" s="91"/>
      <c r="I58" s="91"/>
      <c r="J58" s="91"/>
      <c r="K58" s="91"/>
      <c r="L58" s="91"/>
      <c r="M58" s="91"/>
      <c r="N58" s="91"/>
      <c r="O58" s="91"/>
      <c r="P58" s="91"/>
      <c r="Q58" s="91"/>
      <c r="R58" s="91"/>
      <c r="S58" s="91"/>
      <c r="T58" s="91"/>
      <c r="U58" s="91"/>
      <c r="V58" s="91"/>
      <c r="W58" s="91"/>
      <c r="X58" s="91"/>
      <c r="Y58" s="91"/>
      <c r="Z58" s="91"/>
      <c r="AA58" s="91"/>
      <c r="AB58" s="91"/>
      <c r="AC58" s="91"/>
    </row>
    <row r="59" spans="1:29" x14ac:dyDescent="0.3">
      <c r="A59" s="118" t="s">
        <v>55</v>
      </c>
      <c r="B59" s="118"/>
      <c r="C59" s="91"/>
      <c r="D59" s="91"/>
      <c r="E59" s="91"/>
      <c r="F59" s="91"/>
      <c r="G59" s="91"/>
      <c r="H59" s="91"/>
      <c r="I59" s="91"/>
      <c r="J59" s="91"/>
      <c r="K59" s="91"/>
      <c r="L59" s="91"/>
      <c r="M59" s="91"/>
      <c r="N59" s="91"/>
      <c r="O59" s="91"/>
      <c r="P59" s="91"/>
      <c r="Q59" s="91"/>
      <c r="R59" s="91"/>
      <c r="S59" s="91"/>
      <c r="T59" s="91"/>
      <c r="U59" s="91"/>
      <c r="V59" s="91"/>
      <c r="W59" s="91"/>
      <c r="X59" s="91"/>
      <c r="Y59" s="91"/>
      <c r="Z59" s="91"/>
      <c r="AA59" s="91"/>
      <c r="AB59" s="91"/>
      <c r="AC59" s="91"/>
    </row>
    <row r="60" spans="1:29" x14ac:dyDescent="0.3">
      <c r="A60" s="29" t="s">
        <v>56</v>
      </c>
      <c r="B60" s="80">
        <v>0.15</v>
      </c>
      <c r="C60" s="91"/>
      <c r="D60" s="91"/>
      <c r="E60" s="91"/>
      <c r="F60" s="91"/>
      <c r="G60" s="91"/>
      <c r="H60" s="91"/>
      <c r="I60" s="91"/>
      <c r="J60" s="91"/>
      <c r="K60" s="91"/>
      <c r="L60" s="91"/>
      <c r="M60" s="91"/>
      <c r="N60" s="91"/>
      <c r="O60" s="91"/>
      <c r="P60" s="91"/>
      <c r="Q60" s="91"/>
      <c r="R60" s="91"/>
      <c r="S60" s="91"/>
      <c r="T60" s="91"/>
      <c r="U60" s="91"/>
      <c r="V60" s="91"/>
      <c r="W60" s="91"/>
      <c r="X60" s="91"/>
      <c r="Y60" s="91"/>
      <c r="Z60" s="91"/>
      <c r="AA60" s="91"/>
      <c r="AB60" s="91"/>
      <c r="AC60" s="91"/>
    </row>
    <row r="61" spans="1:29" x14ac:dyDescent="0.3">
      <c r="A61" s="29" t="s">
        <v>57</v>
      </c>
      <c r="B61" s="30">
        <f>B60*B58</f>
        <v>10979020.611945001</v>
      </c>
      <c r="C61" s="91"/>
      <c r="D61" s="91"/>
      <c r="E61" s="91"/>
      <c r="F61" s="91"/>
      <c r="G61" s="91"/>
      <c r="H61" s="91"/>
      <c r="I61" s="91"/>
      <c r="J61" s="91"/>
      <c r="K61" s="91"/>
      <c r="L61" s="91"/>
      <c r="M61" s="91"/>
      <c r="N61" s="91"/>
      <c r="O61" s="91"/>
      <c r="P61" s="91"/>
      <c r="Q61" s="91"/>
      <c r="R61" s="91"/>
      <c r="S61" s="91"/>
      <c r="T61" s="91"/>
      <c r="U61" s="91"/>
      <c r="V61" s="91"/>
      <c r="W61" s="91"/>
      <c r="X61" s="91"/>
      <c r="Y61" s="91"/>
      <c r="Z61" s="91"/>
      <c r="AA61" s="91"/>
      <c r="AB61" s="91"/>
      <c r="AC61" s="91"/>
    </row>
    <row r="62" spans="1:29" x14ac:dyDescent="0.3">
      <c r="A62" s="93" t="s">
        <v>58</v>
      </c>
      <c r="B62" s="94">
        <f>B58+B61</f>
        <v>84172491.358245015</v>
      </c>
      <c r="C62" s="91"/>
      <c r="D62" s="91"/>
      <c r="E62" s="91"/>
      <c r="F62" s="91"/>
      <c r="G62" s="91"/>
      <c r="H62" s="91"/>
      <c r="I62" s="91"/>
      <c r="J62" s="91"/>
      <c r="K62" s="91"/>
      <c r="L62" s="91"/>
      <c r="M62" s="91"/>
      <c r="N62" s="91"/>
      <c r="O62" s="91"/>
      <c r="P62" s="91"/>
      <c r="Q62" s="91"/>
      <c r="R62" s="91"/>
      <c r="S62" s="91"/>
      <c r="T62" s="91"/>
      <c r="U62" s="91"/>
      <c r="V62" s="91"/>
      <c r="W62" s="91"/>
      <c r="X62" s="91"/>
      <c r="Y62" s="91"/>
      <c r="Z62" s="91"/>
      <c r="AA62" s="91"/>
      <c r="AB62" s="91"/>
      <c r="AC62" s="91"/>
    </row>
    <row r="63" spans="1:29" x14ac:dyDescent="0.3">
      <c r="C63" s="91"/>
      <c r="D63" s="91"/>
      <c r="E63" s="91"/>
      <c r="F63" s="91"/>
      <c r="G63" s="91"/>
      <c r="H63" s="91"/>
      <c r="I63" s="91"/>
      <c r="J63" s="91"/>
      <c r="K63" s="91"/>
      <c r="L63" s="91"/>
      <c r="M63" s="91"/>
      <c r="N63" s="91"/>
      <c r="O63" s="91"/>
      <c r="P63" s="91"/>
      <c r="Q63" s="91"/>
      <c r="R63" s="91"/>
      <c r="S63" s="91"/>
      <c r="T63" s="91"/>
      <c r="U63" s="91"/>
      <c r="V63" s="91"/>
      <c r="W63" s="91"/>
      <c r="X63" s="91"/>
      <c r="Y63" s="91"/>
      <c r="Z63" s="91"/>
      <c r="AA63" s="91"/>
      <c r="AB63" s="91"/>
      <c r="AC63" s="91"/>
    </row>
    <row r="64" spans="1:29" x14ac:dyDescent="0.3">
      <c r="A64" s="118" t="s">
        <v>59</v>
      </c>
      <c r="B64" s="118"/>
      <c r="C64" s="91"/>
      <c r="D64" s="91"/>
      <c r="E64" s="91"/>
      <c r="F64" s="91"/>
      <c r="G64" s="91"/>
      <c r="H64" s="91"/>
      <c r="I64" s="91"/>
      <c r="J64" s="91"/>
      <c r="K64" s="91"/>
      <c r="L64" s="91"/>
      <c r="M64" s="91"/>
      <c r="N64" s="91"/>
      <c r="O64" s="91"/>
      <c r="P64" s="91"/>
      <c r="Q64" s="91"/>
      <c r="R64" s="91"/>
      <c r="S64" s="91"/>
      <c r="T64" s="91"/>
      <c r="U64" s="91"/>
      <c r="V64" s="91"/>
      <c r="W64" s="91"/>
      <c r="X64" s="91"/>
      <c r="Y64" s="91"/>
      <c r="Z64" s="91"/>
      <c r="AA64" s="91"/>
      <c r="AB64" s="91"/>
      <c r="AC64" s="91"/>
    </row>
    <row r="65" spans="1:29" x14ac:dyDescent="0.3">
      <c r="A65" s="29" t="s">
        <v>60</v>
      </c>
      <c r="B65" s="25"/>
      <c r="C65" s="91"/>
      <c r="D65" s="91"/>
      <c r="E65" s="91"/>
      <c r="F65" s="91"/>
      <c r="G65" s="91"/>
      <c r="H65" s="91"/>
      <c r="I65" s="91"/>
      <c r="J65" s="91"/>
      <c r="K65" s="91"/>
      <c r="L65" s="91"/>
      <c r="M65" s="91"/>
      <c r="N65" s="91"/>
      <c r="O65" s="91"/>
      <c r="P65" s="91"/>
      <c r="Q65" s="91"/>
      <c r="R65" s="91"/>
      <c r="S65" s="91"/>
      <c r="T65" s="91"/>
      <c r="U65" s="91"/>
      <c r="V65" s="91"/>
      <c r="W65" s="91"/>
      <c r="X65" s="91"/>
      <c r="Y65" s="91"/>
      <c r="Z65" s="91"/>
      <c r="AA65" s="91"/>
      <c r="AB65" s="91"/>
      <c r="AC65" s="91"/>
    </row>
    <row r="66" spans="1:29" x14ac:dyDescent="0.3">
      <c r="A66" s="29" t="s">
        <v>61</v>
      </c>
      <c r="B66" s="80">
        <v>0.2</v>
      </c>
      <c r="C66" s="91"/>
      <c r="D66" s="91"/>
      <c r="E66" s="91"/>
      <c r="F66" s="91"/>
      <c r="G66" s="91"/>
      <c r="H66" s="91"/>
      <c r="I66" s="91"/>
      <c r="J66" s="91"/>
      <c r="K66" s="91"/>
      <c r="L66" s="91"/>
      <c r="M66" s="91"/>
      <c r="N66" s="91"/>
      <c r="O66" s="91"/>
      <c r="P66" s="91"/>
      <c r="Q66" s="91"/>
      <c r="R66" s="91"/>
      <c r="S66" s="91"/>
      <c r="T66" s="91"/>
      <c r="U66" s="91"/>
      <c r="V66" s="91"/>
      <c r="W66" s="91"/>
      <c r="X66" s="91"/>
      <c r="Y66" s="91"/>
      <c r="Z66" s="91"/>
      <c r="AA66" s="91"/>
      <c r="AB66" s="91"/>
      <c r="AC66" s="91"/>
    </row>
    <row r="67" spans="1:29" x14ac:dyDescent="0.3">
      <c r="A67" s="29" t="s">
        <v>62</v>
      </c>
      <c r="B67" s="25">
        <f>B66*B65</f>
        <v>0</v>
      </c>
      <c r="C67" s="91"/>
      <c r="D67" s="91"/>
      <c r="E67" s="91"/>
      <c r="F67" s="91"/>
      <c r="G67" s="91"/>
      <c r="H67" s="91"/>
      <c r="I67" s="91"/>
      <c r="J67" s="91"/>
      <c r="K67" s="91"/>
      <c r="L67" s="91"/>
      <c r="M67" s="91"/>
      <c r="N67" s="91"/>
      <c r="O67" s="91"/>
      <c r="P67" s="91"/>
      <c r="Q67" s="91"/>
      <c r="R67" s="91"/>
      <c r="S67" s="91"/>
      <c r="T67" s="91"/>
      <c r="U67" s="91"/>
      <c r="V67" s="91"/>
      <c r="W67" s="91"/>
      <c r="X67" s="91"/>
      <c r="Y67" s="91"/>
      <c r="Z67" s="91"/>
      <c r="AA67" s="91"/>
      <c r="AB67" s="91"/>
      <c r="AC67" s="91"/>
    </row>
    <row r="68" spans="1:29" x14ac:dyDescent="0.3">
      <c r="A68" s="29" t="s">
        <v>63</v>
      </c>
      <c r="B68" s="30">
        <f>B65+B67</f>
        <v>0</v>
      </c>
      <c r="C68" s="91"/>
      <c r="D68" s="91"/>
      <c r="E68" s="91"/>
      <c r="F68" s="91"/>
      <c r="G68" s="91"/>
      <c r="H68" s="91"/>
      <c r="I68" s="91"/>
      <c r="J68" s="91"/>
      <c r="K68" s="91"/>
      <c r="L68" s="91"/>
      <c r="M68" s="91"/>
      <c r="N68" s="91"/>
      <c r="O68" s="91"/>
      <c r="P68" s="91"/>
      <c r="Q68" s="91"/>
      <c r="R68" s="91"/>
      <c r="S68" s="91"/>
      <c r="T68" s="91"/>
      <c r="U68" s="91"/>
      <c r="V68" s="91"/>
      <c r="W68" s="91"/>
      <c r="X68" s="91"/>
      <c r="Y68" s="91"/>
      <c r="Z68" s="91"/>
      <c r="AA68" s="91"/>
      <c r="AB68" s="91"/>
      <c r="AC68" s="91"/>
    </row>
    <row r="69" spans="1:29" x14ac:dyDescent="0.3">
      <c r="A69" s="29" t="s">
        <v>64</v>
      </c>
      <c r="B69" s="80">
        <v>0.1</v>
      </c>
      <c r="C69" s="91"/>
      <c r="D69" s="91"/>
      <c r="E69" s="91"/>
      <c r="F69" s="91"/>
      <c r="G69" s="91"/>
      <c r="H69" s="91"/>
      <c r="I69" s="91"/>
      <c r="J69" s="91"/>
      <c r="K69" s="91"/>
      <c r="L69" s="91"/>
      <c r="M69" s="91"/>
      <c r="N69" s="91"/>
      <c r="O69" s="91"/>
      <c r="P69" s="91"/>
      <c r="Q69" s="91"/>
      <c r="R69" s="91"/>
      <c r="S69" s="91"/>
      <c r="T69" s="91"/>
      <c r="U69" s="91"/>
      <c r="V69" s="91"/>
      <c r="W69" s="91"/>
      <c r="X69" s="91"/>
      <c r="Y69" s="91"/>
      <c r="Z69" s="91"/>
      <c r="AA69" s="91"/>
      <c r="AB69" s="91"/>
      <c r="AC69" s="91"/>
    </row>
    <row r="70" spans="1:29" x14ac:dyDescent="0.3">
      <c r="A70" s="29" t="s">
        <v>65</v>
      </c>
      <c r="B70" s="30">
        <f>B69*B68</f>
        <v>0</v>
      </c>
      <c r="C70" s="91"/>
      <c r="D70" s="91"/>
      <c r="E70" s="91"/>
      <c r="F70" s="91"/>
      <c r="G70" s="91"/>
      <c r="H70" s="91"/>
      <c r="I70" s="91"/>
      <c r="J70" s="91"/>
      <c r="K70" s="91"/>
      <c r="L70" s="91"/>
      <c r="M70" s="91"/>
      <c r="N70" s="91"/>
      <c r="O70" s="91"/>
      <c r="P70" s="91"/>
      <c r="Q70" s="91"/>
      <c r="R70" s="91"/>
      <c r="S70" s="91"/>
      <c r="T70" s="91"/>
      <c r="U70" s="91"/>
      <c r="V70" s="91"/>
      <c r="W70" s="91"/>
      <c r="X70" s="91"/>
      <c r="Y70" s="91"/>
      <c r="Z70" s="91"/>
      <c r="AA70" s="91"/>
      <c r="AB70" s="91"/>
      <c r="AC70" s="91"/>
    </row>
    <row r="71" spans="1:29" x14ac:dyDescent="0.3">
      <c r="A71" s="29" t="s">
        <v>51</v>
      </c>
      <c r="B71" s="25">
        <f>B70+B68</f>
        <v>0</v>
      </c>
      <c r="C71" s="91"/>
      <c r="D71" s="91"/>
      <c r="E71" s="91"/>
      <c r="F71" s="91"/>
      <c r="G71" s="91"/>
      <c r="H71" s="91"/>
      <c r="I71" s="91"/>
      <c r="J71" s="91"/>
      <c r="K71" s="91"/>
      <c r="L71" s="91"/>
      <c r="M71" s="91"/>
      <c r="N71" s="91"/>
      <c r="O71" s="91"/>
      <c r="P71" s="91"/>
      <c r="Q71" s="91"/>
      <c r="R71" s="91"/>
      <c r="S71" s="91"/>
      <c r="T71" s="91"/>
      <c r="U71" s="91"/>
      <c r="V71" s="91"/>
      <c r="W71" s="91"/>
      <c r="X71" s="91"/>
      <c r="Y71" s="91"/>
      <c r="Z71" s="91"/>
      <c r="AA71" s="91"/>
      <c r="AB71" s="91"/>
      <c r="AC71" s="91"/>
    </row>
    <row r="72" spans="1:29" x14ac:dyDescent="0.3">
      <c r="A72" s="29" t="s">
        <v>66</v>
      </c>
      <c r="B72" s="81">
        <v>0.15</v>
      </c>
      <c r="C72" s="91"/>
      <c r="D72" s="91"/>
      <c r="E72" s="91"/>
      <c r="F72" s="91"/>
      <c r="G72" s="91"/>
      <c r="H72" s="91"/>
      <c r="I72" s="91"/>
      <c r="J72" s="91"/>
      <c r="K72" s="91"/>
      <c r="L72" s="91"/>
      <c r="M72" s="91"/>
      <c r="N72" s="91"/>
      <c r="O72" s="91"/>
      <c r="P72" s="91"/>
      <c r="Q72" s="91"/>
      <c r="R72" s="91"/>
      <c r="S72" s="91"/>
      <c r="T72" s="91"/>
      <c r="U72" s="91"/>
      <c r="V72" s="91"/>
      <c r="W72" s="91"/>
      <c r="X72" s="91"/>
      <c r="Y72" s="91"/>
      <c r="Z72" s="91"/>
      <c r="AA72" s="91"/>
      <c r="AB72" s="91"/>
      <c r="AC72" s="91"/>
    </row>
    <row r="73" spans="1:29" x14ac:dyDescent="0.3">
      <c r="A73" s="29" t="s">
        <v>57</v>
      </c>
      <c r="B73" s="30">
        <f>B72*B71</f>
        <v>0</v>
      </c>
      <c r="C73" s="91"/>
      <c r="D73" s="91"/>
      <c r="E73" s="91"/>
      <c r="F73" s="91"/>
      <c r="G73" s="91"/>
      <c r="H73" s="91"/>
      <c r="I73" s="91"/>
      <c r="J73" s="91"/>
      <c r="K73" s="91"/>
      <c r="L73" s="91"/>
      <c r="M73" s="91"/>
      <c r="N73" s="91"/>
      <c r="O73" s="91"/>
      <c r="P73" s="91"/>
      <c r="Q73" s="91"/>
      <c r="R73" s="91"/>
      <c r="S73" s="91"/>
      <c r="T73" s="91"/>
      <c r="U73" s="91"/>
      <c r="V73" s="91"/>
      <c r="W73" s="91"/>
      <c r="X73" s="91"/>
      <c r="Y73" s="91"/>
      <c r="Z73" s="91"/>
      <c r="AA73" s="91"/>
      <c r="AB73" s="91"/>
      <c r="AC73" s="91"/>
    </row>
    <row r="74" spans="1:29" x14ac:dyDescent="0.3">
      <c r="A74" s="29" t="s">
        <v>67</v>
      </c>
      <c r="B74" s="30">
        <f>B73+B71</f>
        <v>0</v>
      </c>
      <c r="C74" s="91"/>
      <c r="D74" s="91"/>
      <c r="E74" s="91"/>
      <c r="F74" s="91"/>
      <c r="G74" s="91"/>
      <c r="H74" s="91"/>
      <c r="I74" s="91"/>
      <c r="J74" s="91"/>
      <c r="K74" s="91"/>
      <c r="L74" s="91"/>
      <c r="M74" s="91"/>
      <c r="N74" s="91"/>
      <c r="O74" s="91"/>
      <c r="P74" s="91"/>
      <c r="Q74" s="91"/>
      <c r="R74" s="91"/>
      <c r="S74" s="91"/>
      <c r="T74" s="91"/>
      <c r="U74" s="91"/>
      <c r="V74" s="91"/>
      <c r="W74" s="91"/>
      <c r="X74" s="91"/>
      <c r="Y74" s="91"/>
      <c r="Z74" s="91"/>
      <c r="AA74" s="91"/>
      <c r="AB74" s="91"/>
      <c r="AC74" s="91"/>
    </row>
    <row r="75" spans="1:29" x14ac:dyDescent="0.3">
      <c r="A75" s="93" t="s">
        <v>68</v>
      </c>
      <c r="B75" s="94">
        <f>B62+B74</f>
        <v>84172491.358245015</v>
      </c>
      <c r="C75" s="91"/>
      <c r="D75" s="91"/>
      <c r="E75" s="91"/>
      <c r="F75" s="91"/>
      <c r="G75" s="91"/>
      <c r="H75" s="91"/>
      <c r="I75" s="91"/>
      <c r="J75" s="91"/>
      <c r="K75" s="91"/>
      <c r="L75" s="91"/>
      <c r="M75" s="91"/>
      <c r="N75" s="91"/>
      <c r="O75" s="91"/>
      <c r="P75" s="91"/>
      <c r="Q75" s="91"/>
      <c r="R75" s="91"/>
      <c r="S75" s="91"/>
      <c r="T75" s="91"/>
      <c r="U75" s="91"/>
      <c r="V75" s="91"/>
      <c r="W75" s="91"/>
      <c r="X75" s="91"/>
      <c r="Y75" s="91"/>
      <c r="Z75" s="91"/>
      <c r="AA75" s="91"/>
      <c r="AB75" s="91"/>
      <c r="AC75" s="91"/>
    </row>
    <row r="76" spans="1:29" x14ac:dyDescent="0.3">
      <c r="A76" s="91"/>
      <c r="B76" s="91"/>
      <c r="C76" s="91"/>
      <c r="D76" s="91"/>
      <c r="E76" s="91"/>
      <c r="F76" s="91"/>
      <c r="G76" s="91"/>
      <c r="H76" s="91"/>
      <c r="I76" s="91"/>
      <c r="J76" s="91"/>
      <c r="K76" s="91"/>
      <c r="L76" s="91"/>
      <c r="M76" s="91"/>
      <c r="N76" s="91"/>
      <c r="O76" s="91"/>
      <c r="P76" s="91"/>
      <c r="Q76" s="91"/>
      <c r="R76" s="91"/>
      <c r="S76" s="91"/>
      <c r="T76" s="91"/>
      <c r="U76" s="91"/>
      <c r="V76" s="91"/>
      <c r="W76" s="91"/>
      <c r="X76" s="91"/>
      <c r="Y76" s="91"/>
      <c r="Z76" s="91"/>
      <c r="AA76" s="91"/>
      <c r="AB76" s="91"/>
      <c r="AC76" s="91"/>
    </row>
    <row r="77" spans="1:29" x14ac:dyDescent="0.3">
      <c r="A77" s="91"/>
      <c r="B77" s="91"/>
      <c r="C77" s="91"/>
      <c r="D77" s="91"/>
      <c r="E77" s="91"/>
      <c r="F77" s="91"/>
      <c r="G77" s="91"/>
      <c r="H77" s="91"/>
      <c r="I77" s="91"/>
      <c r="J77" s="91"/>
      <c r="K77" s="91"/>
      <c r="L77" s="91"/>
      <c r="M77" s="91"/>
      <c r="N77" s="91"/>
      <c r="O77" s="91"/>
      <c r="P77" s="91"/>
      <c r="Q77" s="91"/>
      <c r="R77" s="91"/>
      <c r="S77" s="91"/>
      <c r="T77" s="91"/>
      <c r="U77" s="91"/>
      <c r="V77" s="91"/>
      <c r="W77" s="91"/>
      <c r="X77" s="91"/>
      <c r="Y77" s="91"/>
      <c r="Z77" s="91"/>
      <c r="AA77" s="91"/>
      <c r="AB77" s="91"/>
      <c r="AC77" s="91"/>
    </row>
    <row r="78" spans="1:29" x14ac:dyDescent="0.3">
      <c r="A78" s="91"/>
      <c r="B78" s="91"/>
      <c r="C78" s="91"/>
      <c r="D78" s="91"/>
      <c r="E78" s="91"/>
      <c r="F78" s="91"/>
      <c r="G78" s="91"/>
      <c r="H78" s="91"/>
      <c r="I78" s="91"/>
      <c r="J78" s="91"/>
      <c r="K78" s="91"/>
      <c r="L78" s="91"/>
      <c r="M78" s="91"/>
      <c r="N78" s="91"/>
      <c r="O78" s="91"/>
      <c r="P78" s="91"/>
      <c r="Q78" s="91"/>
      <c r="R78" s="91"/>
      <c r="S78" s="91"/>
      <c r="T78" s="91"/>
      <c r="U78" s="91"/>
      <c r="V78" s="91"/>
      <c r="W78" s="91"/>
      <c r="X78" s="91"/>
      <c r="Y78" s="91"/>
      <c r="Z78" s="91"/>
      <c r="AA78" s="91"/>
      <c r="AB78" s="91"/>
      <c r="AC78" s="91"/>
    </row>
    <row r="79" spans="1:29" x14ac:dyDescent="0.3">
      <c r="A79" s="91"/>
      <c r="B79" s="91"/>
      <c r="C79" s="91"/>
      <c r="D79" s="91"/>
      <c r="E79" s="91"/>
      <c r="F79" s="91"/>
      <c r="G79" s="91"/>
      <c r="H79" s="91"/>
      <c r="I79" s="91"/>
      <c r="J79" s="91"/>
      <c r="K79" s="91"/>
      <c r="L79" s="91"/>
      <c r="M79" s="91"/>
      <c r="N79" s="91"/>
      <c r="O79" s="91"/>
      <c r="P79" s="91"/>
      <c r="Q79" s="91"/>
      <c r="R79" s="91"/>
      <c r="S79" s="91"/>
      <c r="T79" s="91"/>
      <c r="U79" s="91"/>
      <c r="V79" s="91"/>
      <c r="W79" s="91"/>
      <c r="X79" s="91"/>
      <c r="Y79" s="91"/>
      <c r="Z79" s="91"/>
      <c r="AA79" s="91"/>
      <c r="AB79" s="91"/>
      <c r="AC79" s="91"/>
    </row>
    <row r="80" spans="1:29" x14ac:dyDescent="0.3">
      <c r="A80" s="91"/>
      <c r="B80" s="91"/>
      <c r="C80" s="91"/>
      <c r="D80" s="91"/>
      <c r="E80" s="91"/>
      <c r="F80" s="91"/>
      <c r="G80" s="91"/>
      <c r="H80" s="91"/>
      <c r="I80" s="91"/>
      <c r="J80" s="91"/>
      <c r="K80" s="91"/>
      <c r="L80" s="91"/>
      <c r="M80" s="91"/>
      <c r="N80" s="91"/>
      <c r="O80" s="91"/>
      <c r="P80" s="91"/>
      <c r="Q80" s="91"/>
      <c r="R80" s="91"/>
      <c r="S80" s="91"/>
      <c r="T80" s="91"/>
      <c r="U80" s="91"/>
      <c r="V80" s="91"/>
      <c r="W80" s="91"/>
      <c r="X80" s="91"/>
      <c r="Y80" s="91"/>
      <c r="Z80" s="91"/>
      <c r="AA80" s="91"/>
      <c r="AB80" s="91"/>
      <c r="AC80" s="91"/>
    </row>
    <row r="81" spans="1:29" x14ac:dyDescent="0.3">
      <c r="A81" s="91"/>
      <c r="B81" s="91"/>
      <c r="C81" s="91"/>
      <c r="D81" s="91"/>
      <c r="E81" s="91"/>
      <c r="F81" s="91"/>
      <c r="G81" s="91"/>
      <c r="H81" s="91"/>
      <c r="I81" s="91"/>
      <c r="J81" s="91"/>
      <c r="K81" s="91"/>
      <c r="L81" s="91"/>
      <c r="M81" s="91"/>
      <c r="N81" s="91"/>
      <c r="O81" s="91"/>
      <c r="P81" s="91"/>
      <c r="Q81" s="91"/>
      <c r="R81" s="91"/>
      <c r="S81" s="91"/>
      <c r="T81" s="91"/>
      <c r="U81" s="91"/>
      <c r="V81" s="91"/>
      <c r="W81" s="91"/>
      <c r="X81" s="91"/>
      <c r="Y81" s="91"/>
      <c r="Z81" s="91"/>
      <c r="AA81" s="91"/>
      <c r="AB81" s="91"/>
      <c r="AC81" s="91"/>
    </row>
    <row r="82" spans="1:29" x14ac:dyDescent="0.3">
      <c r="A82" s="91"/>
      <c r="B82" s="91"/>
      <c r="C82" s="91"/>
      <c r="D82" s="91"/>
      <c r="E82" s="91"/>
      <c r="F82" s="91"/>
      <c r="G82" s="91"/>
      <c r="H82" s="91"/>
      <c r="I82" s="91"/>
      <c r="J82" s="91"/>
      <c r="K82" s="91"/>
      <c r="L82" s="91"/>
      <c r="M82" s="91"/>
      <c r="N82" s="91"/>
      <c r="O82" s="91"/>
      <c r="P82" s="91"/>
      <c r="Q82" s="91"/>
      <c r="R82" s="91"/>
      <c r="S82" s="91"/>
      <c r="T82" s="91"/>
      <c r="U82" s="91"/>
      <c r="V82" s="91"/>
      <c r="W82" s="91"/>
      <c r="X82" s="91"/>
      <c r="Y82" s="91"/>
      <c r="Z82" s="91"/>
      <c r="AA82" s="91"/>
      <c r="AB82" s="91"/>
      <c r="AC82" s="91"/>
    </row>
    <row r="83" spans="1:29" x14ac:dyDescent="0.3">
      <c r="A83" s="91"/>
      <c r="B83" s="91"/>
      <c r="C83" s="91"/>
      <c r="D83" s="91"/>
      <c r="E83" s="91"/>
      <c r="F83" s="91"/>
      <c r="G83" s="91"/>
      <c r="H83" s="91"/>
      <c r="I83" s="91"/>
      <c r="J83" s="91"/>
      <c r="K83" s="91"/>
      <c r="L83" s="91"/>
      <c r="M83" s="91"/>
      <c r="N83" s="91"/>
      <c r="O83" s="91"/>
      <c r="P83" s="91"/>
      <c r="Q83" s="91"/>
      <c r="R83" s="91"/>
      <c r="S83" s="91"/>
      <c r="T83" s="91"/>
      <c r="U83" s="91"/>
      <c r="V83" s="91"/>
      <c r="W83" s="91"/>
      <c r="X83" s="91"/>
      <c r="Y83" s="91"/>
      <c r="Z83" s="91"/>
      <c r="AA83" s="91"/>
      <c r="AB83" s="91"/>
      <c r="AC83" s="91"/>
    </row>
    <row r="84" spans="1:29" x14ac:dyDescent="0.3">
      <c r="A84" s="91"/>
      <c r="B84" s="91"/>
      <c r="C84" s="91"/>
      <c r="D84" s="91"/>
      <c r="E84" s="91"/>
      <c r="F84" s="91"/>
      <c r="G84" s="91"/>
      <c r="H84" s="91"/>
      <c r="I84" s="91"/>
      <c r="J84" s="91"/>
      <c r="K84" s="91"/>
      <c r="L84" s="91"/>
      <c r="M84" s="91"/>
      <c r="N84" s="91"/>
      <c r="O84" s="91"/>
      <c r="P84" s="91"/>
      <c r="Q84" s="91"/>
      <c r="R84" s="91"/>
      <c r="S84" s="91"/>
      <c r="T84" s="91"/>
      <c r="U84" s="91"/>
      <c r="V84" s="91"/>
      <c r="W84" s="91"/>
      <c r="X84" s="91"/>
      <c r="Y84" s="91"/>
      <c r="Z84" s="91"/>
      <c r="AA84" s="91"/>
      <c r="AB84" s="91"/>
      <c r="AC84" s="91"/>
    </row>
    <row r="85" spans="1:29" x14ac:dyDescent="0.3">
      <c r="A85" s="91"/>
      <c r="B85" s="91"/>
      <c r="C85" s="91"/>
      <c r="D85" s="91"/>
      <c r="E85" s="91"/>
      <c r="F85" s="91"/>
      <c r="G85" s="91"/>
      <c r="H85" s="91"/>
      <c r="I85" s="91"/>
      <c r="J85" s="91"/>
      <c r="K85" s="91"/>
      <c r="L85" s="91"/>
      <c r="M85" s="91"/>
      <c r="N85" s="91"/>
      <c r="O85" s="91"/>
      <c r="P85" s="91"/>
      <c r="Q85" s="91"/>
      <c r="R85" s="91"/>
      <c r="S85" s="91"/>
      <c r="T85" s="91"/>
      <c r="U85" s="91"/>
      <c r="V85" s="91"/>
      <c r="W85" s="91"/>
      <c r="X85" s="91"/>
      <c r="Y85" s="91"/>
      <c r="Z85" s="91"/>
      <c r="AA85" s="91"/>
      <c r="AB85" s="91"/>
      <c r="AC85" s="91"/>
    </row>
    <row r="86" spans="1:29" x14ac:dyDescent="0.3">
      <c r="A86" s="91"/>
      <c r="B86" s="91"/>
      <c r="C86" s="91"/>
      <c r="D86" s="91"/>
      <c r="E86" s="91"/>
      <c r="F86" s="91"/>
      <c r="G86" s="91"/>
      <c r="H86" s="91"/>
      <c r="I86" s="91"/>
      <c r="J86" s="91"/>
      <c r="K86" s="91"/>
      <c r="L86" s="91"/>
      <c r="M86" s="91"/>
      <c r="N86" s="91"/>
      <c r="O86" s="91"/>
      <c r="P86" s="91"/>
      <c r="Q86" s="91"/>
      <c r="R86" s="91"/>
      <c r="S86" s="91"/>
      <c r="T86" s="91"/>
      <c r="U86" s="91"/>
      <c r="V86" s="91"/>
      <c r="W86" s="91"/>
      <c r="X86" s="91"/>
      <c r="Y86" s="91"/>
      <c r="Z86" s="91"/>
      <c r="AA86" s="91"/>
      <c r="AB86" s="91"/>
      <c r="AC86" s="91"/>
    </row>
    <row r="87" spans="1:29" x14ac:dyDescent="0.3">
      <c r="A87" s="91"/>
      <c r="B87" s="91"/>
      <c r="C87" s="91"/>
      <c r="D87" s="91"/>
      <c r="E87" s="91"/>
      <c r="F87" s="91"/>
      <c r="G87" s="91"/>
      <c r="H87" s="91"/>
      <c r="I87" s="91"/>
      <c r="J87" s="91"/>
      <c r="K87" s="91"/>
      <c r="L87" s="91"/>
      <c r="M87" s="91"/>
      <c r="N87" s="91"/>
      <c r="O87" s="91"/>
      <c r="P87" s="91"/>
      <c r="Q87" s="91"/>
      <c r="R87" s="91"/>
      <c r="S87" s="91"/>
      <c r="T87" s="91"/>
      <c r="U87" s="91"/>
      <c r="V87" s="91"/>
      <c r="W87" s="91"/>
      <c r="X87" s="91"/>
      <c r="Y87" s="91"/>
      <c r="Z87" s="91"/>
      <c r="AA87" s="91"/>
      <c r="AB87" s="91"/>
      <c r="AC87" s="91"/>
    </row>
    <row r="88" spans="1:29" x14ac:dyDescent="0.3">
      <c r="A88" s="91"/>
      <c r="B88" s="91"/>
      <c r="C88" s="91"/>
      <c r="D88" s="91"/>
      <c r="E88" s="91"/>
      <c r="F88" s="91"/>
      <c r="G88" s="91"/>
      <c r="H88" s="91"/>
      <c r="I88" s="91"/>
      <c r="J88" s="91"/>
      <c r="K88" s="91"/>
      <c r="L88" s="91"/>
      <c r="M88" s="91"/>
      <c r="N88" s="91"/>
      <c r="O88" s="91"/>
      <c r="P88" s="91"/>
      <c r="Q88" s="91"/>
      <c r="R88" s="91"/>
      <c r="S88" s="91"/>
      <c r="T88" s="91"/>
      <c r="U88" s="91"/>
      <c r="V88" s="91"/>
      <c r="W88" s="91"/>
      <c r="X88" s="91"/>
      <c r="Y88" s="91"/>
      <c r="Z88" s="91"/>
      <c r="AA88" s="91"/>
      <c r="AB88" s="91"/>
      <c r="AC88" s="91"/>
    </row>
    <row r="89" spans="1:29" x14ac:dyDescent="0.3">
      <c r="A89" s="91"/>
      <c r="B89" s="91"/>
      <c r="C89" s="91"/>
      <c r="D89" s="91"/>
      <c r="E89" s="91"/>
      <c r="F89" s="91"/>
      <c r="G89" s="91"/>
      <c r="H89" s="91"/>
      <c r="I89" s="91"/>
      <c r="J89" s="91"/>
      <c r="K89" s="91"/>
      <c r="L89" s="91"/>
      <c r="M89" s="91"/>
      <c r="N89" s="91"/>
      <c r="O89" s="91"/>
      <c r="P89" s="91"/>
      <c r="Q89" s="91"/>
      <c r="R89" s="91"/>
      <c r="S89" s="91"/>
      <c r="T89" s="91"/>
      <c r="U89" s="91"/>
      <c r="V89" s="91"/>
      <c r="W89" s="91"/>
      <c r="X89" s="91"/>
      <c r="Y89" s="91"/>
      <c r="Z89" s="91"/>
      <c r="AA89" s="91"/>
      <c r="AB89" s="91"/>
      <c r="AC89" s="91"/>
    </row>
    <row r="90" spans="1:29" x14ac:dyDescent="0.3">
      <c r="A90" s="91"/>
      <c r="B90" s="91"/>
      <c r="C90" s="91"/>
      <c r="D90" s="91"/>
      <c r="E90" s="91"/>
      <c r="F90" s="91"/>
      <c r="G90" s="91"/>
      <c r="H90" s="91"/>
      <c r="I90" s="91"/>
      <c r="J90" s="91"/>
      <c r="K90" s="91"/>
      <c r="L90" s="91"/>
      <c r="M90" s="91"/>
      <c r="N90" s="91"/>
      <c r="O90" s="91"/>
      <c r="P90" s="91"/>
      <c r="Q90" s="91"/>
      <c r="R90" s="91"/>
      <c r="S90" s="91"/>
      <c r="T90" s="91"/>
      <c r="U90" s="91"/>
      <c r="V90" s="91"/>
      <c r="W90" s="91"/>
      <c r="X90" s="91"/>
      <c r="Y90" s="91"/>
      <c r="Z90" s="91"/>
      <c r="AA90" s="91"/>
      <c r="AB90" s="91"/>
      <c r="AC90" s="91"/>
    </row>
    <row r="91" spans="1:29" x14ac:dyDescent="0.3">
      <c r="A91" s="91"/>
      <c r="B91" s="91"/>
      <c r="C91" s="91"/>
      <c r="D91" s="91"/>
      <c r="E91" s="91"/>
      <c r="F91" s="91"/>
      <c r="G91" s="91"/>
      <c r="H91" s="91"/>
      <c r="I91" s="91"/>
      <c r="J91" s="91"/>
      <c r="K91" s="91"/>
      <c r="L91" s="91"/>
      <c r="M91" s="91"/>
      <c r="N91" s="91"/>
      <c r="O91" s="91"/>
      <c r="P91" s="91"/>
      <c r="Q91" s="91"/>
      <c r="R91" s="91"/>
      <c r="S91" s="91"/>
      <c r="T91" s="91"/>
      <c r="U91" s="91"/>
      <c r="V91" s="91"/>
      <c r="W91" s="91"/>
      <c r="X91" s="91"/>
      <c r="Y91" s="91"/>
      <c r="Z91" s="91"/>
      <c r="AA91" s="91"/>
      <c r="AB91" s="91"/>
      <c r="AC91" s="91"/>
    </row>
    <row r="92" spans="1:29" x14ac:dyDescent="0.3">
      <c r="A92" s="91"/>
      <c r="B92" s="91"/>
      <c r="C92" s="91"/>
      <c r="D92" s="91"/>
      <c r="E92" s="91"/>
      <c r="F92" s="91"/>
      <c r="G92" s="91"/>
      <c r="H92" s="91"/>
      <c r="I92" s="91"/>
      <c r="J92" s="91"/>
      <c r="K92" s="91"/>
      <c r="L92" s="91"/>
      <c r="M92" s="91"/>
      <c r="N92" s="91"/>
      <c r="O92" s="91"/>
      <c r="P92" s="91"/>
      <c r="Q92" s="91"/>
      <c r="R92" s="91"/>
      <c r="S92" s="91"/>
      <c r="T92" s="91"/>
      <c r="U92" s="91"/>
      <c r="V92" s="91"/>
      <c r="W92" s="91"/>
      <c r="X92" s="91"/>
      <c r="Y92" s="91"/>
      <c r="Z92" s="91"/>
      <c r="AA92" s="91"/>
      <c r="AB92" s="91"/>
      <c r="AC92" s="91"/>
    </row>
    <row r="93" spans="1:29" x14ac:dyDescent="0.3">
      <c r="A93" s="91"/>
      <c r="B93" s="91"/>
      <c r="C93" s="91"/>
      <c r="D93" s="91"/>
      <c r="E93" s="91"/>
      <c r="F93" s="91"/>
      <c r="G93" s="91"/>
      <c r="H93" s="91"/>
      <c r="I93" s="91"/>
      <c r="J93" s="91"/>
      <c r="K93" s="91"/>
      <c r="L93" s="91"/>
      <c r="M93" s="91"/>
      <c r="N93" s="91"/>
      <c r="O93" s="91"/>
      <c r="P93" s="91"/>
      <c r="Q93" s="91"/>
      <c r="R93" s="91"/>
      <c r="S93" s="91"/>
      <c r="T93" s="91"/>
      <c r="U93" s="91"/>
      <c r="V93" s="91"/>
      <c r="W93" s="91"/>
      <c r="X93" s="91"/>
      <c r="Y93" s="91"/>
      <c r="Z93" s="91"/>
      <c r="AA93" s="91"/>
      <c r="AB93" s="91"/>
      <c r="AC93" s="91"/>
    </row>
    <row r="94" spans="1:29" x14ac:dyDescent="0.3">
      <c r="A94" s="91"/>
      <c r="B94" s="91"/>
      <c r="C94" s="91"/>
      <c r="D94" s="91"/>
      <c r="E94" s="91"/>
      <c r="F94" s="91"/>
      <c r="G94" s="91"/>
      <c r="H94" s="91"/>
      <c r="I94" s="91"/>
      <c r="J94" s="91"/>
      <c r="K94" s="91"/>
      <c r="L94" s="91"/>
      <c r="M94" s="91"/>
      <c r="N94" s="91"/>
      <c r="O94" s="91"/>
      <c r="P94" s="91"/>
      <c r="Q94" s="91"/>
      <c r="R94" s="91"/>
      <c r="S94" s="91"/>
      <c r="T94" s="91"/>
      <c r="U94" s="91"/>
      <c r="V94" s="91"/>
      <c r="W94" s="91"/>
      <c r="X94" s="91"/>
      <c r="Y94" s="91"/>
      <c r="Z94" s="91"/>
      <c r="AA94" s="91"/>
      <c r="AB94" s="91"/>
      <c r="AC94" s="91"/>
    </row>
    <row r="95" spans="1:29" x14ac:dyDescent="0.3">
      <c r="A95" s="91"/>
      <c r="B95" s="91"/>
      <c r="C95" s="91"/>
      <c r="D95" s="91"/>
      <c r="E95" s="91"/>
      <c r="F95" s="91"/>
      <c r="G95" s="91"/>
      <c r="H95" s="91"/>
      <c r="I95" s="91"/>
      <c r="J95" s="91"/>
      <c r="K95" s="91"/>
      <c r="L95" s="91"/>
      <c r="M95" s="91"/>
      <c r="N95" s="91"/>
      <c r="O95" s="91"/>
      <c r="P95" s="91"/>
      <c r="Q95" s="91"/>
      <c r="R95" s="91"/>
      <c r="S95" s="91"/>
      <c r="T95" s="91"/>
      <c r="U95" s="91"/>
      <c r="V95" s="91"/>
      <c r="W95" s="91"/>
      <c r="X95" s="91"/>
      <c r="Y95" s="91"/>
      <c r="Z95" s="91"/>
      <c r="AA95" s="91"/>
      <c r="AB95" s="91"/>
      <c r="AC95" s="91"/>
    </row>
    <row r="96" spans="1:29" x14ac:dyDescent="0.3">
      <c r="A96" s="91"/>
      <c r="B96" s="91"/>
      <c r="C96" s="91"/>
      <c r="D96" s="91"/>
      <c r="E96" s="91"/>
      <c r="F96" s="91"/>
      <c r="G96" s="91"/>
      <c r="H96" s="91"/>
      <c r="I96" s="91"/>
      <c r="J96" s="91"/>
      <c r="K96" s="91"/>
      <c r="L96" s="91"/>
      <c r="M96" s="91"/>
      <c r="N96" s="91"/>
      <c r="O96" s="91"/>
      <c r="P96" s="91"/>
      <c r="Q96" s="91"/>
      <c r="R96" s="91"/>
      <c r="S96" s="91"/>
      <c r="T96" s="91"/>
      <c r="U96" s="91"/>
      <c r="V96" s="91"/>
      <c r="W96" s="91"/>
      <c r="X96" s="91"/>
      <c r="Y96" s="91"/>
      <c r="Z96" s="91"/>
      <c r="AA96" s="91"/>
      <c r="AB96" s="91"/>
      <c r="AC96" s="91"/>
    </row>
    <row r="97" spans="1:29" x14ac:dyDescent="0.3">
      <c r="A97" s="91"/>
      <c r="B97" s="91"/>
      <c r="C97" s="91"/>
      <c r="D97" s="91"/>
      <c r="E97" s="91"/>
      <c r="F97" s="91"/>
      <c r="G97" s="91"/>
      <c r="H97" s="91"/>
      <c r="I97" s="91"/>
      <c r="J97" s="91"/>
      <c r="K97" s="91"/>
      <c r="L97" s="91"/>
      <c r="M97" s="91"/>
      <c r="N97" s="91"/>
      <c r="O97" s="91"/>
      <c r="P97" s="91"/>
      <c r="Q97" s="91"/>
      <c r="R97" s="91"/>
      <c r="S97" s="91"/>
      <c r="T97" s="91"/>
      <c r="U97" s="91"/>
      <c r="V97" s="91"/>
      <c r="W97" s="91"/>
      <c r="X97" s="91"/>
      <c r="Y97" s="91"/>
      <c r="Z97" s="91"/>
      <c r="AA97" s="91"/>
      <c r="AB97" s="91"/>
      <c r="AC97" s="91"/>
    </row>
    <row r="98" spans="1:29" x14ac:dyDescent="0.3">
      <c r="A98" s="91"/>
      <c r="B98" s="91"/>
      <c r="C98" s="91"/>
      <c r="D98" s="91"/>
      <c r="E98" s="91"/>
      <c r="F98" s="91"/>
      <c r="G98" s="91"/>
      <c r="H98" s="91"/>
      <c r="I98" s="91"/>
      <c r="J98" s="91"/>
      <c r="K98" s="91"/>
      <c r="L98" s="91"/>
      <c r="M98" s="91"/>
      <c r="N98" s="91"/>
      <c r="O98" s="91"/>
      <c r="P98" s="91"/>
      <c r="Q98" s="91"/>
      <c r="R98" s="91"/>
      <c r="S98" s="91"/>
      <c r="T98" s="91"/>
      <c r="U98" s="91"/>
      <c r="V98" s="91"/>
      <c r="W98" s="91"/>
      <c r="X98" s="91"/>
      <c r="Y98" s="91"/>
      <c r="Z98" s="91"/>
      <c r="AA98" s="91"/>
      <c r="AB98" s="91"/>
      <c r="AC98" s="91"/>
    </row>
    <row r="99" spans="1:29" x14ac:dyDescent="0.3">
      <c r="A99" s="91"/>
      <c r="B99" s="91"/>
      <c r="C99" s="91"/>
      <c r="D99" s="91"/>
      <c r="E99" s="91"/>
      <c r="F99" s="91"/>
      <c r="G99" s="91"/>
      <c r="H99" s="91"/>
      <c r="I99" s="91"/>
      <c r="J99" s="91"/>
      <c r="K99" s="91"/>
      <c r="L99" s="91"/>
      <c r="M99" s="91"/>
      <c r="N99" s="91"/>
      <c r="O99" s="91"/>
      <c r="P99" s="91"/>
      <c r="Q99" s="91"/>
      <c r="R99" s="91"/>
      <c r="S99" s="91"/>
      <c r="T99" s="91"/>
      <c r="U99" s="91"/>
      <c r="V99" s="91"/>
      <c r="W99" s="91"/>
      <c r="X99" s="91"/>
      <c r="Y99" s="91"/>
      <c r="Z99" s="91"/>
      <c r="AA99" s="91"/>
      <c r="AB99" s="91"/>
      <c r="AC99" s="91"/>
    </row>
    <row r="100" spans="1:29" x14ac:dyDescent="0.3">
      <c r="A100" s="91"/>
      <c r="B100" s="91"/>
      <c r="C100" s="91"/>
      <c r="D100" s="91"/>
      <c r="E100" s="91"/>
      <c r="F100" s="91"/>
      <c r="G100" s="91"/>
      <c r="H100" s="91"/>
      <c r="I100" s="91"/>
      <c r="J100" s="91"/>
      <c r="K100" s="91"/>
      <c r="L100" s="91"/>
      <c r="M100" s="91"/>
      <c r="N100" s="91"/>
      <c r="O100" s="91"/>
      <c r="P100" s="91"/>
      <c r="Q100" s="91"/>
      <c r="R100" s="91"/>
      <c r="S100" s="91"/>
      <c r="T100" s="91"/>
      <c r="U100" s="91"/>
      <c r="V100" s="91"/>
      <c r="W100" s="91"/>
      <c r="X100" s="91"/>
      <c r="Y100" s="91"/>
      <c r="Z100" s="91"/>
      <c r="AA100" s="91"/>
      <c r="AB100" s="91"/>
      <c r="AC100" s="91"/>
    </row>
    <row r="101" spans="1:29" x14ac:dyDescent="0.3">
      <c r="A101" s="91"/>
      <c r="B101" s="91"/>
      <c r="C101" s="91"/>
      <c r="D101" s="91"/>
      <c r="E101" s="91"/>
      <c r="F101" s="91"/>
      <c r="G101" s="91"/>
      <c r="H101" s="91"/>
      <c r="I101" s="91"/>
      <c r="J101" s="91"/>
      <c r="K101" s="91"/>
      <c r="L101" s="91"/>
      <c r="M101" s="91"/>
      <c r="N101" s="91"/>
      <c r="O101" s="91"/>
      <c r="P101" s="91"/>
      <c r="Q101" s="91"/>
      <c r="R101" s="91"/>
      <c r="S101" s="91"/>
      <c r="T101" s="91"/>
      <c r="U101" s="91"/>
      <c r="V101" s="91"/>
      <c r="W101" s="91"/>
      <c r="X101" s="91"/>
      <c r="Y101" s="91"/>
      <c r="Z101" s="91"/>
      <c r="AA101" s="91"/>
      <c r="AB101" s="91"/>
      <c r="AC101" s="91"/>
    </row>
    <row r="102" spans="1:29" x14ac:dyDescent="0.3">
      <c r="A102" s="91"/>
      <c r="B102" s="91"/>
      <c r="C102" s="91"/>
      <c r="D102" s="91"/>
      <c r="E102" s="91"/>
      <c r="F102" s="91"/>
      <c r="G102" s="91"/>
      <c r="H102" s="91"/>
      <c r="I102" s="91"/>
      <c r="J102" s="91"/>
      <c r="K102" s="91"/>
      <c r="L102" s="91"/>
      <c r="M102" s="91"/>
      <c r="N102" s="91"/>
      <c r="O102" s="91"/>
      <c r="P102" s="91"/>
      <c r="Q102" s="91"/>
      <c r="R102" s="91"/>
      <c r="S102" s="91"/>
      <c r="T102" s="91"/>
      <c r="U102" s="91"/>
      <c r="V102" s="91"/>
      <c r="W102" s="91"/>
      <c r="X102" s="91"/>
      <c r="Y102" s="91"/>
      <c r="Z102" s="91"/>
      <c r="AA102" s="91"/>
      <c r="AB102" s="91"/>
      <c r="AC102" s="91"/>
    </row>
    <row r="103" spans="1:29" x14ac:dyDescent="0.3">
      <c r="A103" s="91"/>
      <c r="B103" s="91"/>
      <c r="C103" s="91"/>
      <c r="D103" s="91"/>
      <c r="E103" s="91"/>
      <c r="F103" s="91"/>
      <c r="G103" s="91"/>
      <c r="H103" s="91"/>
      <c r="I103" s="91"/>
      <c r="J103" s="91"/>
      <c r="K103" s="91"/>
      <c r="L103" s="91"/>
      <c r="M103" s="91"/>
      <c r="N103" s="91"/>
      <c r="O103" s="91"/>
      <c r="P103" s="91"/>
      <c r="Q103" s="91"/>
      <c r="R103" s="91"/>
      <c r="S103" s="91"/>
      <c r="T103" s="91"/>
      <c r="U103" s="91"/>
      <c r="V103" s="91"/>
      <c r="W103" s="91"/>
      <c r="X103" s="91"/>
      <c r="Y103" s="91"/>
      <c r="Z103" s="91"/>
      <c r="AA103" s="91"/>
      <c r="AB103" s="91"/>
      <c r="AC103" s="91"/>
    </row>
    <row r="104" spans="1:29" x14ac:dyDescent="0.3">
      <c r="A104" s="91"/>
      <c r="B104" s="91"/>
      <c r="C104" s="91"/>
      <c r="D104" s="91"/>
      <c r="E104" s="91"/>
      <c r="F104" s="91"/>
      <c r="G104" s="91"/>
      <c r="H104" s="91"/>
      <c r="I104" s="91"/>
      <c r="J104" s="91"/>
      <c r="K104" s="91"/>
      <c r="L104" s="91"/>
      <c r="M104" s="91"/>
      <c r="N104" s="91"/>
      <c r="O104" s="91"/>
      <c r="P104" s="91"/>
      <c r="Q104" s="91"/>
      <c r="R104" s="91"/>
      <c r="S104" s="91"/>
      <c r="T104" s="91"/>
      <c r="U104" s="91"/>
      <c r="V104" s="91"/>
      <c r="W104" s="91"/>
      <c r="X104" s="91"/>
      <c r="Y104" s="91"/>
      <c r="Z104" s="91"/>
      <c r="AA104" s="91"/>
      <c r="AB104" s="91"/>
      <c r="AC104" s="91"/>
    </row>
    <row r="105" spans="1:29" x14ac:dyDescent="0.3">
      <c r="A105" s="91"/>
      <c r="B105" s="91"/>
      <c r="C105" s="91"/>
      <c r="D105" s="91"/>
      <c r="E105" s="91"/>
      <c r="F105" s="91"/>
      <c r="G105" s="91"/>
      <c r="H105" s="91"/>
      <c r="I105" s="91"/>
      <c r="J105" s="91"/>
      <c r="K105" s="91"/>
      <c r="L105" s="91"/>
      <c r="M105" s="91"/>
      <c r="N105" s="91"/>
      <c r="O105" s="91"/>
      <c r="P105" s="91"/>
      <c r="Q105" s="91"/>
      <c r="R105" s="91"/>
      <c r="S105" s="91"/>
      <c r="T105" s="91"/>
      <c r="U105" s="91"/>
      <c r="V105" s="91"/>
      <c r="W105" s="91"/>
      <c r="X105" s="91"/>
      <c r="Y105" s="91"/>
      <c r="Z105" s="91"/>
      <c r="AA105" s="91"/>
      <c r="AB105" s="91"/>
      <c r="AC105" s="91"/>
    </row>
    <row r="106" spans="1:29" x14ac:dyDescent="0.3">
      <c r="A106" s="91"/>
      <c r="B106" s="91"/>
      <c r="C106" s="91"/>
      <c r="D106" s="91"/>
      <c r="E106" s="91"/>
      <c r="F106" s="91"/>
      <c r="G106" s="91"/>
      <c r="H106" s="91"/>
      <c r="I106" s="91"/>
      <c r="J106" s="91"/>
      <c r="K106" s="91"/>
      <c r="L106" s="91"/>
      <c r="M106" s="91"/>
      <c r="N106" s="91"/>
      <c r="O106" s="91"/>
      <c r="P106" s="91"/>
      <c r="Q106" s="91"/>
      <c r="R106" s="91"/>
      <c r="S106" s="91"/>
      <c r="T106" s="91"/>
      <c r="U106" s="91"/>
      <c r="V106" s="91"/>
      <c r="W106" s="91"/>
      <c r="X106" s="91"/>
      <c r="Y106" s="91"/>
      <c r="Z106" s="91"/>
      <c r="AA106" s="91"/>
      <c r="AB106" s="91"/>
      <c r="AC106" s="91"/>
    </row>
    <row r="107" spans="1:29" x14ac:dyDescent="0.3">
      <c r="A107" s="91"/>
      <c r="B107" s="91"/>
      <c r="C107" s="91"/>
      <c r="D107" s="91"/>
      <c r="E107" s="91"/>
      <c r="F107" s="91"/>
      <c r="G107" s="91"/>
      <c r="H107" s="91"/>
      <c r="I107" s="91"/>
      <c r="J107" s="91"/>
      <c r="K107" s="91"/>
      <c r="L107" s="91"/>
      <c r="M107" s="91"/>
      <c r="N107" s="91"/>
      <c r="O107" s="91"/>
      <c r="P107" s="91"/>
      <c r="Q107" s="91"/>
      <c r="R107" s="91"/>
      <c r="S107" s="91"/>
      <c r="T107" s="91"/>
      <c r="U107" s="91"/>
      <c r="V107" s="91"/>
      <c r="W107" s="91"/>
      <c r="X107" s="91"/>
      <c r="Y107" s="91"/>
      <c r="Z107" s="91"/>
      <c r="AA107" s="91"/>
      <c r="AB107" s="91"/>
      <c r="AC107" s="91"/>
    </row>
    <row r="108" spans="1:29" x14ac:dyDescent="0.3">
      <c r="A108" s="91"/>
      <c r="B108" s="91"/>
      <c r="C108" s="91"/>
      <c r="D108" s="91"/>
      <c r="E108" s="91"/>
      <c r="F108" s="91"/>
      <c r="G108" s="91"/>
      <c r="H108" s="91"/>
      <c r="I108" s="91"/>
      <c r="J108" s="91"/>
      <c r="K108" s="91"/>
      <c r="L108" s="91"/>
      <c r="M108" s="91"/>
      <c r="N108" s="91"/>
      <c r="O108" s="91"/>
      <c r="P108" s="91"/>
      <c r="Q108" s="91"/>
      <c r="R108" s="91"/>
      <c r="S108" s="91"/>
      <c r="T108" s="91"/>
      <c r="U108" s="91"/>
      <c r="V108" s="91"/>
      <c r="W108" s="91"/>
      <c r="X108" s="91"/>
      <c r="Y108" s="91"/>
      <c r="Z108" s="91"/>
      <c r="AA108" s="91"/>
      <c r="AB108" s="91"/>
      <c r="AC108" s="91"/>
    </row>
    <row r="109" spans="1:29" x14ac:dyDescent="0.3">
      <c r="A109" s="91"/>
      <c r="B109" s="91"/>
      <c r="C109" s="91"/>
      <c r="D109" s="91"/>
      <c r="E109" s="91"/>
      <c r="F109" s="91"/>
      <c r="G109" s="91"/>
      <c r="H109" s="91"/>
      <c r="I109" s="91"/>
      <c r="J109" s="91"/>
      <c r="K109" s="91"/>
      <c r="L109" s="91"/>
      <c r="M109" s="91"/>
      <c r="N109" s="91"/>
      <c r="O109" s="91"/>
      <c r="P109" s="91"/>
      <c r="Q109" s="91"/>
      <c r="R109" s="91"/>
      <c r="S109" s="91"/>
      <c r="T109" s="91"/>
      <c r="U109" s="91"/>
      <c r="V109" s="91"/>
      <c r="W109" s="91"/>
      <c r="X109" s="91"/>
      <c r="Y109" s="91"/>
      <c r="Z109" s="91"/>
      <c r="AA109" s="91"/>
      <c r="AB109" s="91"/>
      <c r="AC109" s="91"/>
    </row>
    <row r="110" spans="1:29" x14ac:dyDescent="0.3">
      <c r="A110" s="91"/>
      <c r="B110" s="91"/>
      <c r="C110" s="91"/>
      <c r="D110" s="91"/>
      <c r="E110" s="91"/>
      <c r="F110" s="91"/>
      <c r="G110" s="91"/>
      <c r="H110" s="91"/>
      <c r="I110" s="91"/>
      <c r="J110" s="91"/>
      <c r="K110" s="91"/>
      <c r="L110" s="91"/>
      <c r="M110" s="91"/>
      <c r="N110" s="91"/>
      <c r="O110" s="91"/>
      <c r="P110" s="91"/>
      <c r="Q110" s="91"/>
      <c r="R110" s="91"/>
      <c r="S110" s="91"/>
      <c r="T110" s="91"/>
      <c r="U110" s="91"/>
      <c r="V110" s="91"/>
      <c r="W110" s="91"/>
      <c r="X110" s="91"/>
      <c r="Y110" s="91"/>
      <c r="Z110" s="91"/>
      <c r="AA110" s="91"/>
      <c r="AB110" s="91"/>
      <c r="AC110" s="91"/>
    </row>
    <row r="111" spans="1:29" x14ac:dyDescent="0.3">
      <c r="A111" s="91"/>
      <c r="B111" s="91"/>
      <c r="C111" s="91"/>
      <c r="D111" s="91"/>
      <c r="E111" s="91"/>
      <c r="F111" s="91"/>
      <c r="G111" s="91"/>
      <c r="H111" s="91"/>
      <c r="I111" s="91"/>
      <c r="J111" s="91"/>
      <c r="K111" s="91"/>
      <c r="L111" s="91"/>
      <c r="M111" s="91"/>
      <c r="N111" s="91"/>
      <c r="O111" s="91"/>
      <c r="P111" s="91"/>
      <c r="Q111" s="91"/>
      <c r="R111" s="91"/>
      <c r="S111" s="91"/>
      <c r="T111" s="91"/>
      <c r="U111" s="91"/>
      <c r="V111" s="91"/>
      <c r="W111" s="91"/>
      <c r="X111" s="91"/>
      <c r="Y111" s="91"/>
      <c r="Z111" s="91"/>
      <c r="AA111" s="91"/>
      <c r="AB111" s="91"/>
      <c r="AC111" s="91"/>
    </row>
    <row r="112" spans="1:29" x14ac:dyDescent="0.3">
      <c r="A112" s="91"/>
      <c r="B112" s="91"/>
      <c r="C112" s="91"/>
      <c r="D112" s="91"/>
      <c r="E112" s="91"/>
      <c r="F112" s="91"/>
      <c r="G112" s="91"/>
      <c r="H112" s="91"/>
      <c r="I112" s="91"/>
      <c r="J112" s="91"/>
      <c r="K112" s="91"/>
      <c r="L112" s="91"/>
      <c r="M112" s="91"/>
      <c r="N112" s="91"/>
      <c r="O112" s="91"/>
      <c r="P112" s="91"/>
      <c r="Q112" s="91"/>
      <c r="R112" s="91"/>
      <c r="S112" s="91"/>
      <c r="T112" s="91"/>
      <c r="U112" s="91"/>
      <c r="V112" s="91"/>
      <c r="W112" s="91"/>
      <c r="X112" s="91"/>
      <c r="Y112" s="91"/>
      <c r="Z112" s="91"/>
      <c r="AA112" s="91"/>
      <c r="AB112" s="91"/>
      <c r="AC112" s="91"/>
    </row>
    <row r="113" spans="1:29" x14ac:dyDescent="0.3">
      <c r="A113" s="91"/>
      <c r="B113" s="91"/>
      <c r="C113" s="91"/>
      <c r="D113" s="91"/>
      <c r="E113" s="91"/>
      <c r="F113" s="91"/>
      <c r="G113" s="91"/>
      <c r="H113" s="91"/>
      <c r="I113" s="91"/>
      <c r="J113" s="91"/>
      <c r="K113" s="91"/>
      <c r="L113" s="91"/>
      <c r="M113" s="91"/>
      <c r="N113" s="91"/>
      <c r="O113" s="91"/>
      <c r="P113" s="91"/>
      <c r="Q113" s="91"/>
      <c r="R113" s="91"/>
      <c r="S113" s="91"/>
      <c r="T113" s="91"/>
      <c r="U113" s="91"/>
      <c r="V113" s="91"/>
      <c r="W113" s="91"/>
      <c r="X113" s="91"/>
      <c r="Y113" s="91"/>
      <c r="Z113" s="91"/>
      <c r="AA113" s="91"/>
      <c r="AB113" s="91"/>
      <c r="AC113" s="91"/>
    </row>
    <row r="114" spans="1:29" x14ac:dyDescent="0.3">
      <c r="A114" s="91"/>
      <c r="B114" s="91"/>
      <c r="C114" s="91"/>
      <c r="D114" s="91"/>
      <c r="E114" s="91"/>
      <c r="F114" s="91"/>
      <c r="G114" s="91"/>
      <c r="H114" s="91"/>
      <c r="I114" s="91"/>
      <c r="J114" s="91"/>
      <c r="K114" s="91"/>
      <c r="L114" s="91"/>
      <c r="M114" s="91"/>
      <c r="N114" s="91"/>
      <c r="O114" s="91"/>
      <c r="P114" s="91"/>
      <c r="Q114" s="91"/>
      <c r="R114" s="91"/>
      <c r="S114" s="91"/>
      <c r="T114" s="91"/>
      <c r="U114" s="91"/>
      <c r="V114" s="91"/>
      <c r="W114" s="91"/>
      <c r="X114" s="91"/>
      <c r="Y114" s="91"/>
      <c r="Z114" s="91"/>
      <c r="AA114" s="91"/>
      <c r="AB114" s="91"/>
      <c r="AC114" s="91"/>
    </row>
    <row r="115" spans="1:29" x14ac:dyDescent="0.3">
      <c r="A115" s="91"/>
      <c r="B115" s="91"/>
      <c r="C115" s="91"/>
      <c r="D115" s="91"/>
      <c r="E115" s="91"/>
      <c r="F115" s="91"/>
      <c r="G115" s="91"/>
      <c r="H115" s="91"/>
      <c r="I115" s="91"/>
      <c r="J115" s="91"/>
      <c r="K115" s="91"/>
      <c r="L115" s="91"/>
      <c r="M115" s="91"/>
      <c r="N115" s="91"/>
      <c r="O115" s="91"/>
      <c r="P115" s="91"/>
      <c r="Q115" s="91"/>
      <c r="R115" s="91"/>
      <c r="S115" s="91"/>
      <c r="T115" s="91"/>
      <c r="U115" s="91"/>
      <c r="V115" s="91"/>
      <c r="W115" s="91"/>
      <c r="X115" s="91"/>
      <c r="Y115" s="91"/>
      <c r="Z115" s="91"/>
      <c r="AA115" s="91"/>
      <c r="AB115" s="91"/>
      <c r="AC115" s="91"/>
    </row>
    <row r="116" spans="1:29" x14ac:dyDescent="0.3">
      <c r="A116" s="91"/>
      <c r="B116" s="91"/>
      <c r="C116" s="91"/>
      <c r="D116" s="91"/>
      <c r="E116" s="91"/>
      <c r="F116" s="91"/>
      <c r="G116" s="91"/>
      <c r="H116" s="91"/>
      <c r="I116" s="91"/>
      <c r="J116" s="91"/>
      <c r="K116" s="91"/>
      <c r="L116" s="91"/>
      <c r="M116" s="91"/>
      <c r="N116" s="91"/>
      <c r="O116" s="91"/>
      <c r="P116" s="91"/>
      <c r="Q116" s="91"/>
      <c r="R116" s="91"/>
      <c r="S116" s="91"/>
      <c r="T116" s="91"/>
      <c r="U116" s="91"/>
      <c r="V116" s="91"/>
      <c r="W116" s="91"/>
      <c r="X116" s="91"/>
      <c r="Y116" s="91"/>
      <c r="Z116" s="91"/>
      <c r="AA116" s="91"/>
      <c r="AB116" s="91"/>
      <c r="AC116" s="91"/>
    </row>
    <row r="117" spans="1:29" x14ac:dyDescent="0.3">
      <c r="A117" s="91"/>
      <c r="B117" s="91"/>
      <c r="C117" s="91"/>
      <c r="D117" s="91"/>
      <c r="E117" s="91"/>
      <c r="F117" s="91"/>
      <c r="G117" s="91"/>
      <c r="H117" s="91"/>
      <c r="I117" s="91"/>
      <c r="J117" s="91"/>
      <c r="K117" s="91"/>
      <c r="L117" s="91"/>
      <c r="M117" s="91"/>
      <c r="N117" s="91"/>
      <c r="O117" s="91"/>
      <c r="P117" s="91"/>
      <c r="Q117" s="91"/>
      <c r="R117" s="91"/>
      <c r="S117" s="91"/>
      <c r="T117" s="91"/>
      <c r="U117" s="91"/>
      <c r="V117" s="91"/>
      <c r="W117" s="91"/>
      <c r="X117" s="91"/>
      <c r="Y117" s="91"/>
      <c r="Z117" s="91"/>
      <c r="AA117" s="91"/>
      <c r="AB117" s="91"/>
      <c r="AC117" s="91"/>
    </row>
    <row r="118" spans="1:29" x14ac:dyDescent="0.3">
      <c r="A118" s="91"/>
      <c r="B118" s="91"/>
      <c r="C118" s="91"/>
      <c r="D118" s="91"/>
      <c r="E118" s="91"/>
      <c r="F118" s="91"/>
      <c r="G118" s="91"/>
      <c r="H118" s="91"/>
      <c r="I118" s="91"/>
      <c r="J118" s="91"/>
      <c r="K118" s="91"/>
      <c r="L118" s="91"/>
      <c r="M118" s="91"/>
      <c r="N118" s="91"/>
      <c r="O118" s="91"/>
      <c r="P118" s="91"/>
      <c r="Q118" s="91"/>
      <c r="R118" s="91"/>
      <c r="S118" s="91"/>
      <c r="T118" s="91"/>
      <c r="U118" s="91"/>
      <c r="V118" s="91"/>
      <c r="W118" s="91"/>
      <c r="X118" s="91"/>
      <c r="Y118" s="91"/>
      <c r="Z118" s="91"/>
      <c r="AA118" s="91"/>
      <c r="AB118" s="91"/>
      <c r="AC118" s="91"/>
    </row>
    <row r="119" spans="1:29" x14ac:dyDescent="0.3">
      <c r="A119" s="91"/>
      <c r="B119" s="91"/>
      <c r="C119" s="91"/>
      <c r="D119" s="91"/>
      <c r="E119" s="91"/>
      <c r="F119" s="91"/>
      <c r="G119" s="91"/>
      <c r="H119" s="91"/>
      <c r="I119" s="91"/>
      <c r="J119" s="91"/>
      <c r="K119" s="91"/>
      <c r="L119" s="91"/>
      <c r="M119" s="91"/>
      <c r="N119" s="91"/>
      <c r="O119" s="91"/>
      <c r="P119" s="91"/>
      <c r="Q119" s="91"/>
      <c r="R119" s="91"/>
      <c r="S119" s="91"/>
      <c r="T119" s="91"/>
      <c r="U119" s="91"/>
      <c r="V119" s="91"/>
      <c r="W119" s="91"/>
      <c r="X119" s="91"/>
      <c r="Y119" s="91"/>
      <c r="Z119" s="91"/>
      <c r="AA119" s="91"/>
      <c r="AB119" s="91"/>
      <c r="AC119" s="91"/>
    </row>
    <row r="120" spans="1:29" x14ac:dyDescent="0.3">
      <c r="A120" s="91"/>
      <c r="B120" s="91"/>
      <c r="C120" s="91"/>
      <c r="D120" s="91"/>
      <c r="E120" s="91"/>
      <c r="F120" s="91"/>
      <c r="G120" s="91"/>
      <c r="H120" s="91"/>
      <c r="I120" s="91"/>
      <c r="J120" s="91"/>
      <c r="K120" s="91"/>
      <c r="L120" s="91"/>
      <c r="M120" s="91"/>
      <c r="N120" s="91"/>
      <c r="O120" s="91"/>
      <c r="P120" s="91"/>
      <c r="Q120" s="91"/>
      <c r="R120" s="91"/>
      <c r="S120" s="91"/>
      <c r="T120" s="91"/>
      <c r="U120" s="91"/>
      <c r="V120" s="91"/>
      <c r="W120" s="91"/>
      <c r="X120" s="91"/>
      <c r="Y120" s="91"/>
      <c r="Z120" s="91"/>
      <c r="AA120" s="91"/>
      <c r="AB120" s="91"/>
      <c r="AC120" s="91"/>
    </row>
    <row r="121" spans="1:29" x14ac:dyDescent="0.3">
      <c r="A121" s="91"/>
      <c r="B121" s="91"/>
      <c r="C121" s="91"/>
      <c r="D121" s="91"/>
      <c r="E121" s="91"/>
      <c r="F121" s="91"/>
      <c r="G121" s="91"/>
      <c r="H121" s="91"/>
      <c r="I121" s="91"/>
      <c r="J121" s="91"/>
      <c r="K121" s="91"/>
      <c r="L121" s="91"/>
      <c r="M121" s="91"/>
      <c r="N121" s="91"/>
      <c r="O121" s="91"/>
      <c r="P121" s="91"/>
      <c r="Q121" s="91"/>
      <c r="R121" s="91"/>
      <c r="S121" s="91"/>
      <c r="T121" s="91"/>
      <c r="U121" s="91"/>
      <c r="V121" s="91"/>
      <c r="W121" s="91"/>
      <c r="X121" s="91"/>
      <c r="Y121" s="91"/>
      <c r="Z121" s="91"/>
      <c r="AA121" s="91"/>
      <c r="AB121" s="91"/>
      <c r="AC121" s="91"/>
    </row>
    <row r="122" spans="1:29" x14ac:dyDescent="0.3">
      <c r="A122" s="91"/>
      <c r="B122" s="91"/>
      <c r="C122" s="91"/>
      <c r="D122" s="91"/>
      <c r="E122" s="91"/>
      <c r="F122" s="91"/>
      <c r="G122" s="91"/>
      <c r="H122" s="91"/>
      <c r="I122" s="91"/>
      <c r="J122" s="91"/>
      <c r="K122" s="91"/>
      <c r="L122" s="91"/>
      <c r="M122" s="91"/>
      <c r="N122" s="91"/>
      <c r="O122" s="91"/>
      <c r="P122" s="91"/>
      <c r="Q122" s="91"/>
      <c r="R122" s="91"/>
      <c r="S122" s="91"/>
      <c r="T122" s="91"/>
      <c r="U122" s="91"/>
      <c r="V122" s="91"/>
      <c r="W122" s="91"/>
      <c r="X122" s="91"/>
      <c r="Y122" s="91"/>
      <c r="Z122" s="91"/>
      <c r="AA122" s="91"/>
      <c r="AB122" s="91"/>
      <c r="AC122" s="91"/>
    </row>
    <row r="123" spans="1:29" x14ac:dyDescent="0.3">
      <c r="A123" s="91"/>
      <c r="B123" s="91"/>
      <c r="C123" s="91"/>
      <c r="D123" s="91"/>
      <c r="E123" s="91"/>
      <c r="F123" s="91"/>
      <c r="G123" s="91"/>
      <c r="H123" s="91"/>
      <c r="I123" s="91"/>
      <c r="J123" s="91"/>
      <c r="K123" s="91"/>
      <c r="L123" s="91"/>
      <c r="M123" s="91"/>
      <c r="N123" s="91"/>
      <c r="O123" s="91"/>
      <c r="P123" s="91"/>
      <c r="Q123" s="91"/>
      <c r="R123" s="91"/>
      <c r="S123" s="91"/>
      <c r="T123" s="91"/>
      <c r="U123" s="91"/>
      <c r="V123" s="91"/>
      <c r="W123" s="91"/>
      <c r="X123" s="91"/>
      <c r="Y123" s="91"/>
      <c r="Z123" s="91"/>
      <c r="AA123" s="91"/>
      <c r="AB123" s="91"/>
      <c r="AC123" s="91"/>
    </row>
    <row r="124" spans="1:29" x14ac:dyDescent="0.3">
      <c r="A124" s="91"/>
      <c r="B124" s="91"/>
      <c r="C124" s="91"/>
      <c r="D124" s="91"/>
      <c r="E124" s="91"/>
      <c r="F124" s="91"/>
      <c r="G124" s="91"/>
      <c r="H124" s="91"/>
      <c r="I124" s="91"/>
      <c r="J124" s="91"/>
      <c r="K124" s="91"/>
      <c r="L124" s="91"/>
      <c r="M124" s="91"/>
      <c r="N124" s="91"/>
      <c r="O124" s="91"/>
      <c r="P124" s="91"/>
      <c r="Q124" s="91"/>
      <c r="R124" s="91"/>
      <c r="S124" s="91"/>
      <c r="T124" s="91"/>
      <c r="U124" s="91"/>
      <c r="V124" s="91"/>
      <c r="W124" s="91"/>
      <c r="X124" s="91"/>
      <c r="Y124" s="91"/>
      <c r="Z124" s="91"/>
      <c r="AA124" s="91"/>
      <c r="AB124" s="91"/>
      <c r="AC124" s="91"/>
    </row>
    <row r="125" spans="1:29" x14ac:dyDescent="0.3">
      <c r="A125" s="91"/>
      <c r="B125" s="91"/>
      <c r="C125" s="91"/>
      <c r="D125" s="91"/>
      <c r="E125" s="91"/>
      <c r="F125" s="91"/>
      <c r="G125" s="91"/>
      <c r="H125" s="91"/>
      <c r="I125" s="91"/>
      <c r="J125" s="91"/>
      <c r="K125" s="91"/>
      <c r="L125" s="91"/>
      <c r="M125" s="91"/>
      <c r="N125" s="91"/>
      <c r="O125" s="91"/>
      <c r="P125" s="91"/>
      <c r="Q125" s="91"/>
      <c r="R125" s="91"/>
      <c r="S125" s="91"/>
      <c r="T125" s="91"/>
      <c r="U125" s="91"/>
      <c r="V125" s="91"/>
      <c r="W125" s="91"/>
      <c r="X125" s="91"/>
      <c r="Y125" s="91"/>
      <c r="Z125" s="91"/>
      <c r="AA125" s="91"/>
      <c r="AB125" s="91"/>
      <c r="AC125" s="91"/>
    </row>
    <row r="126" spans="1:29" x14ac:dyDescent="0.3">
      <c r="A126" s="91"/>
      <c r="B126" s="91"/>
      <c r="C126" s="91"/>
      <c r="D126" s="91"/>
      <c r="E126" s="91"/>
      <c r="F126" s="91"/>
      <c r="G126" s="91"/>
      <c r="H126" s="91"/>
      <c r="I126" s="91"/>
      <c r="J126" s="91"/>
      <c r="K126" s="91"/>
      <c r="L126" s="91"/>
      <c r="M126" s="91"/>
      <c r="N126" s="91"/>
      <c r="O126" s="91"/>
      <c r="P126" s="91"/>
      <c r="Q126" s="91"/>
      <c r="R126" s="91"/>
      <c r="S126" s="91"/>
      <c r="T126" s="91"/>
      <c r="U126" s="91"/>
      <c r="V126" s="91"/>
      <c r="W126" s="91"/>
      <c r="X126" s="91"/>
      <c r="Y126" s="91"/>
      <c r="Z126" s="91"/>
      <c r="AA126" s="91"/>
      <c r="AB126" s="91"/>
      <c r="AC126" s="91"/>
    </row>
    <row r="127" spans="1:29" x14ac:dyDescent="0.3">
      <c r="A127" s="91"/>
      <c r="B127" s="91"/>
      <c r="C127" s="91"/>
      <c r="D127" s="91"/>
      <c r="E127" s="91"/>
      <c r="F127" s="91"/>
      <c r="G127" s="91"/>
      <c r="H127" s="91"/>
      <c r="I127" s="91"/>
      <c r="J127" s="91"/>
      <c r="K127" s="91"/>
      <c r="L127" s="91"/>
      <c r="M127" s="91"/>
      <c r="N127" s="91"/>
      <c r="O127" s="91"/>
      <c r="P127" s="91"/>
      <c r="Q127" s="91"/>
      <c r="R127" s="91"/>
      <c r="S127" s="91"/>
      <c r="T127" s="91"/>
      <c r="U127" s="91"/>
      <c r="V127" s="91"/>
      <c r="W127" s="91"/>
      <c r="X127" s="91"/>
      <c r="Y127" s="91"/>
      <c r="Z127" s="91"/>
      <c r="AA127" s="91"/>
      <c r="AB127" s="91"/>
      <c r="AC127" s="91"/>
    </row>
    <row r="128" spans="1:29" x14ac:dyDescent="0.3">
      <c r="A128" s="91"/>
      <c r="B128" s="91"/>
      <c r="C128" s="91"/>
      <c r="D128" s="91"/>
      <c r="E128" s="91"/>
      <c r="F128" s="91"/>
      <c r="G128" s="91"/>
      <c r="H128" s="91"/>
      <c r="I128" s="91"/>
      <c r="J128" s="91"/>
      <c r="K128" s="91"/>
      <c r="L128" s="91"/>
      <c r="M128" s="91"/>
      <c r="N128" s="91"/>
      <c r="O128" s="91"/>
      <c r="P128" s="91"/>
      <c r="Q128" s="91"/>
      <c r="R128" s="91"/>
      <c r="S128" s="91"/>
      <c r="T128" s="91"/>
      <c r="U128" s="91"/>
      <c r="V128" s="91"/>
      <c r="W128" s="91"/>
      <c r="X128" s="91"/>
      <c r="Y128" s="91"/>
      <c r="Z128" s="91"/>
      <c r="AA128" s="91"/>
      <c r="AB128" s="91"/>
      <c r="AC128" s="91"/>
    </row>
    <row r="129" spans="1:29" x14ac:dyDescent="0.3">
      <c r="A129" s="91"/>
      <c r="B129" s="91"/>
      <c r="C129" s="91"/>
      <c r="D129" s="91"/>
      <c r="E129" s="91"/>
      <c r="F129" s="91"/>
      <c r="G129" s="91"/>
      <c r="H129" s="91"/>
      <c r="I129" s="91"/>
      <c r="J129" s="91"/>
      <c r="K129" s="91"/>
      <c r="L129" s="91"/>
      <c r="M129" s="91"/>
      <c r="N129" s="91"/>
      <c r="O129" s="91"/>
      <c r="P129" s="91"/>
      <c r="Q129" s="91"/>
      <c r="R129" s="91"/>
      <c r="S129" s="91"/>
      <c r="T129" s="91"/>
      <c r="U129" s="91"/>
      <c r="V129" s="91"/>
      <c r="W129" s="91"/>
      <c r="X129" s="91"/>
      <c r="Y129" s="91"/>
      <c r="Z129" s="91"/>
      <c r="AA129" s="91"/>
      <c r="AB129" s="91"/>
      <c r="AC129" s="91"/>
    </row>
    <row r="130" spans="1:29" x14ac:dyDescent="0.3">
      <c r="A130" s="91"/>
      <c r="B130" s="91"/>
      <c r="C130" s="91"/>
      <c r="D130" s="91"/>
      <c r="E130" s="91"/>
      <c r="F130" s="91"/>
      <c r="G130" s="91"/>
      <c r="H130" s="91"/>
      <c r="I130" s="91"/>
      <c r="J130" s="91"/>
      <c r="K130" s="91"/>
      <c r="L130" s="91"/>
      <c r="M130" s="91"/>
      <c r="N130" s="91"/>
      <c r="O130" s="91"/>
      <c r="P130" s="91"/>
      <c r="Q130" s="91"/>
      <c r="R130" s="91"/>
      <c r="S130" s="91"/>
      <c r="T130" s="91"/>
      <c r="U130" s="91"/>
      <c r="V130" s="91"/>
      <c r="W130" s="91"/>
      <c r="X130" s="91"/>
      <c r="Y130" s="91"/>
      <c r="Z130" s="91"/>
      <c r="AA130" s="91"/>
      <c r="AB130" s="91"/>
      <c r="AC130" s="91"/>
    </row>
    <row r="131" spans="1:29" x14ac:dyDescent="0.3">
      <c r="A131" s="91"/>
      <c r="B131" s="91"/>
      <c r="C131" s="91"/>
      <c r="D131" s="91"/>
      <c r="E131" s="91"/>
      <c r="F131" s="91"/>
      <c r="G131" s="91"/>
      <c r="H131" s="91"/>
      <c r="I131" s="91"/>
      <c r="J131" s="91"/>
      <c r="K131" s="91"/>
      <c r="L131" s="91"/>
      <c r="M131" s="91"/>
      <c r="N131" s="91"/>
      <c r="O131" s="91"/>
      <c r="P131" s="91"/>
      <c r="Q131" s="91"/>
      <c r="R131" s="91"/>
      <c r="S131" s="91"/>
      <c r="T131" s="91"/>
      <c r="U131" s="91"/>
      <c r="V131" s="91"/>
      <c r="W131" s="91"/>
      <c r="X131" s="91"/>
      <c r="Y131" s="91"/>
      <c r="Z131" s="91"/>
      <c r="AA131" s="91"/>
      <c r="AB131" s="91"/>
      <c r="AC131" s="91"/>
    </row>
    <row r="132" spans="1:29" x14ac:dyDescent="0.3">
      <c r="A132" s="91"/>
      <c r="B132" s="91"/>
      <c r="C132" s="91"/>
      <c r="D132" s="91"/>
      <c r="E132" s="91"/>
      <c r="F132" s="91"/>
      <c r="G132" s="91"/>
      <c r="H132" s="91"/>
      <c r="I132" s="91"/>
      <c r="J132" s="91"/>
      <c r="K132" s="91"/>
      <c r="L132" s="91"/>
      <c r="M132" s="91"/>
      <c r="N132" s="91"/>
      <c r="O132" s="91"/>
      <c r="P132" s="91"/>
      <c r="Q132" s="91"/>
      <c r="R132" s="91"/>
      <c r="S132" s="91"/>
      <c r="T132" s="91"/>
      <c r="U132" s="91"/>
      <c r="V132" s="91"/>
      <c r="W132" s="91"/>
      <c r="X132" s="91"/>
      <c r="Y132" s="91"/>
      <c r="Z132" s="91"/>
      <c r="AA132" s="91"/>
      <c r="AB132" s="91"/>
      <c r="AC132" s="91"/>
    </row>
    <row r="133" spans="1:29" x14ac:dyDescent="0.3">
      <c r="A133" s="91"/>
      <c r="B133" s="91"/>
      <c r="C133" s="91"/>
      <c r="D133" s="91"/>
      <c r="E133" s="91"/>
      <c r="F133" s="91"/>
      <c r="G133" s="91"/>
      <c r="H133" s="91"/>
      <c r="I133" s="91"/>
      <c r="J133" s="91"/>
      <c r="K133" s="91"/>
      <c r="L133" s="91"/>
      <c r="M133" s="91"/>
      <c r="N133" s="91"/>
      <c r="O133" s="91"/>
      <c r="P133" s="91"/>
      <c r="Q133" s="91"/>
      <c r="R133" s="91"/>
      <c r="S133" s="91"/>
      <c r="T133" s="91"/>
      <c r="U133" s="91"/>
      <c r="V133" s="91"/>
      <c r="W133" s="91"/>
      <c r="X133" s="91"/>
      <c r="Y133" s="91"/>
      <c r="Z133" s="91"/>
      <c r="AA133" s="91"/>
      <c r="AB133" s="91"/>
      <c r="AC133" s="91"/>
    </row>
    <row r="134" spans="1:29" x14ac:dyDescent="0.3">
      <c r="A134" s="91"/>
      <c r="B134" s="91"/>
      <c r="C134" s="91"/>
      <c r="D134" s="91"/>
      <c r="E134" s="91"/>
      <c r="F134" s="91"/>
      <c r="G134" s="91"/>
      <c r="H134" s="91"/>
      <c r="I134" s="91"/>
      <c r="J134" s="91"/>
      <c r="K134" s="91"/>
      <c r="L134" s="91"/>
      <c r="M134" s="91"/>
      <c r="N134" s="91"/>
      <c r="O134" s="91"/>
      <c r="P134" s="91"/>
      <c r="Q134" s="91"/>
      <c r="R134" s="91"/>
      <c r="S134" s="91"/>
      <c r="T134" s="91"/>
      <c r="U134" s="91"/>
      <c r="V134" s="91"/>
      <c r="W134" s="91"/>
      <c r="X134" s="91"/>
      <c r="Y134" s="91"/>
      <c r="Z134" s="91"/>
      <c r="AA134" s="91"/>
      <c r="AB134" s="91"/>
      <c r="AC134" s="91"/>
    </row>
    <row r="135" spans="1:29" x14ac:dyDescent="0.3">
      <c r="A135" s="91"/>
      <c r="B135" s="91"/>
      <c r="C135" s="91"/>
      <c r="D135" s="91"/>
      <c r="E135" s="91"/>
      <c r="F135" s="91"/>
      <c r="G135" s="91"/>
      <c r="H135" s="91"/>
      <c r="I135" s="91"/>
      <c r="J135" s="91"/>
      <c r="K135" s="91"/>
      <c r="L135" s="91"/>
      <c r="M135" s="91"/>
      <c r="N135" s="91"/>
      <c r="O135" s="91"/>
      <c r="P135" s="91"/>
      <c r="Q135" s="91"/>
      <c r="R135" s="91"/>
      <c r="S135" s="91"/>
      <c r="T135" s="91"/>
      <c r="U135" s="91"/>
      <c r="V135" s="91"/>
      <c r="W135" s="91"/>
      <c r="X135" s="91"/>
      <c r="Y135" s="91"/>
      <c r="Z135" s="91"/>
      <c r="AA135" s="91"/>
      <c r="AB135" s="91"/>
      <c r="AC135" s="91"/>
    </row>
    <row r="136" spans="1:29" x14ac:dyDescent="0.3">
      <c r="A136" s="91"/>
      <c r="B136" s="91"/>
      <c r="C136" s="91"/>
      <c r="D136" s="91"/>
      <c r="E136" s="91"/>
      <c r="F136" s="91"/>
      <c r="G136" s="91"/>
      <c r="H136" s="91"/>
      <c r="I136" s="91"/>
      <c r="J136" s="91"/>
      <c r="K136" s="91"/>
      <c r="L136" s="91"/>
      <c r="M136" s="91"/>
      <c r="N136" s="91"/>
      <c r="O136" s="91"/>
      <c r="P136" s="91"/>
      <c r="Q136" s="91"/>
      <c r="R136" s="91"/>
      <c r="S136" s="91"/>
      <c r="T136" s="91"/>
      <c r="U136" s="91"/>
      <c r="V136" s="91"/>
      <c r="W136" s="91"/>
      <c r="X136" s="91"/>
      <c r="Y136" s="91"/>
      <c r="Z136" s="91"/>
      <c r="AA136" s="91"/>
      <c r="AB136" s="91"/>
      <c r="AC136" s="91"/>
    </row>
    <row r="137" spans="1:29" x14ac:dyDescent="0.3">
      <c r="A137" s="91"/>
      <c r="B137" s="91"/>
      <c r="C137" s="91"/>
      <c r="D137" s="91"/>
      <c r="E137" s="91"/>
      <c r="F137" s="91"/>
      <c r="G137" s="91"/>
      <c r="H137" s="91"/>
      <c r="I137" s="91"/>
      <c r="J137" s="91"/>
      <c r="K137" s="91"/>
      <c r="L137" s="91"/>
      <c r="M137" s="91"/>
      <c r="N137" s="91"/>
      <c r="O137" s="91"/>
      <c r="P137" s="91"/>
      <c r="Q137" s="91"/>
      <c r="R137" s="91"/>
      <c r="S137" s="91"/>
      <c r="T137" s="91"/>
      <c r="U137" s="91"/>
      <c r="V137" s="91"/>
      <c r="W137" s="91"/>
      <c r="X137" s="91"/>
      <c r="Y137" s="91"/>
      <c r="Z137" s="91"/>
      <c r="AA137" s="91"/>
      <c r="AB137" s="91"/>
      <c r="AC137" s="91"/>
    </row>
    <row r="138" spans="1:29" x14ac:dyDescent="0.3">
      <c r="A138" s="91"/>
      <c r="B138" s="91"/>
      <c r="C138" s="91"/>
      <c r="D138" s="91"/>
      <c r="E138" s="91"/>
      <c r="F138" s="91"/>
      <c r="G138" s="91"/>
      <c r="H138" s="91"/>
      <c r="I138" s="91"/>
      <c r="J138" s="91"/>
      <c r="K138" s="91"/>
      <c r="L138" s="91"/>
      <c r="M138" s="91"/>
      <c r="N138" s="91"/>
      <c r="O138" s="91"/>
      <c r="P138" s="91"/>
      <c r="Q138" s="91"/>
      <c r="R138" s="91"/>
      <c r="S138" s="91"/>
      <c r="T138" s="91"/>
      <c r="U138" s="91"/>
      <c r="V138" s="91"/>
      <c r="W138" s="91"/>
      <c r="X138" s="91"/>
      <c r="Y138" s="91"/>
      <c r="Z138" s="91"/>
      <c r="AA138" s="91"/>
      <c r="AB138" s="91"/>
      <c r="AC138" s="91"/>
    </row>
    <row r="139" spans="1:29" x14ac:dyDescent="0.3">
      <c r="A139" s="91"/>
      <c r="B139" s="91"/>
      <c r="C139" s="91"/>
      <c r="D139" s="91"/>
      <c r="E139" s="91"/>
      <c r="F139" s="91"/>
      <c r="G139" s="91"/>
      <c r="H139" s="91"/>
      <c r="I139" s="91"/>
      <c r="J139" s="91"/>
      <c r="K139" s="91"/>
      <c r="L139" s="91"/>
      <c r="M139" s="91"/>
      <c r="N139" s="91"/>
      <c r="O139" s="91"/>
      <c r="P139" s="91"/>
      <c r="Q139" s="91"/>
      <c r="R139" s="91"/>
      <c r="S139" s="91"/>
      <c r="T139" s="91"/>
      <c r="U139" s="91"/>
      <c r="V139" s="91"/>
      <c r="W139" s="91"/>
      <c r="X139" s="91"/>
      <c r="Y139" s="91"/>
      <c r="Z139" s="91"/>
      <c r="AA139" s="91"/>
      <c r="AB139" s="91"/>
      <c r="AC139" s="91"/>
    </row>
    <row r="140" spans="1:29" x14ac:dyDescent="0.3">
      <c r="A140" s="91"/>
      <c r="B140" s="91"/>
      <c r="C140" s="91"/>
      <c r="D140" s="91"/>
      <c r="E140" s="91"/>
      <c r="F140" s="91"/>
      <c r="G140" s="91"/>
      <c r="H140" s="91"/>
      <c r="I140" s="91"/>
      <c r="J140" s="91"/>
      <c r="K140" s="91"/>
      <c r="L140" s="91"/>
      <c r="M140" s="91"/>
      <c r="N140" s="91"/>
      <c r="O140" s="91"/>
      <c r="P140" s="91"/>
      <c r="Q140" s="91"/>
      <c r="R140" s="91"/>
      <c r="S140" s="91"/>
      <c r="T140" s="91"/>
      <c r="U140" s="91"/>
      <c r="V140" s="91"/>
      <c r="W140" s="91"/>
      <c r="X140" s="91"/>
      <c r="Y140" s="91"/>
      <c r="Z140" s="91"/>
      <c r="AA140" s="91"/>
      <c r="AB140" s="91"/>
      <c r="AC140" s="91"/>
    </row>
    <row r="141" spans="1:29" x14ac:dyDescent="0.3">
      <c r="A141" s="91"/>
      <c r="B141" s="91"/>
      <c r="C141" s="91"/>
      <c r="D141" s="91"/>
      <c r="E141" s="91"/>
      <c r="F141" s="91"/>
      <c r="G141" s="91"/>
      <c r="H141" s="91"/>
      <c r="I141" s="91"/>
      <c r="J141" s="91"/>
      <c r="K141" s="91"/>
      <c r="L141" s="91"/>
      <c r="M141" s="91"/>
      <c r="N141" s="91"/>
      <c r="O141" s="91"/>
      <c r="P141" s="91"/>
      <c r="Q141" s="91"/>
      <c r="R141" s="91"/>
      <c r="S141" s="91"/>
      <c r="T141" s="91"/>
      <c r="U141" s="91"/>
      <c r="V141" s="91"/>
      <c r="W141" s="91"/>
      <c r="X141" s="91"/>
      <c r="Y141" s="91"/>
      <c r="Z141" s="91"/>
      <c r="AA141" s="91"/>
      <c r="AB141" s="91"/>
      <c r="AC141" s="91"/>
    </row>
    <row r="142" spans="1:29" x14ac:dyDescent="0.3">
      <c r="A142" s="91"/>
      <c r="B142" s="91"/>
      <c r="C142" s="91"/>
      <c r="D142" s="91"/>
      <c r="E142" s="91"/>
      <c r="F142" s="91"/>
      <c r="G142" s="91"/>
      <c r="H142" s="91"/>
      <c r="I142" s="91"/>
      <c r="J142" s="91"/>
      <c r="K142" s="91"/>
      <c r="L142" s="91"/>
      <c r="M142" s="91"/>
      <c r="N142" s="91"/>
      <c r="O142" s="91"/>
      <c r="P142" s="91"/>
      <c r="Q142" s="91"/>
      <c r="R142" s="91"/>
      <c r="S142" s="91"/>
      <c r="T142" s="91"/>
      <c r="U142" s="91"/>
      <c r="V142" s="91"/>
      <c r="W142" s="91"/>
      <c r="X142" s="91"/>
      <c r="Y142" s="91"/>
      <c r="Z142" s="91"/>
      <c r="AA142" s="91"/>
      <c r="AB142" s="91"/>
      <c r="AC142" s="91"/>
    </row>
    <row r="143" spans="1:29" x14ac:dyDescent="0.3">
      <c r="A143" s="91"/>
      <c r="B143" s="91"/>
      <c r="C143" s="91"/>
      <c r="D143" s="91"/>
      <c r="E143" s="91"/>
      <c r="F143" s="91"/>
      <c r="G143" s="91"/>
      <c r="H143" s="91"/>
      <c r="I143" s="91"/>
      <c r="J143" s="91"/>
      <c r="K143" s="91"/>
      <c r="L143" s="91"/>
      <c r="M143" s="91"/>
      <c r="N143" s="91"/>
      <c r="O143" s="91"/>
      <c r="P143" s="91"/>
      <c r="Q143" s="91"/>
      <c r="R143" s="91"/>
      <c r="S143" s="91"/>
      <c r="T143" s="91"/>
      <c r="U143" s="91"/>
      <c r="V143" s="91"/>
      <c r="W143" s="91"/>
      <c r="X143" s="91"/>
      <c r="Y143" s="91"/>
      <c r="Z143" s="91"/>
      <c r="AA143" s="91"/>
      <c r="AB143" s="91"/>
      <c r="AC143" s="91"/>
    </row>
    <row r="144" spans="1:29" x14ac:dyDescent="0.3">
      <c r="A144" s="91"/>
      <c r="B144" s="91"/>
      <c r="C144" s="91"/>
      <c r="D144" s="91"/>
      <c r="E144" s="91"/>
      <c r="F144" s="91"/>
      <c r="G144" s="91"/>
      <c r="H144" s="91"/>
      <c r="I144" s="91"/>
      <c r="J144" s="91"/>
      <c r="K144" s="91"/>
      <c r="L144" s="91"/>
      <c r="M144" s="91"/>
      <c r="N144" s="91"/>
      <c r="O144" s="91"/>
      <c r="P144" s="91"/>
      <c r="Q144" s="91"/>
      <c r="R144" s="91"/>
      <c r="S144" s="91"/>
      <c r="T144" s="91"/>
      <c r="U144" s="91"/>
      <c r="V144" s="91"/>
      <c r="W144" s="91"/>
      <c r="X144" s="91"/>
      <c r="Y144" s="91"/>
      <c r="Z144" s="91"/>
      <c r="AA144" s="91"/>
      <c r="AB144" s="91"/>
      <c r="AC144" s="91"/>
    </row>
    <row r="145" spans="1:29" x14ac:dyDescent="0.3">
      <c r="A145" s="91"/>
      <c r="B145" s="91"/>
      <c r="C145" s="91"/>
      <c r="D145" s="91"/>
      <c r="E145" s="91"/>
      <c r="F145" s="91"/>
      <c r="G145" s="91"/>
      <c r="H145" s="91"/>
      <c r="I145" s="91"/>
      <c r="J145" s="91"/>
      <c r="K145" s="91"/>
      <c r="L145" s="91"/>
      <c r="M145" s="91"/>
      <c r="N145" s="91"/>
      <c r="O145" s="91"/>
      <c r="P145" s="91"/>
      <c r="Q145" s="91"/>
      <c r="R145" s="91"/>
      <c r="S145" s="91"/>
      <c r="T145" s="91"/>
      <c r="U145" s="91"/>
      <c r="V145" s="91"/>
      <c r="W145" s="91"/>
      <c r="X145" s="91"/>
      <c r="Y145" s="91"/>
      <c r="Z145" s="91"/>
      <c r="AA145" s="91"/>
      <c r="AB145" s="91"/>
      <c r="AC145" s="91"/>
    </row>
    <row r="146" spans="1:29" x14ac:dyDescent="0.3">
      <c r="A146" s="91"/>
      <c r="B146" s="91"/>
      <c r="C146" s="91"/>
      <c r="D146" s="91"/>
      <c r="E146" s="91"/>
      <c r="F146" s="91"/>
      <c r="G146" s="91"/>
      <c r="H146" s="91"/>
      <c r="I146" s="91"/>
      <c r="J146" s="91"/>
      <c r="K146" s="91"/>
      <c r="L146" s="91"/>
      <c r="M146" s="91"/>
      <c r="N146" s="91"/>
      <c r="O146" s="91"/>
      <c r="P146" s="91"/>
      <c r="Q146" s="91"/>
      <c r="R146" s="91"/>
      <c r="S146" s="91"/>
      <c r="T146" s="91"/>
      <c r="U146" s="91"/>
      <c r="V146" s="91"/>
      <c r="W146" s="91"/>
      <c r="X146" s="91"/>
      <c r="Y146" s="91"/>
      <c r="Z146" s="91"/>
      <c r="AA146" s="91"/>
      <c r="AB146" s="91"/>
      <c r="AC146" s="91"/>
    </row>
    <row r="147" spans="1:29" x14ac:dyDescent="0.3">
      <c r="A147" s="91"/>
      <c r="B147" s="91"/>
      <c r="C147" s="91"/>
      <c r="D147" s="91"/>
      <c r="E147" s="91"/>
      <c r="F147" s="91"/>
      <c r="G147" s="91"/>
      <c r="H147" s="91"/>
      <c r="I147" s="91"/>
      <c r="J147" s="91"/>
      <c r="K147" s="91"/>
      <c r="L147" s="91"/>
      <c r="M147" s="91"/>
      <c r="N147" s="91"/>
      <c r="O147" s="91"/>
      <c r="P147" s="91"/>
      <c r="Q147" s="91"/>
      <c r="R147" s="91"/>
      <c r="S147" s="91"/>
      <c r="T147" s="91"/>
      <c r="U147" s="91"/>
      <c r="V147" s="91"/>
      <c r="W147" s="91"/>
      <c r="X147" s="91"/>
      <c r="Y147" s="91"/>
      <c r="Z147" s="91"/>
      <c r="AA147" s="91"/>
      <c r="AB147" s="91"/>
      <c r="AC147" s="91"/>
    </row>
    <row r="148" spans="1:29" x14ac:dyDescent="0.3">
      <c r="A148" s="91"/>
      <c r="B148" s="91"/>
      <c r="C148" s="91"/>
      <c r="D148" s="91"/>
      <c r="E148" s="91"/>
      <c r="F148" s="91"/>
      <c r="G148" s="91"/>
      <c r="H148" s="91"/>
      <c r="I148" s="91"/>
      <c r="J148" s="91"/>
      <c r="K148" s="91"/>
      <c r="L148" s="91"/>
      <c r="M148" s="91"/>
      <c r="N148" s="91"/>
      <c r="O148" s="91"/>
      <c r="P148" s="91"/>
      <c r="Q148" s="91"/>
      <c r="R148" s="91"/>
      <c r="S148" s="91"/>
      <c r="T148" s="91"/>
      <c r="U148" s="91"/>
      <c r="V148" s="91"/>
      <c r="W148" s="91"/>
      <c r="X148" s="91"/>
      <c r="Y148" s="91"/>
      <c r="Z148" s="91"/>
      <c r="AA148" s="91"/>
      <c r="AB148" s="91"/>
      <c r="AC148" s="91"/>
    </row>
    <row r="149" spans="1:29" x14ac:dyDescent="0.3">
      <c r="A149" s="91"/>
      <c r="B149" s="91"/>
      <c r="C149" s="91"/>
      <c r="D149" s="91"/>
      <c r="E149" s="91"/>
      <c r="F149" s="91"/>
      <c r="G149" s="91"/>
      <c r="H149" s="91"/>
      <c r="I149" s="91"/>
      <c r="J149" s="91"/>
      <c r="K149" s="91"/>
      <c r="L149" s="91"/>
      <c r="M149" s="91"/>
      <c r="N149" s="91"/>
      <c r="O149" s="91"/>
      <c r="P149" s="91"/>
      <c r="Q149" s="91"/>
      <c r="R149" s="91"/>
      <c r="S149" s="91"/>
      <c r="T149" s="91"/>
      <c r="U149" s="91"/>
      <c r="V149" s="91"/>
      <c r="W149" s="91"/>
      <c r="X149" s="91"/>
      <c r="Y149" s="91"/>
      <c r="Z149" s="91"/>
      <c r="AA149" s="91"/>
      <c r="AB149" s="91"/>
      <c r="AC149" s="91"/>
    </row>
    <row r="150" spans="1:29" x14ac:dyDescent="0.3">
      <c r="A150" s="91"/>
      <c r="B150" s="91"/>
      <c r="C150" s="91"/>
      <c r="D150" s="91"/>
      <c r="E150" s="91"/>
      <c r="F150" s="91"/>
      <c r="G150" s="91"/>
      <c r="H150" s="91"/>
      <c r="I150" s="91"/>
      <c r="J150" s="91"/>
      <c r="K150" s="91"/>
      <c r="L150" s="91"/>
      <c r="M150" s="91"/>
      <c r="N150" s="91"/>
      <c r="O150" s="91"/>
      <c r="P150" s="91"/>
      <c r="Q150" s="91"/>
      <c r="R150" s="91"/>
      <c r="S150" s="91"/>
      <c r="T150" s="91"/>
      <c r="U150" s="91"/>
      <c r="V150" s="91"/>
      <c r="W150" s="91"/>
      <c r="X150" s="91"/>
      <c r="Y150" s="91"/>
      <c r="Z150" s="91"/>
      <c r="AA150" s="91"/>
      <c r="AB150" s="91"/>
      <c r="AC150" s="91"/>
    </row>
    <row r="151" spans="1:29" x14ac:dyDescent="0.3">
      <c r="A151" s="91"/>
      <c r="B151" s="91"/>
      <c r="C151" s="91"/>
      <c r="D151" s="91"/>
      <c r="E151" s="91"/>
      <c r="F151" s="91"/>
      <c r="G151" s="91"/>
      <c r="H151" s="91"/>
      <c r="I151" s="91"/>
      <c r="J151" s="91"/>
      <c r="K151" s="91"/>
      <c r="L151" s="91"/>
      <c r="M151" s="91"/>
      <c r="N151" s="91"/>
      <c r="O151" s="91"/>
      <c r="P151" s="91"/>
      <c r="Q151" s="91"/>
      <c r="R151" s="91"/>
      <c r="S151" s="91"/>
      <c r="T151" s="91"/>
      <c r="U151" s="91"/>
      <c r="V151" s="91"/>
      <c r="W151" s="91"/>
      <c r="X151" s="91"/>
      <c r="Y151" s="91"/>
      <c r="Z151" s="91"/>
      <c r="AA151" s="91"/>
      <c r="AB151" s="91"/>
      <c r="AC151" s="91"/>
    </row>
    <row r="152" spans="1:29" x14ac:dyDescent="0.3">
      <c r="A152" s="91"/>
      <c r="B152" s="91"/>
      <c r="C152" s="91"/>
      <c r="D152" s="91"/>
      <c r="E152" s="91"/>
      <c r="F152" s="91"/>
      <c r="G152" s="91"/>
      <c r="H152" s="91"/>
      <c r="I152" s="91"/>
      <c r="J152" s="91"/>
      <c r="K152" s="91"/>
      <c r="L152" s="91"/>
      <c r="M152" s="91"/>
      <c r="N152" s="91"/>
      <c r="O152" s="91"/>
      <c r="P152" s="91"/>
      <c r="Q152" s="91"/>
      <c r="R152" s="91"/>
      <c r="S152" s="91"/>
      <c r="T152" s="91"/>
      <c r="U152" s="91"/>
      <c r="V152" s="91"/>
      <c r="W152" s="91"/>
      <c r="X152" s="91"/>
      <c r="Y152" s="91"/>
      <c r="Z152" s="91"/>
      <c r="AA152" s="91"/>
      <c r="AB152" s="91"/>
      <c r="AC152" s="91"/>
    </row>
    <row r="153" spans="1:29" x14ac:dyDescent="0.3">
      <c r="A153" s="91"/>
      <c r="B153" s="91"/>
      <c r="C153" s="91"/>
      <c r="D153" s="91"/>
      <c r="E153" s="91"/>
      <c r="F153" s="91"/>
      <c r="G153" s="91"/>
      <c r="H153" s="91"/>
      <c r="I153" s="91"/>
      <c r="J153" s="91"/>
      <c r="K153" s="91"/>
      <c r="L153" s="91"/>
      <c r="M153" s="91"/>
      <c r="N153" s="91"/>
      <c r="O153" s="91"/>
      <c r="P153" s="91"/>
      <c r="Q153" s="91"/>
      <c r="R153" s="91"/>
      <c r="S153" s="91"/>
      <c r="T153" s="91"/>
      <c r="U153" s="91"/>
      <c r="V153" s="91"/>
      <c r="W153" s="91"/>
      <c r="X153" s="91"/>
      <c r="Y153" s="91"/>
      <c r="Z153" s="91"/>
      <c r="AA153" s="91"/>
      <c r="AB153" s="91"/>
      <c r="AC153" s="91"/>
    </row>
    <row r="154" spans="1:29" x14ac:dyDescent="0.3">
      <c r="A154" s="91"/>
      <c r="B154" s="91"/>
      <c r="C154" s="91"/>
      <c r="D154" s="91"/>
      <c r="E154" s="91"/>
      <c r="F154" s="91"/>
      <c r="G154" s="91"/>
      <c r="H154" s="91"/>
      <c r="I154" s="91"/>
      <c r="J154" s="91"/>
      <c r="K154" s="91"/>
      <c r="L154" s="91"/>
      <c r="M154" s="91"/>
      <c r="N154" s="91"/>
      <c r="O154" s="91"/>
      <c r="P154" s="91"/>
      <c r="Q154" s="91"/>
      <c r="R154" s="91"/>
      <c r="S154" s="91"/>
      <c r="T154" s="91"/>
      <c r="U154" s="91"/>
      <c r="V154" s="91"/>
      <c r="W154" s="91"/>
      <c r="X154" s="91"/>
      <c r="Y154" s="91"/>
      <c r="Z154" s="91"/>
      <c r="AA154" s="91"/>
      <c r="AB154" s="91"/>
      <c r="AC154" s="91"/>
    </row>
    <row r="155" spans="1:29" x14ac:dyDescent="0.3">
      <c r="A155" s="91"/>
      <c r="B155" s="91"/>
      <c r="C155" s="91"/>
      <c r="D155" s="91"/>
      <c r="E155" s="91"/>
      <c r="F155" s="91"/>
      <c r="G155" s="91"/>
      <c r="H155" s="91"/>
      <c r="I155" s="91"/>
      <c r="J155" s="91"/>
      <c r="K155" s="91"/>
      <c r="L155" s="91"/>
      <c r="M155" s="91"/>
      <c r="N155" s="91"/>
      <c r="O155" s="91"/>
      <c r="P155" s="91"/>
      <c r="Q155" s="91"/>
      <c r="R155" s="91"/>
      <c r="S155" s="91"/>
      <c r="T155" s="91"/>
      <c r="U155" s="91"/>
      <c r="V155" s="91"/>
      <c r="W155" s="91"/>
      <c r="X155" s="91"/>
      <c r="Y155" s="91"/>
      <c r="Z155" s="91"/>
      <c r="AA155" s="91"/>
      <c r="AB155" s="91"/>
      <c r="AC155" s="91"/>
    </row>
    <row r="156" spans="1:29" x14ac:dyDescent="0.3">
      <c r="A156" s="91"/>
      <c r="B156" s="91"/>
      <c r="C156" s="91"/>
      <c r="D156" s="91"/>
      <c r="E156" s="91"/>
      <c r="F156" s="91"/>
      <c r="G156" s="91"/>
      <c r="H156" s="91"/>
      <c r="I156" s="91"/>
      <c r="J156" s="91"/>
      <c r="K156" s="91"/>
      <c r="L156" s="91"/>
      <c r="M156" s="91"/>
      <c r="N156" s="91"/>
      <c r="O156" s="91"/>
      <c r="P156" s="91"/>
      <c r="Q156" s="91"/>
      <c r="R156" s="91"/>
      <c r="S156" s="91"/>
      <c r="T156" s="91"/>
      <c r="U156" s="91"/>
      <c r="V156" s="91"/>
      <c r="W156" s="91"/>
      <c r="X156" s="91"/>
      <c r="Y156" s="91"/>
      <c r="Z156" s="91"/>
      <c r="AA156" s="91"/>
      <c r="AB156" s="91"/>
      <c r="AC156" s="91"/>
    </row>
    <row r="157" spans="1:29" x14ac:dyDescent="0.3">
      <c r="A157" s="91"/>
      <c r="B157" s="91"/>
      <c r="C157" s="91"/>
      <c r="D157" s="91"/>
      <c r="E157" s="91"/>
      <c r="F157" s="91"/>
      <c r="G157" s="91"/>
      <c r="H157" s="91"/>
      <c r="I157" s="91"/>
      <c r="J157" s="91"/>
      <c r="K157" s="91"/>
      <c r="L157" s="91"/>
      <c r="M157" s="91"/>
      <c r="N157" s="91"/>
      <c r="O157" s="91"/>
      <c r="P157" s="91"/>
      <c r="Q157" s="91"/>
      <c r="R157" s="91"/>
      <c r="S157" s="91"/>
      <c r="T157" s="91"/>
      <c r="U157" s="91"/>
      <c r="V157" s="91"/>
      <c r="W157" s="91"/>
      <c r="X157" s="91"/>
      <c r="Y157" s="91"/>
      <c r="Z157" s="91"/>
      <c r="AA157" s="91"/>
      <c r="AB157" s="91"/>
      <c r="AC157" s="91"/>
    </row>
    <row r="158" spans="1:29" x14ac:dyDescent="0.3">
      <c r="A158" s="91"/>
      <c r="B158" s="91"/>
      <c r="C158" s="91"/>
      <c r="D158" s="91"/>
      <c r="E158" s="91"/>
      <c r="F158" s="91"/>
      <c r="G158" s="91"/>
      <c r="H158" s="91"/>
      <c r="I158" s="91"/>
      <c r="J158" s="91"/>
      <c r="K158" s="91"/>
      <c r="L158" s="91"/>
      <c r="M158" s="91"/>
      <c r="N158" s="91"/>
      <c r="O158" s="91"/>
      <c r="P158" s="91"/>
      <c r="Q158" s="91"/>
      <c r="R158" s="91"/>
      <c r="S158" s="91"/>
      <c r="T158" s="91"/>
      <c r="U158" s="91"/>
      <c r="V158" s="91"/>
      <c r="W158" s="91"/>
      <c r="X158" s="91"/>
      <c r="Y158" s="91"/>
      <c r="Z158" s="91"/>
      <c r="AA158" s="91"/>
      <c r="AB158" s="91"/>
      <c r="AC158" s="91"/>
    </row>
    <row r="159" spans="1:29" x14ac:dyDescent="0.3">
      <c r="A159" s="91"/>
      <c r="B159" s="91"/>
      <c r="C159" s="91"/>
      <c r="D159" s="91"/>
      <c r="E159" s="91"/>
      <c r="F159" s="91"/>
      <c r="G159" s="91"/>
      <c r="H159" s="91"/>
      <c r="I159" s="91"/>
      <c r="J159" s="91"/>
      <c r="K159" s="91"/>
      <c r="L159" s="91"/>
      <c r="M159" s="91"/>
      <c r="N159" s="91"/>
      <c r="O159" s="91"/>
      <c r="P159" s="91"/>
      <c r="Q159" s="91"/>
      <c r="R159" s="91"/>
      <c r="S159" s="91"/>
      <c r="T159" s="91"/>
      <c r="U159" s="91"/>
      <c r="V159" s="91"/>
      <c r="W159" s="91"/>
      <c r="X159" s="91"/>
      <c r="Y159" s="91"/>
      <c r="Z159" s="91"/>
      <c r="AA159" s="91"/>
      <c r="AB159" s="91"/>
      <c r="AC159" s="91"/>
    </row>
    <row r="160" spans="1:29" x14ac:dyDescent="0.3">
      <c r="A160" s="91"/>
      <c r="B160" s="91"/>
      <c r="C160" s="91"/>
      <c r="D160" s="91"/>
      <c r="E160" s="91"/>
      <c r="F160" s="91"/>
      <c r="G160" s="91"/>
      <c r="H160" s="91"/>
      <c r="I160" s="91"/>
      <c r="J160" s="91"/>
      <c r="K160" s="91"/>
      <c r="L160" s="91"/>
      <c r="M160" s="91"/>
      <c r="N160" s="91"/>
      <c r="O160" s="91"/>
      <c r="P160" s="91"/>
      <c r="Q160" s="91"/>
      <c r="R160" s="91"/>
      <c r="S160" s="91"/>
      <c r="T160" s="91"/>
      <c r="U160" s="91"/>
      <c r="V160" s="91"/>
      <c r="W160" s="91"/>
      <c r="X160" s="91"/>
      <c r="Y160" s="91"/>
      <c r="Z160" s="91"/>
      <c r="AA160" s="91"/>
      <c r="AB160" s="91"/>
      <c r="AC160" s="91"/>
    </row>
    <row r="161" spans="1:29" x14ac:dyDescent="0.3">
      <c r="A161" s="91"/>
      <c r="B161" s="91"/>
      <c r="C161" s="91"/>
      <c r="D161" s="91"/>
      <c r="E161" s="91"/>
      <c r="F161" s="91"/>
      <c r="G161" s="91"/>
      <c r="H161" s="91"/>
      <c r="I161" s="91"/>
      <c r="J161" s="91"/>
      <c r="K161" s="91"/>
      <c r="L161" s="91"/>
      <c r="M161" s="91"/>
      <c r="N161" s="91"/>
      <c r="O161" s="91"/>
      <c r="P161" s="91"/>
      <c r="Q161" s="91"/>
      <c r="R161" s="91"/>
      <c r="S161" s="91"/>
      <c r="T161" s="91"/>
      <c r="U161" s="91"/>
      <c r="V161" s="91"/>
      <c r="W161" s="91"/>
      <c r="X161" s="91"/>
      <c r="Y161" s="91"/>
      <c r="Z161" s="91"/>
      <c r="AA161" s="91"/>
      <c r="AB161" s="91"/>
      <c r="AC161" s="91"/>
    </row>
    <row r="162" spans="1:29" x14ac:dyDescent="0.3">
      <c r="A162" s="91"/>
      <c r="B162" s="91"/>
      <c r="C162" s="91"/>
      <c r="D162" s="91"/>
      <c r="E162" s="91"/>
      <c r="F162" s="91"/>
      <c r="G162" s="91"/>
      <c r="H162" s="91"/>
      <c r="I162" s="91"/>
      <c r="J162" s="91"/>
      <c r="K162" s="91"/>
      <c r="L162" s="91"/>
      <c r="M162" s="91"/>
      <c r="N162" s="91"/>
      <c r="O162" s="91"/>
      <c r="P162" s="91"/>
      <c r="Q162" s="91"/>
      <c r="R162" s="91"/>
      <c r="S162" s="91"/>
      <c r="T162" s="91"/>
      <c r="U162" s="91"/>
      <c r="V162" s="91"/>
      <c r="W162" s="91"/>
      <c r="X162" s="91"/>
      <c r="Y162" s="91"/>
      <c r="Z162" s="91"/>
      <c r="AA162" s="91"/>
      <c r="AB162" s="91"/>
      <c r="AC162" s="91"/>
    </row>
    <row r="163" spans="1:29" x14ac:dyDescent="0.3">
      <c r="A163" s="91"/>
      <c r="B163" s="91"/>
      <c r="C163" s="91"/>
      <c r="D163" s="91"/>
      <c r="E163" s="91"/>
      <c r="F163" s="91"/>
      <c r="G163" s="91"/>
      <c r="H163" s="91"/>
      <c r="I163" s="91"/>
      <c r="J163" s="91"/>
      <c r="K163" s="91"/>
      <c r="L163" s="91"/>
      <c r="M163" s="91"/>
      <c r="N163" s="91"/>
      <c r="O163" s="91"/>
      <c r="P163" s="91"/>
      <c r="Q163" s="91"/>
      <c r="R163" s="91"/>
      <c r="S163" s="91"/>
      <c r="T163" s="91"/>
      <c r="U163" s="91"/>
      <c r="V163" s="91"/>
      <c r="W163" s="91"/>
      <c r="X163" s="91"/>
      <c r="Y163" s="91"/>
      <c r="Z163" s="91"/>
      <c r="AA163" s="91"/>
      <c r="AB163" s="91"/>
      <c r="AC163" s="91"/>
    </row>
    <row r="164" spans="1:29" x14ac:dyDescent="0.3">
      <c r="A164" s="91"/>
      <c r="B164" s="91"/>
      <c r="C164" s="91"/>
      <c r="D164" s="91"/>
      <c r="E164" s="91"/>
      <c r="F164" s="91"/>
      <c r="G164" s="91"/>
      <c r="H164" s="91"/>
      <c r="I164" s="91"/>
      <c r="J164" s="91"/>
      <c r="K164" s="91"/>
      <c r="L164" s="91"/>
      <c r="M164" s="91"/>
      <c r="N164" s="91"/>
      <c r="O164" s="91"/>
      <c r="P164" s="91"/>
      <c r="Q164" s="91"/>
      <c r="R164" s="91"/>
      <c r="S164" s="91"/>
      <c r="T164" s="91"/>
      <c r="U164" s="91"/>
      <c r="V164" s="91"/>
      <c r="W164" s="91"/>
      <c r="X164" s="91"/>
      <c r="Y164" s="91"/>
      <c r="Z164" s="91"/>
      <c r="AA164" s="91"/>
      <c r="AB164" s="91"/>
      <c r="AC164" s="91"/>
    </row>
    <row r="165" spans="1:29" x14ac:dyDescent="0.3">
      <c r="A165" s="91"/>
      <c r="B165" s="91"/>
      <c r="C165" s="91"/>
      <c r="D165" s="91"/>
      <c r="E165" s="91"/>
      <c r="F165" s="91"/>
      <c r="G165" s="91"/>
      <c r="H165" s="91"/>
      <c r="I165" s="91"/>
      <c r="J165" s="91"/>
      <c r="K165" s="91"/>
      <c r="L165" s="91"/>
      <c r="M165" s="91"/>
      <c r="N165" s="91"/>
      <c r="O165" s="91"/>
      <c r="P165" s="91"/>
      <c r="Q165" s="91"/>
      <c r="R165" s="91"/>
      <c r="S165" s="91"/>
      <c r="T165" s="91"/>
      <c r="U165" s="91"/>
      <c r="V165" s="91"/>
      <c r="W165" s="91"/>
      <c r="X165" s="91"/>
      <c r="Y165" s="91"/>
      <c r="Z165" s="91"/>
      <c r="AA165" s="91"/>
      <c r="AB165" s="91"/>
      <c r="AC165" s="91"/>
    </row>
    <row r="166" spans="1:29" x14ac:dyDescent="0.3">
      <c r="A166" s="91"/>
      <c r="B166" s="91"/>
      <c r="C166" s="91"/>
      <c r="D166" s="91"/>
      <c r="E166" s="91"/>
      <c r="F166" s="91"/>
      <c r="G166" s="91"/>
      <c r="H166" s="91"/>
      <c r="I166" s="91"/>
      <c r="J166" s="91"/>
      <c r="K166" s="91"/>
      <c r="L166" s="91"/>
      <c r="M166" s="91"/>
      <c r="N166" s="91"/>
      <c r="O166" s="91"/>
      <c r="P166" s="91"/>
      <c r="Q166" s="91"/>
      <c r="R166" s="91"/>
      <c r="S166" s="91"/>
      <c r="T166" s="91"/>
      <c r="U166" s="91"/>
      <c r="V166" s="91"/>
      <c r="W166" s="91"/>
      <c r="X166" s="91"/>
      <c r="Y166" s="91"/>
      <c r="Z166" s="91"/>
      <c r="AA166" s="91"/>
      <c r="AB166" s="91"/>
      <c r="AC166" s="91"/>
    </row>
    <row r="167" spans="1:29" x14ac:dyDescent="0.3">
      <c r="A167" s="91"/>
      <c r="B167" s="91"/>
      <c r="C167" s="91"/>
      <c r="D167" s="91"/>
      <c r="E167" s="91"/>
      <c r="F167" s="91"/>
      <c r="G167" s="91"/>
      <c r="H167" s="91"/>
      <c r="I167" s="91"/>
      <c r="J167" s="91"/>
      <c r="K167" s="91"/>
      <c r="L167" s="91"/>
      <c r="M167" s="91"/>
      <c r="N167" s="91"/>
      <c r="O167" s="91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</row>
    <row r="168" spans="1:29" x14ac:dyDescent="0.3">
      <c r="A168" s="91"/>
      <c r="B168" s="91"/>
      <c r="C168" s="91"/>
      <c r="D168" s="91"/>
      <c r="E168" s="91"/>
      <c r="F168" s="91"/>
      <c r="G168" s="91"/>
      <c r="H168" s="91"/>
      <c r="I168" s="91"/>
      <c r="J168" s="91"/>
      <c r="K168" s="91"/>
      <c r="L168" s="91"/>
      <c r="M168" s="91"/>
      <c r="N168" s="91"/>
      <c r="O168" s="91"/>
      <c r="P168" s="91"/>
      <c r="Q168" s="91"/>
      <c r="R168" s="91"/>
      <c r="S168" s="91"/>
      <c r="T168" s="91"/>
      <c r="U168" s="91"/>
      <c r="V168" s="91"/>
      <c r="W168" s="91"/>
      <c r="X168" s="91"/>
      <c r="Y168" s="91"/>
      <c r="Z168" s="91"/>
      <c r="AA168" s="91"/>
      <c r="AB168" s="91"/>
      <c r="AC168" s="91"/>
    </row>
    <row r="169" spans="1:29" x14ac:dyDescent="0.3">
      <c r="A169" s="91"/>
      <c r="B169" s="91"/>
      <c r="C169" s="91"/>
      <c r="D169" s="91"/>
      <c r="E169" s="91"/>
      <c r="F169" s="91"/>
      <c r="G169" s="91"/>
      <c r="H169" s="91"/>
      <c r="I169" s="91"/>
      <c r="J169" s="91"/>
      <c r="K169" s="91"/>
      <c r="L169" s="91"/>
      <c r="M169" s="91"/>
      <c r="N169" s="91"/>
      <c r="O169" s="91"/>
      <c r="P169" s="91"/>
      <c r="Q169" s="91"/>
      <c r="R169" s="91"/>
      <c r="S169" s="91"/>
      <c r="T169" s="91"/>
      <c r="U169" s="91"/>
      <c r="V169" s="91"/>
      <c r="W169" s="91"/>
      <c r="X169" s="91"/>
      <c r="Y169" s="91"/>
      <c r="Z169" s="91"/>
      <c r="AA169" s="91"/>
      <c r="AB169" s="91"/>
      <c r="AC169" s="91"/>
    </row>
    <row r="170" spans="1:29" x14ac:dyDescent="0.3">
      <c r="A170" s="91"/>
      <c r="B170" s="91"/>
      <c r="C170" s="91"/>
      <c r="D170" s="91"/>
      <c r="E170" s="91"/>
      <c r="F170" s="91"/>
      <c r="G170" s="91"/>
      <c r="H170" s="91"/>
      <c r="I170" s="91"/>
      <c r="J170" s="91"/>
      <c r="K170" s="91"/>
      <c r="L170" s="91"/>
      <c r="M170" s="91"/>
      <c r="N170" s="91"/>
      <c r="O170" s="91"/>
      <c r="P170" s="91"/>
      <c r="Q170" s="91"/>
      <c r="R170" s="91"/>
      <c r="S170" s="91"/>
      <c r="T170" s="91"/>
      <c r="U170" s="91"/>
      <c r="V170" s="91"/>
      <c r="W170" s="91"/>
      <c r="X170" s="91"/>
      <c r="Y170" s="91"/>
      <c r="Z170" s="91"/>
      <c r="AA170" s="91"/>
      <c r="AB170" s="91"/>
      <c r="AC170" s="91"/>
    </row>
    <row r="171" spans="1:29" x14ac:dyDescent="0.3">
      <c r="A171" s="91"/>
      <c r="B171" s="91"/>
      <c r="C171" s="91"/>
      <c r="D171" s="91"/>
      <c r="E171" s="91"/>
      <c r="F171" s="91"/>
      <c r="G171" s="91"/>
      <c r="H171" s="91"/>
      <c r="I171" s="91"/>
      <c r="J171" s="91"/>
      <c r="K171" s="91"/>
      <c r="L171" s="91"/>
      <c r="M171" s="91"/>
      <c r="N171" s="91"/>
      <c r="O171" s="91"/>
      <c r="P171" s="91"/>
      <c r="Q171" s="91"/>
      <c r="R171" s="91"/>
      <c r="S171" s="91"/>
      <c r="T171" s="91"/>
      <c r="U171" s="91"/>
      <c r="V171" s="91"/>
      <c r="W171" s="91"/>
      <c r="X171" s="91"/>
      <c r="Y171" s="91"/>
      <c r="Z171" s="91"/>
      <c r="AA171" s="91"/>
      <c r="AB171" s="91"/>
      <c r="AC171" s="91"/>
    </row>
    <row r="172" spans="1:29" x14ac:dyDescent="0.3">
      <c r="A172" s="91"/>
      <c r="B172" s="91"/>
      <c r="C172" s="91"/>
      <c r="D172" s="91"/>
      <c r="E172" s="91"/>
      <c r="F172" s="91"/>
      <c r="G172" s="91"/>
      <c r="H172" s="91"/>
      <c r="I172" s="91"/>
      <c r="J172" s="91"/>
      <c r="K172" s="91"/>
      <c r="L172" s="91"/>
      <c r="M172" s="91"/>
      <c r="N172" s="91"/>
      <c r="O172" s="91"/>
      <c r="P172" s="91"/>
      <c r="Q172" s="91"/>
      <c r="R172" s="91"/>
      <c r="S172" s="91"/>
      <c r="T172" s="91"/>
      <c r="U172" s="91"/>
      <c r="V172" s="91"/>
      <c r="W172" s="91"/>
      <c r="X172" s="91"/>
      <c r="Y172" s="91"/>
      <c r="Z172" s="91"/>
      <c r="AA172" s="91"/>
      <c r="AB172" s="91"/>
      <c r="AC172" s="91"/>
    </row>
    <row r="173" spans="1:29" x14ac:dyDescent="0.3">
      <c r="A173" s="91"/>
      <c r="B173" s="91"/>
      <c r="C173" s="91"/>
      <c r="D173" s="91"/>
      <c r="E173" s="91"/>
      <c r="F173" s="91"/>
      <c r="G173" s="91"/>
      <c r="H173" s="91"/>
      <c r="I173" s="91"/>
      <c r="J173" s="91"/>
      <c r="K173" s="91"/>
      <c r="L173" s="91"/>
      <c r="M173" s="91"/>
      <c r="N173" s="91"/>
      <c r="O173" s="91"/>
      <c r="P173" s="91"/>
      <c r="Q173" s="91"/>
      <c r="R173" s="91"/>
      <c r="S173" s="91"/>
      <c r="T173" s="91"/>
      <c r="U173" s="91"/>
      <c r="V173" s="91"/>
      <c r="W173" s="91"/>
      <c r="X173" s="91"/>
      <c r="Y173" s="91"/>
      <c r="Z173" s="91"/>
      <c r="AA173" s="91"/>
      <c r="AB173" s="91"/>
      <c r="AC173" s="91"/>
    </row>
    <row r="174" spans="1:29" x14ac:dyDescent="0.3">
      <c r="A174" s="91"/>
      <c r="B174" s="91"/>
      <c r="C174" s="91"/>
      <c r="D174" s="91"/>
      <c r="E174" s="91"/>
      <c r="F174" s="91"/>
      <c r="G174" s="91"/>
      <c r="H174" s="91"/>
      <c r="I174" s="91"/>
      <c r="J174" s="91"/>
      <c r="K174" s="91"/>
      <c r="L174" s="91"/>
      <c r="M174" s="91"/>
      <c r="N174" s="91"/>
      <c r="O174" s="91"/>
      <c r="P174" s="91"/>
      <c r="Q174" s="91"/>
      <c r="R174" s="91"/>
      <c r="S174" s="91"/>
      <c r="T174" s="91"/>
      <c r="U174" s="91"/>
      <c r="V174" s="91"/>
      <c r="W174" s="91"/>
      <c r="X174" s="91"/>
      <c r="Y174" s="91"/>
      <c r="Z174" s="91"/>
      <c r="AA174" s="91"/>
      <c r="AB174" s="91"/>
      <c r="AC174" s="91"/>
    </row>
    <row r="175" spans="1:29" x14ac:dyDescent="0.3">
      <c r="A175" s="91"/>
      <c r="B175" s="91"/>
      <c r="C175" s="91"/>
      <c r="D175" s="91"/>
      <c r="E175" s="91"/>
      <c r="F175" s="91"/>
      <c r="G175" s="91"/>
      <c r="H175" s="91"/>
      <c r="I175" s="91"/>
      <c r="J175" s="91"/>
      <c r="K175" s="91"/>
      <c r="L175" s="91"/>
      <c r="M175" s="91"/>
      <c r="N175" s="91"/>
      <c r="O175" s="91"/>
      <c r="P175" s="91"/>
      <c r="Q175" s="91"/>
      <c r="R175" s="91"/>
      <c r="S175" s="91"/>
      <c r="T175" s="91"/>
      <c r="U175" s="91"/>
      <c r="V175" s="91"/>
      <c r="W175" s="91"/>
      <c r="X175" s="91"/>
      <c r="Y175" s="91"/>
      <c r="Z175" s="91"/>
      <c r="AA175" s="91"/>
      <c r="AB175" s="91"/>
      <c r="AC175" s="91"/>
    </row>
    <row r="176" spans="1:29" x14ac:dyDescent="0.3">
      <c r="A176" s="91"/>
      <c r="B176" s="91"/>
      <c r="C176" s="91"/>
      <c r="D176" s="91"/>
      <c r="E176" s="91"/>
      <c r="F176" s="91"/>
      <c r="G176" s="91"/>
      <c r="H176" s="91"/>
      <c r="I176" s="91"/>
      <c r="J176" s="91"/>
      <c r="K176" s="91"/>
      <c r="L176" s="91"/>
      <c r="M176" s="91"/>
      <c r="N176" s="91"/>
      <c r="O176" s="91"/>
      <c r="P176" s="91"/>
      <c r="Q176" s="91"/>
      <c r="R176" s="91"/>
      <c r="S176" s="91"/>
      <c r="T176" s="91"/>
      <c r="U176" s="91"/>
      <c r="V176" s="91"/>
      <c r="W176" s="91"/>
      <c r="X176" s="91"/>
      <c r="Y176" s="91"/>
      <c r="Z176" s="91"/>
      <c r="AA176" s="91"/>
      <c r="AB176" s="91"/>
      <c r="AC176" s="91"/>
    </row>
    <row r="177" spans="1:29" x14ac:dyDescent="0.3">
      <c r="A177" s="91"/>
      <c r="B177" s="91"/>
      <c r="C177" s="91"/>
      <c r="D177" s="91"/>
      <c r="E177" s="91"/>
      <c r="F177" s="91"/>
      <c r="G177" s="91"/>
      <c r="H177" s="91"/>
      <c r="I177" s="91"/>
      <c r="J177" s="91"/>
      <c r="K177" s="91"/>
      <c r="L177" s="91"/>
      <c r="M177" s="91"/>
      <c r="N177" s="91"/>
      <c r="O177" s="91"/>
      <c r="P177" s="91"/>
      <c r="Q177" s="91"/>
      <c r="R177" s="91"/>
      <c r="S177" s="91"/>
      <c r="T177" s="91"/>
      <c r="U177" s="91"/>
      <c r="V177" s="91"/>
      <c r="W177" s="91"/>
      <c r="X177" s="91"/>
      <c r="Y177" s="91"/>
      <c r="Z177" s="91"/>
      <c r="AA177" s="91"/>
      <c r="AB177" s="91"/>
      <c r="AC177" s="91"/>
    </row>
    <row r="178" spans="1:29" x14ac:dyDescent="0.3">
      <c r="A178" s="91"/>
      <c r="B178" s="91"/>
      <c r="C178" s="91"/>
      <c r="D178" s="91"/>
      <c r="E178" s="91"/>
      <c r="F178" s="91"/>
      <c r="G178" s="91"/>
      <c r="H178" s="91"/>
      <c r="I178" s="91"/>
      <c r="J178" s="91"/>
      <c r="K178" s="91"/>
      <c r="L178" s="91"/>
      <c r="M178" s="91"/>
      <c r="N178" s="91"/>
      <c r="O178" s="91"/>
      <c r="P178" s="91"/>
      <c r="Q178" s="91"/>
      <c r="R178" s="91"/>
      <c r="S178" s="91"/>
      <c r="T178" s="91"/>
      <c r="U178" s="91"/>
      <c r="V178" s="91"/>
      <c r="W178" s="91"/>
      <c r="X178" s="91"/>
      <c r="Y178" s="91"/>
      <c r="Z178" s="91"/>
      <c r="AA178" s="91"/>
      <c r="AB178" s="91"/>
      <c r="AC178" s="91"/>
    </row>
    <row r="179" spans="1:29" x14ac:dyDescent="0.3">
      <c r="A179" s="91"/>
      <c r="B179" s="91"/>
      <c r="C179" s="91"/>
      <c r="D179" s="91"/>
      <c r="E179" s="91"/>
      <c r="F179" s="91"/>
      <c r="G179" s="91"/>
      <c r="H179" s="91"/>
      <c r="I179" s="91"/>
      <c r="J179" s="91"/>
      <c r="K179" s="91"/>
      <c r="L179" s="91"/>
      <c r="M179" s="91"/>
      <c r="N179" s="91"/>
      <c r="O179" s="91"/>
      <c r="P179" s="91"/>
      <c r="Q179" s="91"/>
      <c r="R179" s="91"/>
      <c r="S179" s="91"/>
      <c r="T179" s="91"/>
      <c r="U179" s="91"/>
      <c r="V179" s="91"/>
      <c r="W179" s="91"/>
      <c r="X179" s="91"/>
      <c r="Y179" s="91"/>
      <c r="Z179" s="91"/>
      <c r="AA179" s="91"/>
      <c r="AB179" s="91"/>
      <c r="AC179" s="91"/>
    </row>
    <row r="180" spans="1:29" x14ac:dyDescent="0.3">
      <c r="A180" s="91"/>
      <c r="B180" s="91"/>
      <c r="C180" s="91"/>
      <c r="D180" s="91"/>
      <c r="E180" s="91"/>
      <c r="F180" s="91"/>
      <c r="G180" s="91"/>
      <c r="H180" s="91"/>
      <c r="I180" s="91"/>
      <c r="J180" s="91"/>
      <c r="K180" s="91"/>
      <c r="L180" s="91"/>
      <c r="M180" s="91"/>
      <c r="N180" s="91"/>
      <c r="O180" s="91"/>
      <c r="P180" s="91"/>
      <c r="Q180" s="91"/>
      <c r="R180" s="91"/>
      <c r="S180" s="91"/>
      <c r="T180" s="91"/>
      <c r="U180" s="91"/>
      <c r="V180" s="91"/>
      <c r="W180" s="91"/>
      <c r="X180" s="91"/>
      <c r="Y180" s="91"/>
      <c r="Z180" s="91"/>
      <c r="AA180" s="91"/>
      <c r="AB180" s="91"/>
      <c r="AC180" s="91"/>
    </row>
    <row r="181" spans="1:29" x14ac:dyDescent="0.3">
      <c r="A181" s="91"/>
      <c r="B181" s="91"/>
      <c r="C181" s="91"/>
      <c r="D181" s="91"/>
      <c r="E181" s="91"/>
      <c r="F181" s="91"/>
      <c r="G181" s="91"/>
      <c r="H181" s="91"/>
      <c r="I181" s="91"/>
      <c r="J181" s="91"/>
      <c r="K181" s="91"/>
      <c r="L181" s="91"/>
      <c r="M181" s="91"/>
      <c r="N181" s="91"/>
      <c r="O181" s="91"/>
      <c r="P181" s="91"/>
      <c r="Q181" s="91"/>
      <c r="R181" s="91"/>
      <c r="S181" s="91"/>
      <c r="T181" s="91"/>
      <c r="U181" s="91"/>
      <c r="V181" s="91"/>
      <c r="W181" s="91"/>
      <c r="X181" s="91"/>
      <c r="Y181" s="91"/>
      <c r="Z181" s="91"/>
      <c r="AA181" s="91"/>
      <c r="AB181" s="91"/>
      <c r="AC181" s="91"/>
    </row>
    <row r="182" spans="1:29" x14ac:dyDescent="0.3">
      <c r="A182" s="91"/>
      <c r="B182" s="91"/>
      <c r="C182" s="91"/>
      <c r="D182" s="91"/>
      <c r="E182" s="91"/>
      <c r="F182" s="91"/>
      <c r="G182" s="91"/>
      <c r="H182" s="91"/>
      <c r="I182" s="91"/>
      <c r="J182" s="91"/>
      <c r="K182" s="91"/>
      <c r="L182" s="91"/>
      <c r="M182" s="91"/>
      <c r="N182" s="91"/>
      <c r="O182" s="91"/>
      <c r="P182" s="91"/>
      <c r="Q182" s="91"/>
      <c r="R182" s="91"/>
      <c r="S182" s="91"/>
      <c r="T182" s="91"/>
      <c r="U182" s="91"/>
      <c r="V182" s="91"/>
      <c r="W182" s="91"/>
      <c r="X182" s="91"/>
      <c r="Y182" s="91"/>
      <c r="Z182" s="91"/>
      <c r="AA182" s="91"/>
      <c r="AB182" s="91"/>
      <c r="AC182" s="91"/>
    </row>
    <row r="183" spans="1:29" x14ac:dyDescent="0.3">
      <c r="A183" s="91"/>
      <c r="B183" s="91"/>
      <c r="C183" s="91"/>
      <c r="D183" s="91"/>
      <c r="E183" s="91"/>
      <c r="F183" s="91"/>
      <c r="G183" s="91"/>
      <c r="H183" s="91"/>
      <c r="I183" s="91"/>
      <c r="J183" s="91"/>
      <c r="K183" s="91"/>
      <c r="L183" s="91"/>
      <c r="M183" s="91"/>
      <c r="N183" s="91"/>
      <c r="O183" s="91"/>
      <c r="P183" s="91"/>
      <c r="Q183" s="91"/>
      <c r="R183" s="91"/>
      <c r="S183" s="91"/>
      <c r="T183" s="91"/>
      <c r="U183" s="91"/>
      <c r="V183" s="91"/>
      <c r="W183" s="91"/>
      <c r="X183" s="91"/>
      <c r="Y183" s="91"/>
      <c r="Z183" s="91"/>
      <c r="AA183" s="91"/>
      <c r="AB183" s="91"/>
      <c r="AC183" s="91"/>
    </row>
    <row r="184" spans="1:29" x14ac:dyDescent="0.3">
      <c r="A184" s="91"/>
      <c r="B184" s="91"/>
      <c r="C184" s="91"/>
      <c r="D184" s="91"/>
      <c r="E184" s="91"/>
      <c r="F184" s="91"/>
      <c r="G184" s="91"/>
      <c r="H184" s="91"/>
      <c r="I184" s="91"/>
      <c r="J184" s="91"/>
      <c r="K184" s="91"/>
      <c r="L184" s="91"/>
      <c r="M184" s="91"/>
      <c r="N184" s="91"/>
      <c r="O184" s="91"/>
      <c r="P184" s="91"/>
      <c r="Q184" s="91"/>
      <c r="R184" s="91"/>
      <c r="S184" s="91"/>
      <c r="T184" s="91"/>
      <c r="U184" s="91"/>
      <c r="V184" s="91"/>
      <c r="W184" s="91"/>
      <c r="X184" s="91"/>
      <c r="Y184" s="91"/>
      <c r="Z184" s="91"/>
      <c r="AA184" s="91"/>
      <c r="AB184" s="91"/>
      <c r="AC184" s="91"/>
    </row>
    <row r="185" spans="1:29" x14ac:dyDescent="0.3">
      <c r="A185" s="91"/>
      <c r="B185" s="91"/>
      <c r="C185" s="91"/>
      <c r="D185" s="91"/>
      <c r="E185" s="91"/>
      <c r="F185" s="91"/>
      <c r="G185" s="91"/>
      <c r="H185" s="91"/>
      <c r="I185" s="91"/>
      <c r="J185" s="91"/>
      <c r="K185" s="91"/>
      <c r="L185" s="91"/>
      <c r="M185" s="91"/>
      <c r="N185" s="91"/>
      <c r="O185" s="91"/>
      <c r="P185" s="91"/>
      <c r="Q185" s="91"/>
      <c r="R185" s="91"/>
      <c r="S185" s="91"/>
      <c r="T185" s="91"/>
      <c r="U185" s="91"/>
      <c r="V185" s="91"/>
      <c r="W185" s="91"/>
      <c r="X185" s="91"/>
      <c r="Y185" s="91"/>
      <c r="Z185" s="91"/>
      <c r="AA185" s="91"/>
      <c r="AB185" s="91"/>
      <c r="AC185" s="91"/>
    </row>
    <row r="186" spans="1:29" x14ac:dyDescent="0.3">
      <c r="A186" s="91"/>
      <c r="B186" s="91"/>
      <c r="C186" s="91"/>
      <c r="D186" s="91"/>
      <c r="E186" s="91"/>
      <c r="F186" s="91"/>
      <c r="G186" s="91"/>
      <c r="H186" s="91"/>
      <c r="I186" s="91"/>
      <c r="J186" s="91"/>
      <c r="K186" s="91"/>
      <c r="L186" s="91"/>
      <c r="M186" s="91"/>
      <c r="N186" s="91"/>
      <c r="O186" s="91"/>
      <c r="P186" s="91"/>
      <c r="Q186" s="91"/>
      <c r="R186" s="91"/>
      <c r="S186" s="91"/>
      <c r="T186" s="91"/>
      <c r="U186" s="91"/>
      <c r="V186" s="91"/>
      <c r="W186" s="91"/>
      <c r="X186" s="91"/>
      <c r="Y186" s="91"/>
      <c r="Z186" s="91"/>
      <c r="AA186" s="91"/>
      <c r="AB186" s="91"/>
      <c r="AC186" s="91"/>
    </row>
    <row r="187" spans="1:29" x14ac:dyDescent="0.3">
      <c r="A187" s="91"/>
      <c r="B187" s="91"/>
      <c r="C187" s="91"/>
      <c r="D187" s="91"/>
      <c r="E187" s="91"/>
      <c r="F187" s="91"/>
      <c r="G187" s="91"/>
      <c r="H187" s="91"/>
      <c r="I187" s="91"/>
      <c r="J187" s="91"/>
      <c r="K187" s="91"/>
      <c r="L187" s="91"/>
      <c r="M187" s="91"/>
      <c r="N187" s="91"/>
      <c r="O187" s="91"/>
      <c r="P187" s="91"/>
      <c r="Q187" s="91"/>
      <c r="R187" s="91"/>
      <c r="S187" s="91"/>
      <c r="T187" s="91"/>
      <c r="U187" s="91"/>
      <c r="V187" s="91"/>
      <c r="W187" s="91"/>
      <c r="X187" s="91"/>
      <c r="Y187" s="91"/>
      <c r="Z187" s="91"/>
      <c r="AA187" s="91"/>
      <c r="AB187" s="91"/>
      <c r="AC187" s="91"/>
    </row>
    <row r="188" spans="1:29" x14ac:dyDescent="0.3">
      <c r="A188" s="91"/>
      <c r="B188" s="91"/>
      <c r="C188" s="91"/>
      <c r="D188" s="91"/>
      <c r="E188" s="91"/>
      <c r="F188" s="91"/>
      <c r="G188" s="91"/>
      <c r="H188" s="91"/>
      <c r="I188" s="91"/>
      <c r="J188" s="91"/>
      <c r="K188" s="91"/>
      <c r="L188" s="91"/>
      <c r="M188" s="91"/>
      <c r="N188" s="91"/>
      <c r="O188" s="91"/>
      <c r="P188" s="91"/>
      <c r="Q188" s="91"/>
      <c r="R188" s="91"/>
      <c r="S188" s="91"/>
      <c r="T188" s="91"/>
      <c r="U188" s="91"/>
      <c r="V188" s="91"/>
      <c r="W188" s="91"/>
      <c r="X188" s="91"/>
      <c r="Y188" s="91"/>
      <c r="Z188" s="91"/>
      <c r="AA188" s="91"/>
      <c r="AB188" s="91"/>
      <c r="AC188" s="91"/>
    </row>
    <row r="189" spans="1:29" x14ac:dyDescent="0.3">
      <c r="A189" s="91"/>
      <c r="B189" s="91"/>
      <c r="C189" s="91"/>
      <c r="D189" s="91"/>
      <c r="E189" s="91"/>
      <c r="F189" s="91"/>
      <c r="G189" s="91"/>
      <c r="H189" s="91"/>
      <c r="I189" s="91"/>
      <c r="J189" s="91"/>
      <c r="K189" s="91"/>
      <c r="L189" s="91"/>
      <c r="M189" s="91"/>
      <c r="N189" s="91"/>
      <c r="O189" s="91"/>
      <c r="P189" s="91"/>
      <c r="Q189" s="91"/>
      <c r="R189" s="91"/>
      <c r="S189" s="91"/>
      <c r="T189" s="91"/>
      <c r="U189" s="91"/>
      <c r="V189" s="91"/>
      <c r="W189" s="91"/>
      <c r="X189" s="91"/>
      <c r="Y189" s="91"/>
      <c r="Z189" s="91"/>
      <c r="AA189" s="91"/>
      <c r="AB189" s="91"/>
      <c r="AC189" s="91"/>
    </row>
    <row r="190" spans="1:29" x14ac:dyDescent="0.3">
      <c r="A190" s="91"/>
      <c r="B190" s="91"/>
      <c r="C190" s="91"/>
      <c r="D190" s="91"/>
      <c r="E190" s="91"/>
      <c r="F190" s="91"/>
      <c r="G190" s="91"/>
      <c r="H190" s="91"/>
      <c r="I190" s="91"/>
      <c r="J190" s="91"/>
      <c r="K190" s="91"/>
      <c r="L190" s="91"/>
      <c r="M190" s="91"/>
      <c r="N190" s="91"/>
      <c r="O190" s="91"/>
      <c r="P190" s="91"/>
      <c r="Q190" s="91"/>
      <c r="R190" s="91"/>
      <c r="S190" s="91"/>
      <c r="T190" s="91"/>
      <c r="U190" s="91"/>
      <c r="V190" s="91"/>
      <c r="W190" s="91"/>
      <c r="X190" s="91"/>
      <c r="Y190" s="91"/>
      <c r="Z190" s="91"/>
      <c r="AA190" s="91"/>
      <c r="AB190" s="91"/>
      <c r="AC190" s="91"/>
    </row>
    <row r="191" spans="1:29" x14ac:dyDescent="0.3">
      <c r="A191" s="91"/>
      <c r="B191" s="91"/>
      <c r="C191" s="91"/>
      <c r="D191" s="91"/>
      <c r="E191" s="91"/>
      <c r="F191" s="91"/>
      <c r="G191" s="91"/>
      <c r="H191" s="91"/>
      <c r="I191" s="91"/>
      <c r="J191" s="91"/>
      <c r="K191" s="91"/>
      <c r="L191" s="91"/>
      <c r="M191" s="91"/>
      <c r="N191" s="91"/>
      <c r="O191" s="91"/>
      <c r="P191" s="91"/>
      <c r="Q191" s="91"/>
      <c r="R191" s="91"/>
      <c r="S191" s="91"/>
      <c r="T191" s="91"/>
      <c r="U191" s="91"/>
      <c r="V191" s="91"/>
      <c r="W191" s="91"/>
      <c r="X191" s="91"/>
      <c r="Y191" s="91"/>
      <c r="Z191" s="91"/>
      <c r="AA191" s="91"/>
      <c r="AB191" s="91"/>
      <c r="AC191" s="91"/>
    </row>
    <row r="192" spans="1:29" x14ac:dyDescent="0.3">
      <c r="A192" s="91"/>
      <c r="B192" s="91"/>
      <c r="C192" s="91"/>
      <c r="D192" s="91"/>
      <c r="E192" s="91"/>
      <c r="F192" s="91"/>
      <c r="G192" s="91"/>
      <c r="H192" s="91"/>
      <c r="I192" s="91"/>
      <c r="J192" s="91"/>
      <c r="K192" s="91"/>
      <c r="L192" s="91"/>
      <c r="M192" s="91"/>
      <c r="N192" s="91"/>
      <c r="O192" s="91"/>
      <c r="P192" s="91"/>
      <c r="Q192" s="91"/>
      <c r="R192" s="91"/>
      <c r="S192" s="91"/>
      <c r="T192" s="91"/>
      <c r="U192" s="91"/>
      <c r="V192" s="91"/>
      <c r="W192" s="91"/>
      <c r="X192" s="91"/>
      <c r="Y192" s="91"/>
      <c r="Z192" s="91"/>
      <c r="AA192" s="91"/>
      <c r="AB192" s="91"/>
      <c r="AC192" s="91"/>
    </row>
    <row r="193" spans="1:29" x14ac:dyDescent="0.3">
      <c r="A193" s="91"/>
      <c r="B193" s="91"/>
      <c r="C193" s="91"/>
      <c r="D193" s="91"/>
      <c r="E193" s="91"/>
      <c r="F193" s="91"/>
      <c r="G193" s="91"/>
      <c r="H193" s="91"/>
      <c r="I193" s="91"/>
      <c r="J193" s="91"/>
      <c r="K193" s="91"/>
      <c r="L193" s="91"/>
      <c r="M193" s="91"/>
      <c r="N193" s="91"/>
      <c r="O193" s="91"/>
      <c r="P193" s="91"/>
      <c r="Q193" s="91"/>
      <c r="R193" s="91"/>
      <c r="S193" s="91"/>
      <c r="T193" s="91"/>
      <c r="U193" s="91"/>
      <c r="V193" s="91"/>
      <c r="W193" s="91"/>
      <c r="X193" s="91"/>
      <c r="Y193" s="91"/>
      <c r="Z193" s="91"/>
      <c r="AA193" s="91"/>
      <c r="AB193" s="91"/>
      <c r="AC193" s="91"/>
    </row>
    <row r="194" spans="1:29" x14ac:dyDescent="0.3">
      <c r="A194" s="91"/>
      <c r="B194" s="91"/>
      <c r="C194" s="91"/>
      <c r="D194" s="91"/>
      <c r="E194" s="91"/>
      <c r="F194" s="91"/>
      <c r="G194" s="91"/>
      <c r="H194" s="91"/>
      <c r="I194" s="91"/>
      <c r="J194" s="91"/>
      <c r="K194" s="91"/>
      <c r="L194" s="91"/>
      <c r="M194" s="91"/>
      <c r="N194" s="91"/>
      <c r="O194" s="91"/>
      <c r="P194" s="91"/>
      <c r="Q194" s="91"/>
      <c r="R194" s="91"/>
      <c r="S194" s="91"/>
      <c r="T194" s="91"/>
      <c r="U194" s="91"/>
      <c r="V194" s="91"/>
      <c r="W194" s="91"/>
      <c r="X194" s="91"/>
      <c r="Y194" s="91"/>
      <c r="Z194" s="91"/>
      <c r="AA194" s="91"/>
      <c r="AB194" s="91"/>
      <c r="AC194" s="91"/>
    </row>
    <row r="195" spans="1:29" x14ac:dyDescent="0.3">
      <c r="A195" s="91"/>
      <c r="B195" s="91"/>
      <c r="C195" s="91"/>
      <c r="D195" s="91"/>
      <c r="E195" s="91"/>
      <c r="F195" s="91"/>
      <c r="G195" s="91"/>
      <c r="H195" s="91"/>
      <c r="I195" s="91"/>
      <c r="J195" s="91"/>
      <c r="K195" s="91"/>
      <c r="L195" s="91"/>
      <c r="M195" s="91"/>
      <c r="N195" s="91"/>
      <c r="O195" s="91"/>
      <c r="P195" s="91"/>
      <c r="Q195" s="91"/>
      <c r="R195" s="91"/>
      <c r="S195" s="91"/>
      <c r="T195" s="91"/>
      <c r="U195" s="91"/>
      <c r="V195" s="91"/>
      <c r="W195" s="91"/>
      <c r="X195" s="91"/>
      <c r="Y195" s="91"/>
      <c r="Z195" s="91"/>
      <c r="AA195" s="91"/>
      <c r="AB195" s="91"/>
      <c r="AC195" s="91"/>
    </row>
    <row r="196" spans="1:29" x14ac:dyDescent="0.3">
      <c r="A196" s="91"/>
      <c r="B196" s="91"/>
      <c r="C196" s="91"/>
      <c r="D196" s="91"/>
      <c r="E196" s="91"/>
      <c r="F196" s="91"/>
      <c r="G196" s="91"/>
      <c r="H196" s="91"/>
      <c r="I196" s="91"/>
      <c r="J196" s="91"/>
      <c r="K196" s="91"/>
      <c r="L196" s="91"/>
      <c r="M196" s="91"/>
      <c r="N196" s="91"/>
      <c r="O196" s="91"/>
      <c r="P196" s="91"/>
      <c r="Q196" s="91"/>
      <c r="R196" s="91"/>
      <c r="S196" s="91"/>
      <c r="T196" s="91"/>
      <c r="U196" s="91"/>
      <c r="V196" s="91"/>
      <c r="W196" s="91"/>
      <c r="X196" s="91"/>
      <c r="Y196" s="91"/>
      <c r="Z196" s="91"/>
      <c r="AA196" s="91"/>
      <c r="AB196" s="91"/>
      <c r="AC196" s="91"/>
    </row>
    <row r="197" spans="1:29" x14ac:dyDescent="0.3">
      <c r="A197" s="91"/>
      <c r="B197" s="91"/>
      <c r="C197" s="91"/>
      <c r="D197" s="91"/>
      <c r="E197" s="91"/>
      <c r="F197" s="91"/>
      <c r="G197" s="91"/>
      <c r="H197" s="91"/>
      <c r="I197" s="91"/>
      <c r="J197" s="91"/>
      <c r="K197" s="91"/>
      <c r="L197" s="91"/>
      <c r="M197" s="91"/>
      <c r="N197" s="91"/>
      <c r="O197" s="91"/>
      <c r="P197" s="91"/>
      <c r="Q197" s="91"/>
      <c r="R197" s="91"/>
      <c r="S197" s="91"/>
      <c r="T197" s="91"/>
      <c r="U197" s="91"/>
      <c r="V197" s="91"/>
      <c r="W197" s="91"/>
      <c r="X197" s="91"/>
      <c r="Y197" s="91"/>
      <c r="Z197" s="91"/>
      <c r="AA197" s="91"/>
      <c r="AB197" s="91"/>
      <c r="AC197" s="91"/>
    </row>
    <row r="198" spans="1:29" x14ac:dyDescent="0.3">
      <c r="A198" s="91"/>
      <c r="B198" s="91"/>
      <c r="C198" s="91"/>
      <c r="D198" s="91"/>
      <c r="E198" s="91"/>
      <c r="F198" s="91"/>
      <c r="G198" s="91"/>
      <c r="H198" s="91"/>
      <c r="I198" s="91"/>
      <c r="J198" s="91"/>
      <c r="K198" s="91"/>
      <c r="L198" s="91"/>
      <c r="M198" s="91"/>
      <c r="N198" s="91"/>
      <c r="O198" s="91"/>
      <c r="P198" s="91"/>
      <c r="Q198" s="91"/>
      <c r="R198" s="91"/>
      <c r="S198" s="91"/>
      <c r="T198" s="91"/>
      <c r="U198" s="91"/>
      <c r="V198" s="91"/>
      <c r="W198" s="91"/>
      <c r="X198" s="91"/>
      <c r="Y198" s="91"/>
      <c r="Z198" s="91"/>
      <c r="AA198" s="91"/>
      <c r="AB198" s="91"/>
      <c r="AC198" s="91"/>
    </row>
    <row r="199" spans="1:29" x14ac:dyDescent="0.3">
      <c r="A199" s="91"/>
      <c r="B199" s="91"/>
      <c r="C199" s="91"/>
      <c r="D199" s="91"/>
      <c r="E199" s="91"/>
      <c r="F199" s="91"/>
      <c r="G199" s="91"/>
      <c r="H199" s="91"/>
      <c r="I199" s="91"/>
      <c r="J199" s="91"/>
      <c r="K199" s="91"/>
      <c r="L199" s="91"/>
      <c r="M199" s="91"/>
      <c r="N199" s="91"/>
      <c r="O199" s="91"/>
      <c r="P199" s="91"/>
      <c r="Q199" s="91"/>
      <c r="R199" s="91"/>
      <c r="S199" s="91"/>
      <c r="T199" s="91"/>
      <c r="U199" s="91"/>
      <c r="V199" s="91"/>
      <c r="W199" s="91"/>
      <c r="X199" s="91"/>
      <c r="Y199" s="91"/>
      <c r="Z199" s="91"/>
      <c r="AA199" s="91"/>
      <c r="AB199" s="91"/>
      <c r="AC199" s="91"/>
    </row>
    <row r="200" spans="1:29" x14ac:dyDescent="0.3">
      <c r="A200" s="91"/>
      <c r="B200" s="91"/>
      <c r="C200" s="91"/>
      <c r="D200" s="91"/>
      <c r="E200" s="91"/>
      <c r="F200" s="91"/>
      <c r="G200" s="91"/>
      <c r="H200" s="91"/>
      <c r="I200" s="91"/>
      <c r="J200" s="91"/>
      <c r="K200" s="91"/>
      <c r="L200" s="91"/>
      <c r="M200" s="91"/>
      <c r="N200" s="91"/>
      <c r="O200" s="91"/>
      <c r="P200" s="91"/>
      <c r="Q200" s="91"/>
      <c r="R200" s="91"/>
      <c r="S200" s="91"/>
      <c r="T200" s="91"/>
      <c r="U200" s="91"/>
      <c r="V200" s="91"/>
      <c r="W200" s="91"/>
      <c r="X200" s="91"/>
      <c r="Y200" s="91"/>
      <c r="Z200" s="91"/>
      <c r="AA200" s="91"/>
      <c r="AB200" s="91"/>
      <c r="AC200" s="91"/>
    </row>
    <row r="201" spans="1:29" x14ac:dyDescent="0.3">
      <c r="A201" s="91"/>
      <c r="B201" s="91"/>
      <c r="C201" s="91"/>
      <c r="D201" s="91"/>
      <c r="E201" s="91"/>
      <c r="F201" s="91"/>
      <c r="G201" s="91"/>
      <c r="H201" s="91"/>
      <c r="I201" s="91"/>
      <c r="J201" s="91"/>
      <c r="K201" s="91"/>
      <c r="L201" s="91"/>
      <c r="M201" s="91"/>
      <c r="N201" s="91"/>
      <c r="O201" s="91"/>
      <c r="P201" s="91"/>
      <c r="Q201" s="91"/>
      <c r="R201" s="91"/>
      <c r="S201" s="91"/>
      <c r="T201" s="91"/>
      <c r="U201" s="91"/>
      <c r="V201" s="91"/>
      <c r="W201" s="91"/>
      <c r="X201" s="91"/>
      <c r="Y201" s="91"/>
      <c r="Z201" s="91"/>
      <c r="AA201" s="91"/>
      <c r="AB201" s="91"/>
      <c r="AC201" s="91"/>
    </row>
    <row r="202" spans="1:29" x14ac:dyDescent="0.3">
      <c r="A202" s="91"/>
      <c r="B202" s="91"/>
      <c r="C202" s="91"/>
      <c r="D202" s="91"/>
      <c r="E202" s="91"/>
      <c r="F202" s="91"/>
      <c r="G202" s="91"/>
      <c r="H202" s="91"/>
      <c r="I202" s="91"/>
      <c r="J202" s="91"/>
      <c r="K202" s="91"/>
      <c r="L202" s="91"/>
      <c r="M202" s="91"/>
      <c r="N202" s="91"/>
      <c r="O202" s="91"/>
      <c r="P202" s="91"/>
      <c r="Q202" s="91"/>
      <c r="R202" s="91"/>
      <c r="S202" s="91"/>
      <c r="T202" s="91"/>
      <c r="U202" s="91"/>
      <c r="V202" s="91"/>
      <c r="W202" s="91"/>
      <c r="X202" s="91"/>
      <c r="Y202" s="91"/>
      <c r="Z202" s="91"/>
      <c r="AA202" s="91"/>
      <c r="AB202" s="91"/>
      <c r="AC202" s="91"/>
    </row>
    <row r="203" spans="1:29" x14ac:dyDescent="0.3">
      <c r="A203" s="91"/>
      <c r="B203" s="91"/>
      <c r="C203" s="91"/>
      <c r="D203" s="91"/>
      <c r="E203" s="91"/>
      <c r="F203" s="91"/>
      <c r="G203" s="91"/>
      <c r="H203" s="91"/>
      <c r="I203" s="91"/>
      <c r="J203" s="91"/>
      <c r="K203" s="91"/>
      <c r="L203" s="91"/>
      <c r="M203" s="91"/>
      <c r="N203" s="91"/>
      <c r="O203" s="91"/>
      <c r="P203" s="91"/>
      <c r="Q203" s="91"/>
      <c r="R203" s="91"/>
      <c r="S203" s="91"/>
      <c r="T203" s="91"/>
      <c r="U203" s="91"/>
      <c r="V203" s="91"/>
      <c r="W203" s="91"/>
      <c r="X203" s="91"/>
      <c r="Y203" s="91"/>
      <c r="Z203" s="91"/>
      <c r="AA203" s="91"/>
      <c r="AB203" s="91"/>
      <c r="AC203" s="91"/>
    </row>
    <row r="204" spans="1:29" x14ac:dyDescent="0.3">
      <c r="A204" s="91"/>
      <c r="B204" s="91"/>
      <c r="C204" s="91"/>
      <c r="D204" s="91"/>
      <c r="E204" s="91"/>
      <c r="F204" s="91"/>
      <c r="G204" s="91"/>
      <c r="H204" s="91"/>
      <c r="I204" s="91"/>
      <c r="J204" s="91"/>
      <c r="K204" s="91"/>
      <c r="L204" s="91"/>
      <c r="M204" s="91"/>
      <c r="N204" s="91"/>
      <c r="O204" s="91"/>
      <c r="P204" s="91"/>
      <c r="Q204" s="91"/>
      <c r="R204" s="91"/>
      <c r="S204" s="91"/>
      <c r="T204" s="91"/>
      <c r="U204" s="91"/>
      <c r="V204" s="91"/>
      <c r="W204" s="91"/>
      <c r="X204" s="91"/>
      <c r="Y204" s="91"/>
      <c r="Z204" s="91"/>
      <c r="AA204" s="91"/>
      <c r="AB204" s="91"/>
      <c r="AC204" s="91"/>
    </row>
    <row r="205" spans="1:29" x14ac:dyDescent="0.3">
      <c r="A205" s="91"/>
      <c r="B205" s="91"/>
      <c r="C205" s="91"/>
      <c r="D205" s="91"/>
      <c r="E205" s="91"/>
      <c r="F205" s="91"/>
      <c r="G205" s="91"/>
      <c r="H205" s="91"/>
      <c r="I205" s="91"/>
      <c r="J205" s="91"/>
      <c r="K205" s="91"/>
      <c r="L205" s="91"/>
      <c r="M205" s="91"/>
      <c r="N205" s="91"/>
      <c r="O205" s="91"/>
      <c r="P205" s="91"/>
      <c r="Q205" s="91"/>
      <c r="R205" s="91"/>
      <c r="S205" s="91"/>
      <c r="T205" s="91"/>
      <c r="U205" s="91"/>
      <c r="V205" s="91"/>
      <c r="W205" s="91"/>
      <c r="X205" s="91"/>
      <c r="Y205" s="91"/>
      <c r="Z205" s="91"/>
      <c r="AA205" s="91"/>
      <c r="AB205" s="91"/>
      <c r="AC205" s="91"/>
    </row>
    <row r="206" spans="1:29" x14ac:dyDescent="0.3">
      <c r="A206" s="91"/>
      <c r="B206" s="91"/>
      <c r="C206" s="91"/>
      <c r="D206" s="91"/>
      <c r="E206" s="91"/>
      <c r="F206" s="91"/>
      <c r="G206" s="91"/>
      <c r="H206" s="91"/>
      <c r="I206" s="91"/>
      <c r="J206" s="91"/>
      <c r="K206" s="91"/>
      <c r="L206" s="91"/>
      <c r="M206" s="91"/>
      <c r="N206" s="91"/>
      <c r="O206" s="91"/>
      <c r="P206" s="91"/>
      <c r="Q206" s="91"/>
      <c r="R206" s="91"/>
      <c r="S206" s="91"/>
      <c r="T206" s="91"/>
      <c r="U206" s="91"/>
      <c r="V206" s="91"/>
      <c r="W206" s="91"/>
      <c r="X206" s="91"/>
      <c r="Y206" s="91"/>
      <c r="Z206" s="91"/>
      <c r="AA206" s="91"/>
      <c r="AB206" s="91"/>
      <c r="AC206" s="91"/>
    </row>
    <row r="207" spans="1:29" x14ac:dyDescent="0.3">
      <c r="A207" s="91"/>
      <c r="B207" s="91"/>
      <c r="C207" s="91"/>
      <c r="D207" s="91"/>
      <c r="E207" s="91"/>
      <c r="F207" s="91"/>
      <c r="G207" s="91"/>
      <c r="H207" s="91"/>
      <c r="I207" s="91"/>
      <c r="J207" s="91"/>
      <c r="K207" s="91"/>
      <c r="L207" s="91"/>
      <c r="M207" s="91"/>
      <c r="N207" s="91"/>
      <c r="O207" s="91"/>
      <c r="P207" s="91"/>
      <c r="Q207" s="91"/>
      <c r="R207" s="91"/>
      <c r="S207" s="91"/>
      <c r="T207" s="91"/>
      <c r="U207" s="91"/>
      <c r="V207" s="91"/>
      <c r="W207" s="91"/>
      <c r="X207" s="91"/>
      <c r="Y207" s="91"/>
      <c r="Z207" s="91"/>
      <c r="AA207" s="91"/>
      <c r="AB207" s="91"/>
      <c r="AC207" s="91"/>
    </row>
    <row r="208" spans="1:29" x14ac:dyDescent="0.3">
      <c r="A208" s="91"/>
      <c r="B208" s="91"/>
      <c r="C208" s="91"/>
      <c r="D208" s="91"/>
      <c r="E208" s="91"/>
      <c r="F208" s="91"/>
      <c r="G208" s="91"/>
      <c r="H208" s="91"/>
      <c r="I208" s="91"/>
      <c r="J208" s="91"/>
      <c r="K208" s="91"/>
      <c r="L208" s="91"/>
      <c r="M208" s="91"/>
      <c r="N208" s="91"/>
      <c r="O208" s="91"/>
      <c r="P208" s="91"/>
      <c r="Q208" s="91"/>
      <c r="R208" s="91"/>
      <c r="S208" s="91"/>
      <c r="T208" s="91"/>
      <c r="U208" s="91"/>
      <c r="V208" s="91"/>
      <c r="W208" s="91"/>
      <c r="X208" s="91"/>
      <c r="Y208" s="91"/>
      <c r="Z208" s="91"/>
      <c r="AA208" s="91"/>
      <c r="AB208" s="91"/>
      <c r="AC208" s="91"/>
    </row>
    <row r="209" spans="1:29" x14ac:dyDescent="0.3">
      <c r="A209" s="91"/>
      <c r="B209" s="91"/>
      <c r="C209" s="91"/>
      <c r="D209" s="91"/>
      <c r="E209" s="91"/>
      <c r="F209" s="91"/>
      <c r="G209" s="91"/>
      <c r="H209" s="91"/>
      <c r="I209" s="91"/>
      <c r="J209" s="91"/>
      <c r="K209" s="91"/>
      <c r="L209" s="91"/>
      <c r="M209" s="91"/>
      <c r="N209" s="91"/>
      <c r="O209" s="91"/>
      <c r="P209" s="91"/>
      <c r="Q209" s="91"/>
      <c r="R209" s="91"/>
      <c r="S209" s="91"/>
      <c r="T209" s="91"/>
      <c r="U209" s="91"/>
      <c r="V209" s="91"/>
      <c r="W209" s="91"/>
      <c r="X209" s="91"/>
      <c r="Y209" s="91"/>
      <c r="Z209" s="91"/>
      <c r="AA209" s="91"/>
      <c r="AB209" s="91"/>
      <c r="AC209" s="91"/>
    </row>
    <row r="210" spans="1:29" x14ac:dyDescent="0.3">
      <c r="A210" s="91"/>
      <c r="B210" s="91"/>
      <c r="C210" s="91"/>
      <c r="D210" s="91"/>
      <c r="E210" s="91"/>
      <c r="F210" s="91"/>
      <c r="G210" s="91"/>
      <c r="H210" s="91"/>
      <c r="I210" s="91"/>
      <c r="J210" s="91"/>
      <c r="K210" s="91"/>
      <c r="L210" s="91"/>
      <c r="M210" s="91"/>
      <c r="N210" s="91"/>
      <c r="O210" s="91"/>
      <c r="P210" s="91"/>
      <c r="Q210" s="91"/>
      <c r="R210" s="91"/>
      <c r="S210" s="91"/>
      <c r="T210" s="91"/>
      <c r="U210" s="91"/>
      <c r="V210" s="91"/>
      <c r="W210" s="91"/>
      <c r="X210" s="91"/>
      <c r="Y210" s="91"/>
      <c r="Z210" s="91"/>
      <c r="AA210" s="91"/>
      <c r="AB210" s="91"/>
      <c r="AC210" s="91"/>
    </row>
    <row r="211" spans="1:29" x14ac:dyDescent="0.3">
      <c r="A211" s="91"/>
      <c r="B211" s="91"/>
      <c r="C211" s="91"/>
      <c r="D211" s="91"/>
      <c r="E211" s="91"/>
      <c r="F211" s="91"/>
      <c r="G211" s="91"/>
      <c r="H211" s="91"/>
      <c r="I211" s="91"/>
      <c r="J211" s="91"/>
      <c r="K211" s="91"/>
      <c r="L211" s="91"/>
      <c r="M211" s="91"/>
      <c r="N211" s="91"/>
      <c r="O211" s="91"/>
      <c r="P211" s="91"/>
      <c r="Q211" s="91"/>
      <c r="R211" s="91"/>
      <c r="S211" s="91"/>
      <c r="T211" s="91"/>
      <c r="U211" s="91"/>
      <c r="V211" s="91"/>
      <c r="W211" s="91"/>
      <c r="X211" s="91"/>
      <c r="Y211" s="91"/>
      <c r="Z211" s="91"/>
      <c r="AA211" s="91"/>
      <c r="AB211" s="91"/>
      <c r="AC211" s="91"/>
    </row>
    <row r="212" spans="1:29" x14ac:dyDescent="0.3">
      <c r="A212" s="91"/>
      <c r="B212" s="91"/>
      <c r="C212" s="91"/>
      <c r="D212" s="91"/>
      <c r="E212" s="91"/>
      <c r="F212" s="91"/>
      <c r="G212" s="91"/>
      <c r="H212" s="91"/>
      <c r="I212" s="91"/>
      <c r="J212" s="91"/>
      <c r="K212" s="91"/>
      <c r="L212" s="91"/>
      <c r="M212" s="91"/>
      <c r="N212" s="91"/>
      <c r="O212" s="91"/>
      <c r="P212" s="91"/>
      <c r="Q212" s="91"/>
      <c r="R212" s="91"/>
      <c r="S212" s="91"/>
      <c r="T212" s="91"/>
      <c r="U212" s="91"/>
      <c r="V212" s="91"/>
      <c r="W212" s="91"/>
      <c r="X212" s="91"/>
      <c r="Y212" s="91"/>
      <c r="Z212" s="91"/>
      <c r="AA212" s="91"/>
      <c r="AB212" s="91"/>
      <c r="AC212" s="91"/>
    </row>
    <row r="213" spans="1:29" x14ac:dyDescent="0.3">
      <c r="A213" s="91"/>
      <c r="B213" s="91"/>
      <c r="C213" s="91"/>
      <c r="D213" s="91"/>
      <c r="E213" s="91"/>
      <c r="F213" s="91"/>
      <c r="G213" s="91"/>
      <c r="H213" s="91"/>
      <c r="I213" s="91"/>
      <c r="J213" s="91"/>
      <c r="K213" s="91"/>
      <c r="L213" s="91"/>
      <c r="M213" s="91"/>
      <c r="N213" s="91"/>
      <c r="O213" s="91"/>
      <c r="P213" s="91"/>
      <c r="Q213" s="91"/>
      <c r="R213" s="91"/>
      <c r="S213" s="91"/>
      <c r="T213" s="91"/>
      <c r="U213" s="91"/>
      <c r="V213" s="91"/>
      <c r="W213" s="91"/>
      <c r="X213" s="91"/>
      <c r="Y213" s="91"/>
      <c r="Z213" s="91"/>
      <c r="AA213" s="91"/>
      <c r="AB213" s="91"/>
      <c r="AC213" s="91"/>
    </row>
    <row r="214" spans="1:29" x14ac:dyDescent="0.3">
      <c r="A214" s="91"/>
      <c r="B214" s="91"/>
      <c r="C214" s="91"/>
      <c r="D214" s="91"/>
      <c r="E214" s="91"/>
      <c r="F214" s="91"/>
      <c r="G214" s="91"/>
      <c r="H214" s="91"/>
      <c r="I214" s="91"/>
      <c r="J214" s="91"/>
      <c r="K214" s="91"/>
      <c r="L214" s="91"/>
      <c r="M214" s="91"/>
      <c r="N214" s="91"/>
      <c r="O214" s="91"/>
      <c r="P214" s="91"/>
      <c r="Q214" s="91"/>
      <c r="R214" s="91"/>
      <c r="S214" s="91"/>
      <c r="T214" s="91"/>
      <c r="U214" s="91"/>
      <c r="V214" s="91"/>
      <c r="W214" s="91"/>
      <c r="X214" s="91"/>
      <c r="Y214" s="91"/>
      <c r="Z214" s="91"/>
      <c r="AA214" s="91"/>
      <c r="AB214" s="91"/>
      <c r="AC214" s="91"/>
    </row>
    <row r="215" spans="1:29" x14ac:dyDescent="0.3">
      <c r="A215" s="91"/>
      <c r="B215" s="91"/>
      <c r="C215" s="91"/>
      <c r="D215" s="91"/>
      <c r="E215" s="91"/>
      <c r="F215" s="91"/>
      <c r="G215" s="91"/>
      <c r="H215" s="91"/>
      <c r="I215" s="91"/>
      <c r="J215" s="91"/>
      <c r="K215" s="91"/>
      <c r="L215" s="91"/>
      <c r="M215" s="91"/>
      <c r="N215" s="91"/>
      <c r="O215" s="91"/>
      <c r="P215" s="91"/>
      <c r="Q215" s="91"/>
      <c r="R215" s="91"/>
      <c r="S215" s="91"/>
      <c r="T215" s="91"/>
      <c r="U215" s="91"/>
      <c r="V215" s="91"/>
      <c r="W215" s="91"/>
      <c r="X215" s="91"/>
      <c r="Y215" s="91"/>
      <c r="Z215" s="91"/>
      <c r="AA215" s="91"/>
      <c r="AB215" s="91"/>
      <c r="AC215" s="91"/>
    </row>
    <row r="216" spans="1:29" x14ac:dyDescent="0.3">
      <c r="A216" s="91"/>
      <c r="B216" s="91"/>
      <c r="C216" s="91"/>
      <c r="D216" s="91"/>
      <c r="E216" s="91"/>
      <c r="F216" s="91"/>
      <c r="G216" s="91"/>
      <c r="H216" s="91"/>
      <c r="I216" s="91"/>
      <c r="J216" s="91"/>
      <c r="K216" s="91"/>
      <c r="L216" s="91"/>
      <c r="M216" s="91"/>
      <c r="N216" s="91"/>
      <c r="O216" s="91"/>
      <c r="P216" s="91"/>
      <c r="Q216" s="91"/>
      <c r="R216" s="91"/>
      <c r="S216" s="91"/>
      <c r="T216" s="91"/>
      <c r="U216" s="91"/>
      <c r="V216" s="91"/>
      <c r="W216" s="91"/>
      <c r="X216" s="91"/>
      <c r="Y216" s="91"/>
      <c r="Z216" s="91"/>
      <c r="AA216" s="91"/>
      <c r="AB216" s="91"/>
      <c r="AC216" s="91"/>
    </row>
    <row r="217" spans="1:29" x14ac:dyDescent="0.3">
      <c r="A217" s="91"/>
      <c r="B217" s="91"/>
      <c r="C217" s="91"/>
      <c r="D217" s="91"/>
      <c r="E217" s="91"/>
      <c r="F217" s="91"/>
      <c r="G217" s="91"/>
      <c r="H217" s="91"/>
      <c r="I217" s="91"/>
      <c r="J217" s="91"/>
      <c r="K217" s="91"/>
      <c r="L217" s="91"/>
      <c r="M217" s="91"/>
      <c r="N217" s="91"/>
      <c r="O217" s="91"/>
      <c r="P217" s="91"/>
      <c r="Q217" s="91"/>
      <c r="R217" s="91"/>
      <c r="S217" s="91"/>
      <c r="T217" s="91"/>
      <c r="U217" s="91"/>
      <c r="V217" s="91"/>
      <c r="W217" s="91"/>
      <c r="X217" s="91"/>
      <c r="Y217" s="91"/>
      <c r="Z217" s="91"/>
      <c r="AA217" s="91"/>
      <c r="AB217" s="91"/>
      <c r="AC217" s="91"/>
    </row>
    <row r="218" spans="1:29" x14ac:dyDescent="0.3">
      <c r="A218" s="91"/>
      <c r="B218" s="91"/>
      <c r="C218" s="91"/>
      <c r="D218" s="91"/>
      <c r="E218" s="91"/>
      <c r="F218" s="91"/>
      <c r="G218" s="91"/>
      <c r="H218" s="91"/>
      <c r="I218" s="91"/>
      <c r="J218" s="91"/>
      <c r="K218" s="91"/>
      <c r="L218" s="91"/>
      <c r="M218" s="91"/>
      <c r="N218" s="91"/>
      <c r="O218" s="91"/>
      <c r="P218" s="91"/>
      <c r="Q218" s="91"/>
      <c r="R218" s="91"/>
      <c r="S218" s="91"/>
      <c r="T218" s="91"/>
      <c r="U218" s="91"/>
      <c r="V218" s="91"/>
      <c r="W218" s="91"/>
      <c r="X218" s="91"/>
      <c r="Y218" s="91"/>
      <c r="Z218" s="91"/>
      <c r="AA218" s="91"/>
      <c r="AB218" s="91"/>
      <c r="AC218" s="91"/>
    </row>
    <row r="219" spans="1:29" x14ac:dyDescent="0.3">
      <c r="A219" s="91"/>
      <c r="B219" s="91"/>
      <c r="C219" s="91"/>
      <c r="D219" s="91"/>
      <c r="E219" s="91"/>
      <c r="F219" s="91"/>
      <c r="G219" s="91"/>
      <c r="H219" s="91"/>
      <c r="I219" s="91"/>
      <c r="J219" s="91"/>
      <c r="K219" s="91"/>
      <c r="L219" s="91"/>
      <c r="M219" s="91"/>
      <c r="N219" s="91"/>
      <c r="O219" s="91"/>
      <c r="P219" s="91"/>
      <c r="Q219" s="91"/>
      <c r="R219" s="91"/>
      <c r="S219" s="91"/>
      <c r="T219" s="91"/>
      <c r="U219" s="91"/>
      <c r="V219" s="91"/>
      <c r="W219" s="91"/>
      <c r="X219" s="91"/>
      <c r="Y219" s="91"/>
      <c r="Z219" s="91"/>
      <c r="AA219" s="91"/>
      <c r="AB219" s="91"/>
      <c r="AC219" s="91"/>
    </row>
    <row r="220" spans="1:29" x14ac:dyDescent="0.3">
      <c r="A220" s="91"/>
      <c r="B220" s="91"/>
      <c r="C220" s="91"/>
      <c r="D220" s="91"/>
      <c r="E220" s="91"/>
      <c r="F220" s="91"/>
      <c r="G220" s="91"/>
      <c r="H220" s="91"/>
      <c r="I220" s="91"/>
      <c r="J220" s="91"/>
      <c r="K220" s="91"/>
      <c r="L220" s="91"/>
      <c r="M220" s="91"/>
      <c r="N220" s="91"/>
      <c r="O220" s="91"/>
      <c r="P220" s="91"/>
      <c r="Q220" s="91"/>
      <c r="R220" s="91"/>
      <c r="S220" s="91"/>
      <c r="T220" s="91"/>
      <c r="U220" s="91"/>
      <c r="V220" s="91"/>
      <c r="W220" s="91"/>
      <c r="X220" s="91"/>
      <c r="Y220" s="91"/>
      <c r="Z220" s="91"/>
      <c r="AA220" s="91"/>
      <c r="AB220" s="91"/>
      <c r="AC220" s="91"/>
    </row>
    <row r="221" spans="1:29" x14ac:dyDescent="0.3">
      <c r="A221" s="91"/>
      <c r="B221" s="91"/>
      <c r="C221" s="91"/>
      <c r="D221" s="91"/>
      <c r="E221" s="91"/>
      <c r="F221" s="91"/>
      <c r="G221" s="91"/>
      <c r="H221" s="91"/>
      <c r="I221" s="91"/>
      <c r="J221" s="91"/>
      <c r="K221" s="91"/>
      <c r="L221" s="91"/>
      <c r="M221" s="91"/>
      <c r="N221" s="91"/>
      <c r="O221" s="91"/>
      <c r="P221" s="91"/>
      <c r="Q221" s="91"/>
      <c r="R221" s="91"/>
      <c r="S221" s="91"/>
      <c r="T221" s="91"/>
      <c r="U221" s="91"/>
      <c r="V221" s="91"/>
      <c r="W221" s="91"/>
      <c r="X221" s="91"/>
      <c r="Y221" s="91"/>
      <c r="Z221" s="91"/>
      <c r="AA221" s="91"/>
      <c r="AB221" s="91"/>
      <c r="AC221" s="91"/>
    </row>
    <row r="222" spans="1:29" x14ac:dyDescent="0.3">
      <c r="A222" s="91"/>
      <c r="B222" s="91"/>
      <c r="C222" s="91"/>
      <c r="D222" s="91"/>
      <c r="E222" s="91"/>
      <c r="F222" s="91"/>
      <c r="G222" s="91"/>
      <c r="H222" s="91"/>
      <c r="I222" s="91"/>
      <c r="J222" s="91"/>
      <c r="K222" s="91"/>
      <c r="L222" s="91"/>
      <c r="M222" s="91"/>
      <c r="N222" s="91"/>
      <c r="O222" s="91"/>
      <c r="P222" s="91"/>
      <c r="Q222" s="91"/>
      <c r="R222" s="91"/>
      <c r="S222" s="91"/>
      <c r="T222" s="91"/>
      <c r="U222" s="91"/>
      <c r="V222" s="91"/>
      <c r="W222" s="91"/>
      <c r="X222" s="91"/>
      <c r="Y222" s="91"/>
      <c r="Z222" s="91"/>
      <c r="AA222" s="91"/>
      <c r="AB222" s="91"/>
      <c r="AC222" s="91"/>
    </row>
    <row r="223" spans="1:29" x14ac:dyDescent="0.3">
      <c r="A223" s="91"/>
      <c r="B223" s="91"/>
      <c r="C223" s="91"/>
      <c r="D223" s="91"/>
      <c r="E223" s="91"/>
      <c r="F223" s="91"/>
      <c r="G223" s="91"/>
      <c r="H223" s="91"/>
      <c r="I223" s="91"/>
      <c r="J223" s="91"/>
      <c r="K223" s="91"/>
      <c r="L223" s="91"/>
      <c r="M223" s="91"/>
      <c r="N223" s="91"/>
      <c r="O223" s="91"/>
      <c r="P223" s="91"/>
      <c r="Q223" s="91"/>
      <c r="R223" s="91"/>
      <c r="S223" s="91"/>
      <c r="T223" s="91"/>
      <c r="U223" s="91"/>
      <c r="V223" s="91"/>
      <c r="W223" s="91"/>
      <c r="X223" s="91"/>
      <c r="Y223" s="91"/>
      <c r="Z223" s="91"/>
      <c r="AA223" s="91"/>
      <c r="AB223" s="91"/>
      <c r="AC223" s="91"/>
    </row>
    <row r="224" spans="1:29" x14ac:dyDescent="0.3">
      <c r="A224" s="91"/>
      <c r="B224" s="91"/>
      <c r="C224" s="91"/>
      <c r="D224" s="91"/>
      <c r="E224" s="91"/>
      <c r="F224" s="91"/>
      <c r="G224" s="91"/>
      <c r="H224" s="91"/>
      <c r="I224" s="91"/>
      <c r="J224" s="91"/>
      <c r="K224" s="91"/>
      <c r="L224" s="91"/>
      <c r="M224" s="91"/>
      <c r="N224" s="91"/>
      <c r="O224" s="91"/>
      <c r="P224" s="91"/>
      <c r="Q224" s="91"/>
      <c r="R224" s="91"/>
      <c r="S224" s="91"/>
      <c r="T224" s="91"/>
      <c r="U224" s="91"/>
      <c r="V224" s="91"/>
      <c r="W224" s="91"/>
      <c r="X224" s="91"/>
      <c r="Y224" s="91"/>
      <c r="Z224" s="91"/>
      <c r="AA224" s="91"/>
      <c r="AB224" s="91"/>
      <c r="AC224" s="91"/>
    </row>
    <row r="225" spans="1:29" x14ac:dyDescent="0.3">
      <c r="A225" s="91"/>
      <c r="B225" s="91"/>
      <c r="C225" s="91"/>
      <c r="D225" s="91"/>
      <c r="E225" s="91"/>
      <c r="F225" s="91"/>
      <c r="G225" s="91"/>
      <c r="H225" s="91"/>
      <c r="I225" s="91"/>
      <c r="J225" s="91"/>
      <c r="K225" s="91"/>
      <c r="L225" s="91"/>
      <c r="M225" s="91"/>
      <c r="N225" s="91"/>
      <c r="O225" s="91"/>
      <c r="P225" s="91"/>
      <c r="Q225" s="91"/>
      <c r="R225" s="91"/>
      <c r="S225" s="91"/>
      <c r="T225" s="91"/>
      <c r="U225" s="91"/>
      <c r="V225" s="91"/>
      <c r="W225" s="91"/>
      <c r="X225" s="91"/>
      <c r="Y225" s="91"/>
      <c r="Z225" s="91"/>
      <c r="AA225" s="91"/>
      <c r="AB225" s="91"/>
      <c r="AC225" s="91"/>
    </row>
    <row r="226" spans="1:29" x14ac:dyDescent="0.3">
      <c r="A226" s="91"/>
      <c r="B226" s="91"/>
      <c r="C226" s="91"/>
      <c r="D226" s="91"/>
      <c r="E226" s="91"/>
      <c r="F226" s="91"/>
      <c r="G226" s="91"/>
      <c r="H226" s="91"/>
      <c r="I226" s="91"/>
      <c r="J226" s="91"/>
      <c r="K226" s="91"/>
      <c r="L226" s="91"/>
      <c r="M226" s="91"/>
      <c r="N226" s="91"/>
      <c r="O226" s="91"/>
      <c r="P226" s="91"/>
      <c r="Q226" s="91"/>
      <c r="R226" s="91"/>
      <c r="S226" s="91"/>
      <c r="T226" s="91"/>
      <c r="U226" s="91"/>
      <c r="V226" s="91"/>
      <c r="W226" s="91"/>
      <c r="X226" s="91"/>
      <c r="Y226" s="91"/>
      <c r="Z226" s="91"/>
      <c r="AA226" s="91"/>
      <c r="AB226" s="91"/>
      <c r="AC226" s="91"/>
    </row>
    <row r="227" spans="1:29" x14ac:dyDescent="0.3">
      <c r="A227" s="91"/>
      <c r="B227" s="91"/>
      <c r="C227" s="91"/>
      <c r="D227" s="91"/>
      <c r="E227" s="91"/>
      <c r="F227" s="91"/>
      <c r="G227" s="91"/>
      <c r="H227" s="91"/>
      <c r="I227" s="91"/>
      <c r="J227" s="91"/>
      <c r="K227" s="91"/>
      <c r="L227" s="91"/>
      <c r="M227" s="91"/>
      <c r="N227" s="91"/>
      <c r="O227" s="91"/>
      <c r="P227" s="91"/>
      <c r="Q227" s="91"/>
      <c r="R227" s="91"/>
      <c r="S227" s="91"/>
      <c r="T227" s="91"/>
      <c r="U227" s="91"/>
      <c r="V227" s="91"/>
      <c r="W227" s="91"/>
      <c r="X227" s="91"/>
      <c r="Y227" s="91"/>
      <c r="Z227" s="91"/>
      <c r="AA227" s="91"/>
      <c r="AB227" s="91"/>
      <c r="AC227" s="91"/>
    </row>
    <row r="228" spans="1:29" x14ac:dyDescent="0.3">
      <c r="A228" s="91"/>
      <c r="B228" s="91"/>
      <c r="C228" s="91"/>
      <c r="D228" s="91"/>
      <c r="E228" s="91"/>
      <c r="F228" s="91"/>
      <c r="G228" s="91"/>
      <c r="H228" s="91"/>
      <c r="I228" s="91"/>
      <c r="J228" s="91"/>
      <c r="K228" s="91"/>
      <c r="L228" s="91"/>
      <c r="M228" s="91"/>
      <c r="N228" s="91"/>
      <c r="O228" s="91"/>
      <c r="P228" s="91"/>
      <c r="Q228" s="91"/>
      <c r="R228" s="91"/>
      <c r="S228" s="91"/>
      <c r="T228" s="91"/>
      <c r="U228" s="91"/>
      <c r="V228" s="91"/>
      <c r="W228" s="91"/>
      <c r="X228" s="91"/>
      <c r="Y228" s="91"/>
      <c r="Z228" s="91"/>
      <c r="AA228" s="91"/>
      <c r="AB228" s="91"/>
      <c r="AC228" s="91"/>
    </row>
    <row r="229" spans="1:29" x14ac:dyDescent="0.3">
      <c r="A229" s="91"/>
      <c r="B229" s="91"/>
      <c r="C229" s="91"/>
      <c r="D229" s="91"/>
      <c r="E229" s="91"/>
      <c r="F229" s="91"/>
      <c r="G229" s="91"/>
      <c r="H229" s="91"/>
      <c r="I229" s="91"/>
      <c r="J229" s="91"/>
      <c r="K229" s="91"/>
      <c r="L229" s="91"/>
      <c r="M229" s="91"/>
      <c r="N229" s="91"/>
      <c r="O229" s="91"/>
      <c r="P229" s="91"/>
      <c r="Q229" s="91"/>
      <c r="R229" s="91"/>
      <c r="S229" s="91"/>
      <c r="T229" s="91"/>
      <c r="U229" s="91"/>
      <c r="V229" s="91"/>
      <c r="W229" s="91"/>
      <c r="X229" s="91"/>
      <c r="Y229" s="91"/>
      <c r="Z229" s="91"/>
      <c r="AA229" s="91"/>
      <c r="AB229" s="91"/>
      <c r="AC229" s="91"/>
    </row>
    <row r="230" spans="1:29" x14ac:dyDescent="0.3">
      <c r="A230" s="91"/>
      <c r="B230" s="91"/>
      <c r="C230" s="91"/>
      <c r="D230" s="91"/>
      <c r="E230" s="91"/>
      <c r="F230" s="91"/>
      <c r="G230" s="91"/>
      <c r="H230" s="91"/>
      <c r="I230" s="91"/>
      <c r="J230" s="91"/>
      <c r="K230" s="91"/>
      <c r="L230" s="91"/>
      <c r="M230" s="91"/>
      <c r="N230" s="91"/>
      <c r="O230" s="91"/>
      <c r="P230" s="91"/>
      <c r="Q230" s="91"/>
      <c r="R230" s="91"/>
      <c r="S230" s="91"/>
      <c r="T230" s="91"/>
      <c r="U230" s="91"/>
      <c r="V230" s="91"/>
      <c r="W230" s="91"/>
      <c r="X230" s="91"/>
      <c r="Y230" s="91"/>
      <c r="Z230" s="91"/>
      <c r="AA230" s="91"/>
      <c r="AB230" s="91"/>
      <c r="AC230" s="91"/>
    </row>
    <row r="231" spans="1:29" x14ac:dyDescent="0.3">
      <c r="A231" s="91"/>
      <c r="B231" s="91"/>
      <c r="C231" s="91"/>
      <c r="D231" s="91"/>
      <c r="E231" s="91"/>
      <c r="F231" s="91"/>
      <c r="G231" s="91"/>
      <c r="H231" s="91"/>
      <c r="I231" s="91"/>
      <c r="J231" s="91"/>
      <c r="K231" s="91"/>
      <c r="L231" s="91"/>
      <c r="M231" s="91"/>
      <c r="N231" s="91"/>
      <c r="O231" s="91"/>
      <c r="P231" s="91"/>
      <c r="Q231" s="91"/>
      <c r="R231" s="91"/>
      <c r="S231" s="91"/>
      <c r="T231" s="91"/>
      <c r="U231" s="91"/>
      <c r="V231" s="91"/>
      <c r="W231" s="91"/>
      <c r="X231" s="91"/>
      <c r="Y231" s="91"/>
      <c r="Z231" s="91"/>
      <c r="AA231" s="91"/>
      <c r="AB231" s="91"/>
      <c r="AC231" s="91"/>
    </row>
    <row r="232" spans="1:29" x14ac:dyDescent="0.3">
      <c r="A232" s="91"/>
      <c r="B232" s="91"/>
      <c r="C232" s="91"/>
      <c r="D232" s="91"/>
      <c r="E232" s="91"/>
      <c r="F232" s="91"/>
      <c r="G232" s="91"/>
      <c r="H232" s="91"/>
      <c r="I232" s="91"/>
      <c r="J232" s="91"/>
      <c r="K232" s="91"/>
      <c r="L232" s="91"/>
      <c r="M232" s="91"/>
      <c r="N232" s="91"/>
      <c r="O232" s="91"/>
      <c r="P232" s="91"/>
      <c r="Q232" s="91"/>
      <c r="R232" s="91"/>
      <c r="S232" s="91"/>
      <c r="T232" s="91"/>
      <c r="U232" s="91"/>
      <c r="V232" s="91"/>
      <c r="W232" s="91"/>
      <c r="X232" s="91"/>
      <c r="Y232" s="91"/>
      <c r="Z232" s="91"/>
      <c r="AA232" s="91"/>
      <c r="AB232" s="91"/>
      <c r="AC232" s="91"/>
    </row>
    <row r="233" spans="1:29" x14ac:dyDescent="0.3">
      <c r="A233" s="91"/>
      <c r="B233" s="91"/>
      <c r="C233" s="91"/>
      <c r="D233" s="91"/>
      <c r="E233" s="91"/>
      <c r="F233" s="91"/>
      <c r="G233" s="91"/>
      <c r="H233" s="91"/>
      <c r="I233" s="91"/>
      <c r="J233" s="91"/>
      <c r="K233" s="91"/>
      <c r="L233" s="91"/>
      <c r="M233" s="91"/>
      <c r="N233" s="91"/>
      <c r="O233" s="91"/>
      <c r="P233" s="91"/>
      <c r="Q233" s="91"/>
      <c r="R233" s="91"/>
      <c r="S233" s="91"/>
      <c r="T233" s="91"/>
      <c r="U233" s="91"/>
      <c r="V233" s="91"/>
      <c r="W233" s="91"/>
      <c r="X233" s="91"/>
      <c r="Y233" s="91"/>
      <c r="Z233" s="91"/>
      <c r="AA233" s="91"/>
      <c r="AB233" s="91"/>
      <c r="AC233" s="91"/>
    </row>
    <row r="234" spans="1:29" x14ac:dyDescent="0.3">
      <c r="A234" s="91"/>
      <c r="B234" s="91"/>
      <c r="C234" s="91"/>
      <c r="D234" s="91"/>
      <c r="E234" s="91"/>
      <c r="F234" s="91"/>
      <c r="G234" s="91"/>
      <c r="H234" s="91"/>
      <c r="I234" s="91"/>
      <c r="J234" s="91"/>
      <c r="K234" s="91"/>
      <c r="L234" s="91"/>
      <c r="M234" s="91"/>
      <c r="N234" s="91"/>
      <c r="O234" s="91"/>
      <c r="P234" s="91"/>
      <c r="Q234" s="91"/>
      <c r="R234" s="91"/>
      <c r="S234" s="91"/>
      <c r="T234" s="91"/>
      <c r="U234" s="91"/>
      <c r="V234" s="91"/>
      <c r="W234" s="91"/>
      <c r="X234" s="91"/>
      <c r="Y234" s="91"/>
      <c r="Z234" s="91"/>
      <c r="AA234" s="91"/>
      <c r="AB234" s="91"/>
      <c r="AC234" s="91"/>
    </row>
    <row r="235" spans="1:29" x14ac:dyDescent="0.3">
      <c r="A235" s="91"/>
      <c r="B235" s="91"/>
      <c r="C235" s="91"/>
      <c r="D235" s="91"/>
      <c r="E235" s="91"/>
      <c r="F235" s="91"/>
      <c r="G235" s="91"/>
      <c r="H235" s="91"/>
      <c r="I235" s="91"/>
      <c r="J235" s="91"/>
      <c r="K235" s="91"/>
      <c r="L235" s="91"/>
      <c r="M235" s="91"/>
      <c r="N235" s="91"/>
      <c r="O235" s="91"/>
      <c r="P235" s="91"/>
      <c r="Q235" s="91"/>
      <c r="R235" s="91"/>
      <c r="S235" s="91"/>
      <c r="T235" s="91"/>
      <c r="U235" s="91"/>
      <c r="V235" s="91"/>
      <c r="W235" s="91"/>
      <c r="X235" s="91"/>
      <c r="Y235" s="91"/>
      <c r="Z235" s="91"/>
      <c r="AA235" s="91"/>
      <c r="AB235" s="91"/>
      <c r="AC235" s="91"/>
    </row>
    <row r="236" spans="1:29" x14ac:dyDescent="0.3">
      <c r="A236" s="91"/>
      <c r="B236" s="91"/>
      <c r="C236" s="91"/>
      <c r="D236" s="91"/>
      <c r="E236" s="91"/>
      <c r="F236" s="91"/>
      <c r="G236" s="91"/>
      <c r="H236" s="91"/>
      <c r="I236" s="91"/>
      <c r="J236" s="91"/>
      <c r="K236" s="91"/>
      <c r="L236" s="91"/>
      <c r="M236" s="91"/>
      <c r="N236" s="91"/>
      <c r="O236" s="91"/>
      <c r="P236" s="91"/>
      <c r="Q236" s="91"/>
      <c r="R236" s="91"/>
      <c r="S236" s="91"/>
      <c r="T236" s="91"/>
      <c r="U236" s="91"/>
      <c r="V236" s="91"/>
      <c r="W236" s="91"/>
      <c r="X236" s="91"/>
      <c r="Y236" s="91"/>
      <c r="Z236" s="91"/>
      <c r="AA236" s="91"/>
      <c r="AB236" s="91"/>
      <c r="AC236" s="91"/>
    </row>
    <row r="237" spans="1:29" x14ac:dyDescent="0.3">
      <c r="A237" s="91"/>
      <c r="B237" s="91"/>
      <c r="C237" s="91"/>
      <c r="D237" s="91"/>
      <c r="E237" s="91"/>
      <c r="F237" s="91"/>
      <c r="G237" s="91"/>
      <c r="H237" s="91"/>
      <c r="I237" s="91"/>
      <c r="J237" s="91"/>
      <c r="K237" s="91"/>
      <c r="L237" s="91"/>
      <c r="M237" s="91"/>
      <c r="N237" s="91"/>
      <c r="O237" s="91"/>
      <c r="P237" s="91"/>
      <c r="Q237" s="91"/>
      <c r="R237" s="91"/>
      <c r="S237" s="91"/>
      <c r="T237" s="91"/>
      <c r="U237" s="91"/>
      <c r="V237" s="91"/>
      <c r="W237" s="91"/>
      <c r="X237" s="91"/>
      <c r="Y237" s="91"/>
      <c r="Z237" s="91"/>
      <c r="AA237" s="91"/>
      <c r="AB237" s="91"/>
      <c r="AC237" s="91"/>
    </row>
    <row r="238" spans="1:29" x14ac:dyDescent="0.3">
      <c r="A238" s="91"/>
      <c r="B238" s="91"/>
      <c r="C238" s="91"/>
      <c r="D238" s="91"/>
      <c r="E238" s="91"/>
      <c r="F238" s="91"/>
      <c r="G238" s="91"/>
      <c r="H238" s="91"/>
      <c r="I238" s="91"/>
      <c r="J238" s="91"/>
      <c r="K238" s="91"/>
      <c r="L238" s="91"/>
      <c r="M238" s="91"/>
      <c r="N238" s="91"/>
      <c r="O238" s="91"/>
      <c r="P238" s="91"/>
      <c r="Q238" s="91"/>
      <c r="R238" s="91"/>
      <c r="S238" s="91"/>
      <c r="T238" s="91"/>
      <c r="U238" s="91"/>
      <c r="V238" s="91"/>
      <c r="W238" s="91"/>
      <c r="X238" s="91"/>
      <c r="Y238" s="91"/>
      <c r="Z238" s="91"/>
      <c r="AA238" s="91"/>
      <c r="AB238" s="91"/>
      <c r="AC238" s="91"/>
    </row>
    <row r="239" spans="1:29" x14ac:dyDescent="0.3">
      <c r="A239" s="91"/>
      <c r="B239" s="91"/>
      <c r="C239" s="91"/>
      <c r="D239" s="91"/>
      <c r="E239" s="91"/>
      <c r="F239" s="91"/>
      <c r="G239" s="91"/>
      <c r="H239" s="91"/>
      <c r="I239" s="91"/>
      <c r="J239" s="91"/>
      <c r="K239" s="91"/>
      <c r="L239" s="91"/>
      <c r="M239" s="91"/>
      <c r="N239" s="91"/>
      <c r="O239" s="91"/>
      <c r="P239" s="91"/>
      <c r="Q239" s="91"/>
      <c r="R239" s="91"/>
      <c r="S239" s="91"/>
      <c r="T239" s="91"/>
      <c r="U239" s="91"/>
      <c r="V239" s="91"/>
      <c r="W239" s="91"/>
      <c r="X239" s="91"/>
      <c r="Y239" s="91"/>
      <c r="Z239" s="91"/>
      <c r="AA239" s="91"/>
      <c r="AB239" s="91"/>
      <c r="AC239" s="91"/>
    </row>
    <row r="240" spans="1:29" x14ac:dyDescent="0.3">
      <c r="A240" s="91"/>
      <c r="B240" s="91"/>
      <c r="C240" s="91"/>
      <c r="D240" s="91"/>
      <c r="E240" s="91"/>
      <c r="F240" s="91"/>
      <c r="G240" s="91"/>
      <c r="H240" s="91"/>
      <c r="I240" s="91"/>
      <c r="J240" s="91"/>
      <c r="K240" s="91"/>
      <c r="L240" s="91"/>
      <c r="M240" s="91"/>
      <c r="N240" s="91"/>
      <c r="O240" s="91"/>
      <c r="P240" s="91"/>
      <c r="Q240" s="91"/>
      <c r="R240" s="91"/>
      <c r="S240" s="91"/>
      <c r="T240" s="91"/>
      <c r="U240" s="91"/>
      <c r="V240" s="91"/>
      <c r="W240" s="91"/>
      <c r="X240" s="91"/>
      <c r="Y240" s="91"/>
      <c r="Z240" s="91"/>
      <c r="AA240" s="91"/>
      <c r="AB240" s="91"/>
      <c r="AC240" s="91"/>
    </row>
    <row r="241" spans="1:29" x14ac:dyDescent="0.3">
      <c r="A241" s="91"/>
      <c r="B241" s="91"/>
      <c r="C241" s="91"/>
      <c r="D241" s="91"/>
      <c r="E241" s="91"/>
      <c r="F241" s="91"/>
      <c r="G241" s="91"/>
      <c r="H241" s="91"/>
      <c r="I241" s="91"/>
      <c r="J241" s="91"/>
      <c r="K241" s="91"/>
      <c r="L241" s="91"/>
      <c r="M241" s="91"/>
      <c r="N241" s="91"/>
      <c r="O241" s="91"/>
      <c r="P241" s="91"/>
      <c r="Q241" s="91"/>
      <c r="R241" s="91"/>
      <c r="S241" s="91"/>
      <c r="T241" s="91"/>
      <c r="U241" s="91"/>
      <c r="V241" s="91"/>
      <c r="W241" s="91"/>
      <c r="X241" s="91"/>
      <c r="Y241" s="91"/>
      <c r="Z241" s="91"/>
      <c r="AA241" s="91"/>
      <c r="AB241" s="91"/>
      <c r="AC241" s="91"/>
    </row>
    <row r="242" spans="1:29" x14ac:dyDescent="0.3">
      <c r="A242" s="91"/>
      <c r="B242" s="91"/>
      <c r="C242" s="91"/>
      <c r="D242" s="91"/>
      <c r="E242" s="91"/>
      <c r="F242" s="91"/>
      <c r="G242" s="91"/>
      <c r="H242" s="91"/>
      <c r="I242" s="91"/>
      <c r="J242" s="91"/>
      <c r="K242" s="91"/>
      <c r="L242" s="91"/>
      <c r="M242" s="91"/>
      <c r="N242" s="91"/>
      <c r="O242" s="91"/>
      <c r="P242" s="91"/>
      <c r="Q242" s="91"/>
      <c r="R242" s="91"/>
      <c r="S242" s="91"/>
      <c r="T242" s="91"/>
      <c r="U242" s="91"/>
      <c r="V242" s="91"/>
      <c r="W242" s="91"/>
      <c r="X242" s="91"/>
      <c r="Y242" s="91"/>
      <c r="Z242" s="91"/>
      <c r="AA242" s="91"/>
      <c r="AB242" s="91"/>
      <c r="AC242" s="91"/>
    </row>
    <row r="243" spans="1:29" x14ac:dyDescent="0.3">
      <c r="A243" s="91"/>
      <c r="B243" s="91"/>
      <c r="C243" s="91"/>
      <c r="D243" s="91"/>
      <c r="E243" s="91"/>
      <c r="F243" s="91"/>
      <c r="G243" s="91"/>
      <c r="H243" s="91"/>
      <c r="I243" s="91"/>
      <c r="J243" s="91"/>
      <c r="K243" s="91"/>
      <c r="L243" s="91"/>
      <c r="M243" s="91"/>
      <c r="N243" s="91"/>
      <c r="O243" s="91"/>
      <c r="P243" s="91"/>
      <c r="Q243" s="91"/>
      <c r="R243" s="91"/>
      <c r="S243" s="91"/>
      <c r="T243" s="91"/>
      <c r="U243" s="91"/>
      <c r="V243" s="91"/>
      <c r="W243" s="91"/>
      <c r="X243" s="91"/>
      <c r="Y243" s="91"/>
      <c r="Z243" s="91"/>
      <c r="AA243" s="91"/>
      <c r="AB243" s="91"/>
      <c r="AC243" s="91"/>
    </row>
    <row r="244" spans="1:29" x14ac:dyDescent="0.3">
      <c r="A244" s="91"/>
      <c r="B244" s="91"/>
      <c r="C244" s="91"/>
      <c r="D244" s="91"/>
      <c r="E244" s="91"/>
      <c r="F244" s="91"/>
      <c r="G244" s="91"/>
      <c r="H244" s="91"/>
      <c r="I244" s="91"/>
      <c r="J244" s="91"/>
      <c r="K244" s="91"/>
      <c r="L244" s="91"/>
      <c r="M244" s="91"/>
      <c r="N244" s="91"/>
      <c r="O244" s="91"/>
      <c r="P244" s="91"/>
      <c r="Q244" s="91"/>
      <c r="R244" s="91"/>
      <c r="S244" s="91"/>
      <c r="T244" s="91"/>
      <c r="U244" s="91"/>
      <c r="V244" s="91"/>
      <c r="W244" s="91"/>
      <c r="X244" s="91"/>
      <c r="Y244" s="91"/>
      <c r="Z244" s="91"/>
      <c r="AA244" s="91"/>
      <c r="AB244" s="91"/>
      <c r="AC244" s="91"/>
    </row>
    <row r="245" spans="1:29" x14ac:dyDescent="0.3">
      <c r="A245" s="91"/>
      <c r="B245" s="91"/>
      <c r="C245" s="91"/>
      <c r="D245" s="91"/>
      <c r="E245" s="91"/>
      <c r="F245" s="91"/>
      <c r="G245" s="91"/>
      <c r="H245" s="91"/>
      <c r="I245" s="91"/>
      <c r="J245" s="91"/>
      <c r="K245" s="91"/>
      <c r="L245" s="91"/>
      <c r="M245" s="91"/>
      <c r="N245" s="91"/>
      <c r="O245" s="91"/>
      <c r="P245" s="91"/>
      <c r="Q245" s="91"/>
      <c r="R245" s="91"/>
      <c r="S245" s="91"/>
      <c r="T245" s="91"/>
      <c r="U245" s="91"/>
      <c r="V245" s="91"/>
      <c r="W245" s="91"/>
      <c r="X245" s="91"/>
      <c r="Y245" s="91"/>
      <c r="Z245" s="91"/>
      <c r="AA245" s="91"/>
      <c r="AB245" s="91"/>
      <c r="AC245" s="91"/>
    </row>
    <row r="246" spans="1:29" x14ac:dyDescent="0.3">
      <c r="A246" s="91"/>
      <c r="B246" s="91"/>
      <c r="C246" s="91"/>
      <c r="D246" s="91"/>
      <c r="E246" s="91"/>
      <c r="F246" s="91"/>
      <c r="G246" s="91"/>
      <c r="H246" s="91"/>
      <c r="I246" s="91"/>
      <c r="J246" s="91"/>
      <c r="K246" s="91"/>
      <c r="L246" s="91"/>
      <c r="M246" s="91"/>
      <c r="N246" s="91"/>
      <c r="O246" s="91"/>
      <c r="P246" s="91"/>
      <c r="Q246" s="91"/>
      <c r="R246" s="91"/>
      <c r="S246" s="91"/>
      <c r="T246" s="91"/>
      <c r="U246" s="91"/>
      <c r="V246" s="91"/>
      <c r="W246" s="91"/>
      <c r="X246" s="91"/>
      <c r="Y246" s="91"/>
      <c r="Z246" s="91"/>
      <c r="AA246" s="91"/>
      <c r="AB246" s="91"/>
      <c r="AC246" s="91"/>
    </row>
    <row r="247" spans="1:29" x14ac:dyDescent="0.3">
      <c r="A247" s="91"/>
      <c r="B247" s="91"/>
      <c r="C247" s="91"/>
      <c r="D247" s="91"/>
      <c r="E247" s="91"/>
      <c r="F247" s="91"/>
      <c r="G247" s="91"/>
      <c r="H247" s="91"/>
      <c r="I247" s="91"/>
      <c r="J247" s="91"/>
      <c r="K247" s="91"/>
      <c r="L247" s="91"/>
      <c r="M247" s="91"/>
      <c r="N247" s="91"/>
      <c r="O247" s="91"/>
      <c r="P247" s="91"/>
      <c r="Q247" s="91"/>
      <c r="R247" s="91"/>
      <c r="S247" s="91"/>
      <c r="T247" s="91"/>
      <c r="U247" s="91"/>
      <c r="V247" s="91"/>
      <c r="W247" s="91"/>
      <c r="X247" s="91"/>
      <c r="Y247" s="91"/>
      <c r="Z247" s="91"/>
      <c r="AA247" s="91"/>
      <c r="AB247" s="91"/>
      <c r="AC247" s="91"/>
    </row>
    <row r="248" spans="1:29" x14ac:dyDescent="0.3">
      <c r="A248" s="91"/>
      <c r="B248" s="91"/>
      <c r="C248" s="91"/>
      <c r="D248" s="91"/>
      <c r="E248" s="91"/>
      <c r="F248" s="91"/>
      <c r="G248" s="91"/>
      <c r="H248" s="91"/>
      <c r="I248" s="91"/>
      <c r="J248" s="91"/>
      <c r="K248" s="91"/>
      <c r="L248" s="91"/>
      <c r="M248" s="91"/>
      <c r="N248" s="91"/>
      <c r="O248" s="91"/>
      <c r="P248" s="91"/>
      <c r="Q248" s="91"/>
      <c r="R248" s="91"/>
      <c r="S248" s="91"/>
      <c r="T248" s="91"/>
      <c r="U248" s="91"/>
      <c r="V248" s="91"/>
      <c r="W248" s="91"/>
      <c r="X248" s="91"/>
      <c r="Y248" s="91"/>
      <c r="Z248" s="91"/>
      <c r="AA248" s="91"/>
      <c r="AB248" s="91"/>
      <c r="AC248" s="91"/>
    </row>
    <row r="249" spans="1:29" x14ac:dyDescent="0.3">
      <c r="A249" s="91"/>
      <c r="B249" s="91"/>
      <c r="C249" s="91"/>
      <c r="D249" s="91"/>
      <c r="E249" s="91"/>
      <c r="F249" s="91"/>
      <c r="G249" s="91"/>
      <c r="H249" s="91"/>
      <c r="I249" s="91"/>
      <c r="J249" s="91"/>
      <c r="K249" s="91"/>
      <c r="L249" s="91"/>
      <c r="M249" s="91"/>
      <c r="N249" s="91"/>
      <c r="O249" s="91"/>
      <c r="P249" s="91"/>
      <c r="Q249" s="91"/>
      <c r="R249" s="91"/>
      <c r="S249" s="91"/>
      <c r="T249" s="91"/>
      <c r="U249" s="91"/>
      <c r="V249" s="91"/>
      <c r="W249" s="91"/>
      <c r="X249" s="91"/>
      <c r="Y249" s="91"/>
      <c r="Z249" s="91"/>
      <c r="AA249" s="91"/>
      <c r="AB249" s="91"/>
      <c r="AC249" s="91"/>
    </row>
    <row r="250" spans="1:29" x14ac:dyDescent="0.3">
      <c r="A250" s="91"/>
      <c r="B250" s="91"/>
      <c r="C250" s="91"/>
      <c r="D250" s="91"/>
      <c r="E250" s="91"/>
      <c r="F250" s="91"/>
      <c r="G250" s="91"/>
      <c r="H250" s="91"/>
      <c r="I250" s="91"/>
      <c r="J250" s="91"/>
      <c r="K250" s="91"/>
      <c r="L250" s="91"/>
      <c r="M250" s="91"/>
      <c r="N250" s="91"/>
      <c r="O250" s="91"/>
      <c r="P250" s="91"/>
      <c r="Q250" s="91"/>
      <c r="R250" s="91"/>
      <c r="S250" s="91"/>
      <c r="T250" s="91"/>
      <c r="U250" s="91"/>
      <c r="V250" s="91"/>
      <c r="W250" s="91"/>
      <c r="X250" s="91"/>
      <c r="Y250" s="91"/>
      <c r="Z250" s="91"/>
      <c r="AA250" s="91"/>
      <c r="AB250" s="91"/>
      <c r="AC250" s="91"/>
    </row>
    <row r="251" spans="1:29" x14ac:dyDescent="0.3">
      <c r="A251" s="91"/>
      <c r="B251" s="91"/>
      <c r="H251" s="91"/>
      <c r="I251" s="91"/>
      <c r="J251" s="91"/>
      <c r="K251" s="91"/>
      <c r="L251" s="91"/>
      <c r="M251" s="91"/>
      <c r="N251" s="91"/>
      <c r="O251" s="91"/>
      <c r="P251" s="91"/>
      <c r="Q251" s="91"/>
      <c r="R251" s="91"/>
      <c r="S251" s="91"/>
      <c r="T251" s="91"/>
      <c r="U251" s="91"/>
      <c r="V251" s="91"/>
      <c r="W251" s="91"/>
      <c r="X251" s="91"/>
      <c r="Y251" s="91"/>
      <c r="Z251" s="91"/>
      <c r="AA251" s="91"/>
      <c r="AB251" s="91"/>
      <c r="AC251" s="91"/>
    </row>
    <row r="252" spans="1:29" x14ac:dyDescent="0.3">
      <c r="H252" s="91"/>
      <c r="I252" s="91"/>
      <c r="J252" s="91"/>
      <c r="K252" s="91"/>
      <c r="L252" s="91"/>
      <c r="M252" s="91"/>
      <c r="N252" s="91"/>
      <c r="O252" s="91"/>
      <c r="P252" s="91"/>
      <c r="Q252" s="91"/>
      <c r="R252" s="91"/>
      <c r="S252" s="91"/>
      <c r="T252" s="91"/>
      <c r="U252" s="91"/>
      <c r="V252" s="91"/>
      <c r="W252" s="91"/>
      <c r="X252" s="91"/>
      <c r="Y252" s="91"/>
      <c r="Z252" s="91"/>
      <c r="AA252" s="91"/>
      <c r="AB252" s="91"/>
      <c r="AC252" s="91"/>
    </row>
    <row r="253" spans="1:29" x14ac:dyDescent="0.3">
      <c r="H253" s="91"/>
      <c r="I253" s="91"/>
      <c r="J253" s="91"/>
      <c r="K253" s="91"/>
      <c r="L253" s="91"/>
      <c r="M253" s="91"/>
      <c r="N253" s="91"/>
      <c r="O253" s="91"/>
      <c r="P253" s="91"/>
      <c r="Q253" s="91"/>
      <c r="R253" s="91"/>
      <c r="S253" s="91"/>
      <c r="T253" s="91"/>
      <c r="U253" s="91"/>
      <c r="V253" s="91"/>
      <c r="W253" s="91"/>
      <c r="X253" s="91"/>
      <c r="Y253" s="91"/>
      <c r="Z253" s="91"/>
      <c r="AA253" s="91"/>
      <c r="AB253" s="91"/>
      <c r="AC253" s="91"/>
    </row>
    <row r="254" spans="1:29" x14ac:dyDescent="0.3">
      <c r="H254" s="91"/>
      <c r="I254" s="91"/>
      <c r="J254" s="91"/>
      <c r="K254" s="91"/>
      <c r="L254" s="91"/>
      <c r="M254" s="91"/>
      <c r="N254" s="91"/>
      <c r="O254" s="91"/>
      <c r="P254" s="91"/>
      <c r="Q254" s="91"/>
      <c r="R254" s="91"/>
      <c r="S254" s="91"/>
      <c r="T254" s="91"/>
      <c r="U254" s="91"/>
      <c r="V254" s="91"/>
      <c r="W254" s="91"/>
      <c r="X254" s="91"/>
      <c r="Y254" s="91"/>
      <c r="Z254" s="91"/>
      <c r="AA254" s="91"/>
      <c r="AB254" s="91"/>
      <c r="AC254" s="91"/>
    </row>
    <row r="255" spans="1:29" x14ac:dyDescent="0.3">
      <c r="H255" s="91"/>
      <c r="I255" s="91"/>
      <c r="J255" s="91"/>
      <c r="K255" s="91"/>
      <c r="L255" s="91"/>
      <c r="M255" s="91"/>
      <c r="N255" s="91"/>
      <c r="O255" s="91"/>
      <c r="P255" s="91"/>
      <c r="Q255" s="91"/>
      <c r="R255" s="91"/>
      <c r="S255" s="91"/>
      <c r="T255" s="91"/>
      <c r="U255" s="91"/>
      <c r="V255" s="91"/>
      <c r="W255" s="91"/>
      <c r="X255" s="91"/>
      <c r="Y255" s="91"/>
      <c r="Z255" s="91"/>
      <c r="AA255" s="91"/>
      <c r="AB255" s="91"/>
      <c r="AC255" s="91"/>
    </row>
    <row r="256" spans="1:29" x14ac:dyDescent="0.3">
      <c r="H256" s="91"/>
      <c r="I256" s="91"/>
      <c r="J256" s="91"/>
      <c r="K256" s="91"/>
      <c r="L256" s="91"/>
      <c r="M256" s="91"/>
      <c r="N256" s="91"/>
      <c r="O256" s="91"/>
      <c r="P256" s="91"/>
      <c r="Q256" s="91"/>
      <c r="R256" s="91"/>
      <c r="S256" s="91"/>
      <c r="T256" s="91"/>
      <c r="U256" s="91"/>
      <c r="V256" s="91"/>
      <c r="W256" s="91"/>
      <c r="X256" s="91"/>
      <c r="Y256" s="91"/>
      <c r="Z256" s="91"/>
      <c r="AA256" s="91"/>
      <c r="AB256" s="91"/>
      <c r="AC256" s="91"/>
    </row>
    <row r="257" spans="8:29" x14ac:dyDescent="0.3">
      <c r="H257" s="91"/>
      <c r="I257" s="91"/>
      <c r="J257" s="91"/>
      <c r="K257" s="91"/>
      <c r="L257" s="91"/>
      <c r="M257" s="91"/>
      <c r="N257" s="91"/>
      <c r="O257" s="91"/>
      <c r="P257" s="91"/>
      <c r="Q257" s="91"/>
      <c r="R257" s="91"/>
      <c r="S257" s="91"/>
      <c r="T257" s="91"/>
      <c r="U257" s="91"/>
      <c r="V257" s="91"/>
      <c r="W257" s="91"/>
      <c r="X257" s="91"/>
      <c r="Y257" s="91"/>
      <c r="Z257" s="91"/>
      <c r="AA257" s="91"/>
      <c r="AB257" s="91"/>
      <c r="AC257" s="91"/>
    </row>
    <row r="258" spans="8:29" x14ac:dyDescent="0.3">
      <c r="H258" s="91"/>
      <c r="I258" s="91"/>
      <c r="J258" s="91"/>
      <c r="K258" s="91"/>
      <c r="L258" s="91"/>
      <c r="M258" s="91"/>
      <c r="N258" s="91"/>
      <c r="O258" s="91"/>
      <c r="P258" s="91"/>
      <c r="Q258" s="91"/>
      <c r="R258" s="91"/>
      <c r="S258" s="91"/>
      <c r="T258" s="91"/>
      <c r="U258" s="91"/>
      <c r="V258" s="91"/>
      <c r="W258" s="91"/>
      <c r="X258" s="91"/>
      <c r="Y258" s="91"/>
      <c r="Z258" s="91"/>
      <c r="AA258" s="91"/>
      <c r="AB258" s="91"/>
      <c r="AC258" s="91"/>
    </row>
    <row r="259" spans="8:29" x14ac:dyDescent="0.3">
      <c r="H259" s="91"/>
      <c r="I259" s="91"/>
      <c r="J259" s="91"/>
      <c r="K259" s="91"/>
      <c r="L259" s="91"/>
      <c r="M259" s="91"/>
      <c r="N259" s="91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</row>
    <row r="260" spans="8:29" x14ac:dyDescent="0.3">
      <c r="H260" s="91"/>
      <c r="I260" s="91"/>
      <c r="J260" s="91"/>
      <c r="K260" s="91"/>
      <c r="L260" s="91"/>
      <c r="M260" s="91"/>
      <c r="N260" s="91"/>
      <c r="O260" s="91"/>
      <c r="P260" s="91"/>
      <c r="Q260" s="91"/>
      <c r="R260" s="91"/>
      <c r="S260" s="91"/>
      <c r="T260" s="91"/>
      <c r="U260" s="91"/>
      <c r="V260" s="91"/>
      <c r="W260" s="91"/>
      <c r="X260" s="91"/>
      <c r="Y260" s="91"/>
      <c r="Z260" s="91"/>
      <c r="AA260" s="91"/>
      <c r="AB260" s="91"/>
      <c r="AC260" s="91"/>
    </row>
    <row r="261" spans="8:29" x14ac:dyDescent="0.3">
      <c r="H261" s="91"/>
      <c r="I261" s="91"/>
      <c r="J261" s="91"/>
      <c r="K261" s="91"/>
      <c r="L261" s="91"/>
      <c r="M261" s="91"/>
      <c r="N261" s="91"/>
      <c r="O261" s="91"/>
      <c r="P261" s="91"/>
      <c r="Q261" s="91"/>
      <c r="R261" s="91"/>
      <c r="S261" s="91"/>
      <c r="T261" s="91"/>
      <c r="U261" s="91"/>
      <c r="V261" s="91"/>
      <c r="W261" s="91"/>
      <c r="X261" s="91"/>
      <c r="Y261" s="91"/>
      <c r="Z261" s="91"/>
      <c r="AA261" s="91"/>
      <c r="AB261" s="91"/>
      <c r="AC261" s="91"/>
    </row>
    <row r="262" spans="8:29" x14ac:dyDescent="0.3">
      <c r="H262" s="91"/>
      <c r="I262" s="91"/>
      <c r="J262" s="91"/>
      <c r="K262" s="91"/>
      <c r="L262" s="91"/>
      <c r="M262" s="91"/>
      <c r="N262" s="91"/>
      <c r="O262" s="91"/>
      <c r="P262" s="91"/>
      <c r="Q262" s="91"/>
      <c r="R262" s="91"/>
      <c r="S262" s="91"/>
      <c r="T262" s="91"/>
      <c r="U262" s="91"/>
      <c r="V262" s="91"/>
      <c r="W262" s="91"/>
      <c r="X262" s="91"/>
      <c r="Y262" s="91"/>
      <c r="Z262" s="91"/>
      <c r="AA262" s="91"/>
      <c r="AB262" s="91"/>
      <c r="AC262" s="91"/>
    </row>
    <row r="263" spans="8:29" x14ac:dyDescent="0.3">
      <c r="H263" s="91"/>
      <c r="I263" s="91"/>
      <c r="J263" s="91"/>
      <c r="K263" s="91"/>
      <c r="L263" s="91"/>
      <c r="M263" s="91"/>
      <c r="N263" s="91"/>
      <c r="O263" s="91"/>
      <c r="P263" s="91"/>
      <c r="Q263" s="91"/>
      <c r="R263" s="91"/>
      <c r="S263" s="91"/>
      <c r="T263" s="91"/>
      <c r="U263" s="91"/>
      <c r="V263" s="91"/>
      <c r="W263" s="91"/>
      <c r="X263" s="91"/>
      <c r="Y263" s="91"/>
      <c r="Z263" s="91"/>
      <c r="AA263" s="91"/>
      <c r="AB263" s="91"/>
      <c r="AC263" s="91"/>
    </row>
    <row r="264" spans="8:29" x14ac:dyDescent="0.3">
      <c r="H264" s="91"/>
      <c r="I264" s="91"/>
      <c r="J264" s="91"/>
      <c r="K264" s="91"/>
      <c r="L264" s="91"/>
      <c r="M264" s="91"/>
      <c r="N264" s="91"/>
      <c r="O264" s="91"/>
      <c r="P264" s="91"/>
      <c r="Q264" s="91"/>
      <c r="R264" s="91"/>
      <c r="S264" s="91"/>
      <c r="T264" s="91"/>
      <c r="U264" s="91"/>
      <c r="V264" s="91"/>
      <c r="W264" s="91"/>
      <c r="X264" s="91"/>
      <c r="Y264" s="91"/>
      <c r="Z264" s="91"/>
      <c r="AA264" s="91"/>
      <c r="AB264" s="91"/>
      <c r="AC264" s="91"/>
    </row>
    <row r="265" spans="8:29" x14ac:dyDescent="0.3">
      <c r="H265" s="91"/>
      <c r="I265" s="91"/>
      <c r="J265" s="91"/>
      <c r="K265" s="91"/>
      <c r="L265" s="91"/>
      <c r="M265" s="91"/>
      <c r="N265" s="91"/>
      <c r="O265" s="91"/>
      <c r="P265" s="91"/>
      <c r="Q265" s="91"/>
      <c r="R265" s="91"/>
      <c r="S265" s="91"/>
      <c r="T265" s="91"/>
      <c r="U265" s="91"/>
      <c r="V265" s="91"/>
      <c r="W265" s="91"/>
      <c r="X265" s="91"/>
      <c r="Y265" s="91"/>
      <c r="Z265" s="91"/>
      <c r="AA265" s="91"/>
      <c r="AB265" s="91"/>
      <c r="AC265" s="91"/>
    </row>
    <row r="266" spans="8:29" x14ac:dyDescent="0.3">
      <c r="H266" s="91"/>
      <c r="I266" s="91"/>
      <c r="J266" s="91"/>
      <c r="K266" s="91"/>
      <c r="L266" s="91"/>
      <c r="M266" s="91"/>
      <c r="N266" s="91"/>
      <c r="O266" s="91"/>
      <c r="P266" s="91"/>
      <c r="Q266" s="91"/>
      <c r="R266" s="91"/>
      <c r="S266" s="91"/>
      <c r="T266" s="91"/>
      <c r="U266" s="91"/>
      <c r="V266" s="91"/>
      <c r="W266" s="91"/>
      <c r="X266" s="91"/>
      <c r="Y266" s="91"/>
      <c r="Z266" s="91"/>
      <c r="AA266" s="91"/>
      <c r="AB266" s="91"/>
      <c r="AC266" s="91"/>
    </row>
    <row r="267" spans="8:29" x14ac:dyDescent="0.3">
      <c r="H267" s="91"/>
      <c r="I267" s="91"/>
      <c r="J267" s="91"/>
      <c r="K267" s="91"/>
      <c r="L267" s="91"/>
      <c r="M267" s="91"/>
      <c r="N267" s="91"/>
      <c r="O267" s="91"/>
      <c r="P267" s="91"/>
      <c r="Q267" s="91"/>
      <c r="R267" s="91"/>
      <c r="S267" s="91"/>
      <c r="T267" s="91"/>
      <c r="U267" s="91"/>
      <c r="V267" s="91"/>
      <c r="W267" s="91"/>
      <c r="X267" s="91"/>
      <c r="Y267" s="91"/>
      <c r="Z267" s="91"/>
      <c r="AA267" s="91"/>
      <c r="AB267" s="91"/>
      <c r="AC267" s="91"/>
    </row>
    <row r="268" spans="8:29" x14ac:dyDescent="0.3">
      <c r="H268" s="91"/>
      <c r="I268" s="91"/>
      <c r="J268" s="91"/>
      <c r="K268" s="91"/>
      <c r="L268" s="91"/>
      <c r="M268" s="91"/>
      <c r="N268" s="91"/>
      <c r="O268" s="91"/>
      <c r="P268" s="91"/>
      <c r="Q268" s="91"/>
      <c r="R268" s="91"/>
      <c r="S268" s="91"/>
      <c r="T268" s="91"/>
      <c r="U268" s="91"/>
      <c r="V268" s="91"/>
      <c r="W268" s="91"/>
      <c r="X268" s="91"/>
      <c r="Y268" s="91"/>
      <c r="Z268" s="91"/>
      <c r="AA268" s="91"/>
      <c r="AB268" s="91"/>
      <c r="AC268" s="91"/>
    </row>
    <row r="269" spans="8:29" x14ac:dyDescent="0.3">
      <c r="H269" s="91"/>
      <c r="I269" s="91"/>
      <c r="J269" s="91"/>
      <c r="K269" s="91"/>
      <c r="L269" s="91"/>
      <c r="M269" s="91"/>
      <c r="N269" s="91"/>
      <c r="O269" s="91"/>
      <c r="P269" s="91"/>
      <c r="Q269" s="91"/>
      <c r="R269" s="91"/>
      <c r="S269" s="91"/>
      <c r="T269" s="91"/>
      <c r="U269" s="91"/>
      <c r="V269" s="91"/>
      <c r="W269" s="91"/>
      <c r="X269" s="91"/>
      <c r="Y269" s="91"/>
      <c r="Z269" s="91"/>
      <c r="AA269" s="91"/>
      <c r="AB269" s="91"/>
      <c r="AC269" s="91"/>
    </row>
    <row r="270" spans="8:29" x14ac:dyDescent="0.3">
      <c r="H270" s="91"/>
      <c r="I270" s="91"/>
      <c r="J270" s="91"/>
      <c r="K270" s="91"/>
      <c r="L270" s="91"/>
      <c r="M270" s="91"/>
      <c r="N270" s="91"/>
      <c r="O270" s="91"/>
      <c r="P270" s="91"/>
      <c r="Q270" s="91"/>
      <c r="R270" s="91"/>
      <c r="S270" s="91"/>
      <c r="T270" s="91"/>
      <c r="U270" s="91"/>
      <c r="V270" s="91"/>
      <c r="W270" s="91"/>
      <c r="X270" s="91"/>
      <c r="Y270" s="91"/>
      <c r="Z270" s="91"/>
      <c r="AA270" s="91"/>
      <c r="AB270" s="91"/>
      <c r="AC270" s="91"/>
    </row>
    <row r="271" spans="8:29" x14ac:dyDescent="0.3">
      <c r="H271" s="91"/>
      <c r="I271" s="91"/>
      <c r="J271" s="91"/>
      <c r="K271" s="91"/>
      <c r="L271" s="91"/>
      <c r="M271" s="91"/>
      <c r="N271" s="91"/>
      <c r="O271" s="91"/>
      <c r="P271" s="91"/>
      <c r="Q271" s="91"/>
      <c r="R271" s="91"/>
      <c r="S271" s="91"/>
      <c r="T271" s="91"/>
      <c r="U271" s="91"/>
      <c r="V271" s="91"/>
      <c r="W271" s="91"/>
      <c r="X271" s="91"/>
      <c r="Y271" s="91"/>
      <c r="Z271" s="91"/>
      <c r="AA271" s="91"/>
      <c r="AB271" s="91"/>
      <c r="AC271" s="91"/>
    </row>
    <row r="272" spans="8:29" x14ac:dyDescent="0.3">
      <c r="H272" s="91"/>
      <c r="I272" s="91"/>
      <c r="J272" s="91"/>
      <c r="K272" s="91"/>
      <c r="L272" s="91"/>
      <c r="M272" s="91"/>
      <c r="N272" s="91"/>
      <c r="O272" s="91"/>
      <c r="P272" s="91"/>
      <c r="Q272" s="91"/>
      <c r="R272" s="91"/>
      <c r="S272" s="91"/>
      <c r="T272" s="91"/>
      <c r="U272" s="91"/>
      <c r="V272" s="91"/>
      <c r="W272" s="91"/>
      <c r="X272" s="91"/>
      <c r="Y272" s="91"/>
      <c r="Z272" s="91"/>
      <c r="AA272" s="91"/>
      <c r="AB272" s="91"/>
      <c r="AC272" s="91"/>
    </row>
    <row r="273" spans="8:29" x14ac:dyDescent="0.3">
      <c r="H273" s="91"/>
      <c r="I273" s="91"/>
      <c r="J273" s="91"/>
      <c r="K273" s="91"/>
      <c r="L273" s="91"/>
      <c r="M273" s="91"/>
      <c r="N273" s="91"/>
      <c r="O273" s="91"/>
      <c r="P273" s="91"/>
      <c r="Q273" s="91"/>
      <c r="R273" s="91"/>
      <c r="S273" s="91"/>
      <c r="T273" s="91"/>
      <c r="U273" s="91"/>
      <c r="V273" s="91"/>
      <c r="W273" s="91"/>
      <c r="X273" s="91"/>
      <c r="Y273" s="91"/>
      <c r="Z273" s="91"/>
      <c r="AA273" s="91"/>
      <c r="AB273" s="91"/>
      <c r="AC273" s="91"/>
    </row>
    <row r="274" spans="8:29" x14ac:dyDescent="0.3">
      <c r="H274" s="91"/>
      <c r="I274" s="91"/>
      <c r="J274" s="91"/>
      <c r="K274" s="91"/>
      <c r="L274" s="91"/>
      <c r="M274" s="91"/>
      <c r="N274" s="91"/>
      <c r="O274" s="91"/>
      <c r="P274" s="91"/>
      <c r="Q274" s="91"/>
      <c r="R274" s="91"/>
      <c r="S274" s="91"/>
      <c r="T274" s="91"/>
      <c r="U274" s="91"/>
      <c r="V274" s="91"/>
      <c r="W274" s="91"/>
      <c r="X274" s="91"/>
      <c r="Y274" s="91"/>
      <c r="Z274" s="91"/>
      <c r="AA274" s="91"/>
      <c r="AB274" s="91"/>
      <c r="AC274" s="91"/>
    </row>
    <row r="275" spans="8:29" x14ac:dyDescent="0.3">
      <c r="H275" s="91"/>
      <c r="I275" s="91"/>
      <c r="J275" s="91"/>
      <c r="K275" s="91"/>
      <c r="L275" s="91"/>
      <c r="M275" s="91"/>
      <c r="N275" s="91"/>
      <c r="O275" s="91"/>
      <c r="P275" s="91"/>
      <c r="Q275" s="91"/>
      <c r="R275" s="91"/>
      <c r="S275" s="91"/>
      <c r="T275" s="91"/>
      <c r="U275" s="91"/>
      <c r="V275" s="91"/>
      <c r="W275" s="91"/>
      <c r="X275" s="91"/>
      <c r="Y275" s="91"/>
      <c r="Z275" s="91"/>
      <c r="AA275" s="91"/>
      <c r="AB275" s="91"/>
      <c r="AC275" s="91"/>
    </row>
    <row r="276" spans="8:29" x14ac:dyDescent="0.3">
      <c r="H276" s="91"/>
      <c r="I276" s="91"/>
      <c r="J276" s="91"/>
      <c r="K276" s="91"/>
      <c r="L276" s="91"/>
      <c r="M276" s="91"/>
      <c r="N276" s="91"/>
      <c r="O276" s="91"/>
      <c r="P276" s="91"/>
      <c r="Q276" s="91"/>
      <c r="R276" s="91"/>
      <c r="S276" s="91"/>
      <c r="T276" s="91"/>
      <c r="U276" s="91"/>
      <c r="V276" s="91"/>
      <c r="W276" s="91"/>
      <c r="X276" s="91"/>
      <c r="Y276" s="91"/>
      <c r="Z276" s="91"/>
      <c r="AA276" s="91"/>
      <c r="AB276" s="91"/>
      <c r="AC276" s="91"/>
    </row>
    <row r="277" spans="8:29" x14ac:dyDescent="0.3">
      <c r="H277" s="91"/>
      <c r="I277" s="91"/>
      <c r="J277" s="91"/>
      <c r="K277" s="91"/>
      <c r="L277" s="91"/>
      <c r="M277" s="91"/>
      <c r="N277" s="91"/>
      <c r="O277" s="91"/>
      <c r="P277" s="91"/>
      <c r="Q277" s="91"/>
      <c r="R277" s="91"/>
      <c r="S277" s="91"/>
      <c r="T277" s="91"/>
      <c r="U277" s="91"/>
      <c r="V277" s="91"/>
      <c r="W277" s="91"/>
      <c r="X277" s="91"/>
      <c r="Y277" s="91"/>
      <c r="Z277" s="91"/>
      <c r="AA277" s="91"/>
      <c r="AB277" s="91"/>
      <c r="AC277" s="91"/>
    </row>
    <row r="278" spans="8:29" x14ac:dyDescent="0.3">
      <c r="H278" s="91"/>
      <c r="I278" s="91"/>
      <c r="J278" s="91"/>
      <c r="K278" s="91"/>
      <c r="L278" s="91"/>
      <c r="M278" s="91"/>
      <c r="N278" s="91"/>
      <c r="O278" s="91"/>
      <c r="P278" s="91"/>
      <c r="Q278" s="91"/>
      <c r="R278" s="91"/>
      <c r="S278" s="91"/>
      <c r="T278" s="91"/>
      <c r="U278" s="91"/>
      <c r="V278" s="91"/>
      <c r="W278" s="91"/>
      <c r="X278" s="91"/>
      <c r="Y278" s="91"/>
      <c r="Z278" s="91"/>
      <c r="AA278" s="91"/>
      <c r="AB278" s="91"/>
      <c r="AC278" s="91"/>
    </row>
    <row r="279" spans="8:29" x14ac:dyDescent="0.3">
      <c r="H279" s="91"/>
      <c r="I279" s="91"/>
      <c r="J279" s="91"/>
      <c r="K279" s="91"/>
      <c r="L279" s="91"/>
      <c r="M279" s="91"/>
      <c r="N279" s="91"/>
      <c r="O279" s="91"/>
      <c r="P279" s="91"/>
      <c r="Q279" s="91"/>
      <c r="R279" s="91"/>
      <c r="S279" s="91"/>
      <c r="T279" s="91"/>
      <c r="U279" s="91"/>
      <c r="V279" s="91"/>
      <c r="W279" s="91"/>
      <c r="X279" s="91"/>
      <c r="Y279" s="91"/>
      <c r="Z279" s="91"/>
      <c r="AA279" s="91"/>
      <c r="AB279" s="91"/>
      <c r="AC279" s="91"/>
    </row>
    <row r="280" spans="8:29" x14ac:dyDescent="0.3">
      <c r="H280" s="91"/>
      <c r="I280" s="91"/>
      <c r="J280" s="91"/>
      <c r="K280" s="91"/>
      <c r="L280" s="91"/>
      <c r="M280" s="91"/>
      <c r="N280" s="91"/>
      <c r="O280" s="91"/>
      <c r="P280" s="91"/>
      <c r="Q280" s="91"/>
      <c r="R280" s="91"/>
      <c r="S280" s="91"/>
      <c r="T280" s="91"/>
      <c r="U280" s="91"/>
      <c r="V280" s="91"/>
      <c r="W280" s="91"/>
      <c r="X280" s="91"/>
      <c r="Y280" s="91"/>
      <c r="Z280" s="91"/>
      <c r="AA280" s="91"/>
      <c r="AB280" s="91"/>
      <c r="AC280" s="91"/>
    </row>
    <row r="281" spans="8:29" x14ac:dyDescent="0.3">
      <c r="H281" s="91"/>
      <c r="I281" s="91"/>
      <c r="J281" s="91"/>
      <c r="K281" s="91"/>
      <c r="L281" s="91"/>
      <c r="M281" s="91"/>
      <c r="N281" s="91"/>
      <c r="O281" s="91"/>
      <c r="P281" s="91"/>
      <c r="Q281" s="91"/>
      <c r="R281" s="91"/>
      <c r="S281" s="91"/>
      <c r="T281" s="91"/>
      <c r="U281" s="91"/>
      <c r="V281" s="91"/>
      <c r="W281" s="91"/>
      <c r="X281" s="91"/>
      <c r="Y281" s="91"/>
      <c r="Z281" s="91"/>
      <c r="AA281" s="91"/>
      <c r="AB281" s="91"/>
      <c r="AC281" s="91"/>
    </row>
    <row r="282" spans="8:29" x14ac:dyDescent="0.3">
      <c r="H282" s="91"/>
      <c r="I282" s="91"/>
      <c r="J282" s="91"/>
      <c r="K282" s="91"/>
      <c r="L282" s="91"/>
      <c r="M282" s="91"/>
      <c r="N282" s="91"/>
      <c r="O282" s="91"/>
      <c r="P282" s="91"/>
      <c r="Q282" s="91"/>
      <c r="R282" s="91"/>
      <c r="S282" s="91"/>
      <c r="T282" s="91"/>
      <c r="U282" s="91"/>
      <c r="V282" s="91"/>
      <c r="W282" s="91"/>
      <c r="X282" s="91"/>
      <c r="Y282" s="91"/>
      <c r="Z282" s="91"/>
      <c r="AA282" s="91"/>
      <c r="AB282" s="91"/>
      <c r="AC282" s="91"/>
    </row>
    <row r="283" spans="8:29" x14ac:dyDescent="0.3">
      <c r="H283" s="91"/>
      <c r="I283" s="91"/>
      <c r="J283" s="91"/>
      <c r="K283" s="91"/>
      <c r="L283" s="91"/>
      <c r="M283" s="91"/>
      <c r="N283" s="91"/>
      <c r="O283" s="91"/>
      <c r="P283" s="91"/>
      <c r="Q283" s="91"/>
      <c r="R283" s="91"/>
      <c r="S283" s="91"/>
      <c r="T283" s="91"/>
      <c r="U283" s="91"/>
      <c r="V283" s="91"/>
      <c r="W283" s="91"/>
      <c r="X283" s="91"/>
      <c r="Y283" s="91"/>
      <c r="Z283" s="91"/>
      <c r="AA283" s="91"/>
      <c r="AB283" s="91"/>
      <c r="AC283" s="91"/>
    </row>
    <row r="284" spans="8:29" x14ac:dyDescent="0.3">
      <c r="H284" s="91"/>
      <c r="I284" s="91"/>
      <c r="J284" s="91"/>
      <c r="K284" s="91"/>
      <c r="L284" s="91"/>
      <c r="M284" s="91"/>
      <c r="N284" s="91"/>
      <c r="O284" s="91"/>
      <c r="P284" s="91"/>
      <c r="Q284" s="91"/>
      <c r="R284" s="91"/>
      <c r="S284" s="91"/>
      <c r="T284" s="91"/>
      <c r="U284" s="91"/>
      <c r="V284" s="91"/>
      <c r="W284" s="91"/>
      <c r="X284" s="91"/>
      <c r="Y284" s="91"/>
      <c r="Z284" s="91"/>
      <c r="AA284" s="91"/>
      <c r="AB284" s="91"/>
      <c r="AC284" s="91"/>
    </row>
    <row r="285" spans="8:29" x14ac:dyDescent="0.3">
      <c r="H285" s="91"/>
      <c r="I285" s="91"/>
      <c r="J285" s="91"/>
      <c r="K285" s="91"/>
      <c r="L285" s="91"/>
      <c r="M285" s="91"/>
      <c r="N285" s="91"/>
      <c r="O285" s="91"/>
      <c r="P285" s="91"/>
      <c r="Q285" s="91"/>
      <c r="R285" s="91"/>
      <c r="S285" s="91"/>
      <c r="T285" s="91"/>
      <c r="U285" s="91"/>
      <c r="V285" s="91"/>
      <c r="W285" s="91"/>
      <c r="X285" s="91"/>
      <c r="Y285" s="91"/>
      <c r="Z285" s="91"/>
      <c r="AA285" s="91"/>
      <c r="AB285" s="91"/>
      <c r="AC285" s="91"/>
    </row>
    <row r="286" spans="8:29" x14ac:dyDescent="0.3">
      <c r="H286" s="91"/>
      <c r="I286" s="91"/>
      <c r="J286" s="91"/>
      <c r="K286" s="91"/>
      <c r="L286" s="91"/>
      <c r="M286" s="91"/>
      <c r="N286" s="91"/>
      <c r="O286" s="91"/>
      <c r="P286" s="91"/>
      <c r="Q286" s="91"/>
      <c r="R286" s="91"/>
      <c r="S286" s="91"/>
      <c r="T286" s="91"/>
      <c r="U286" s="91"/>
      <c r="V286" s="91"/>
      <c r="W286" s="91"/>
      <c r="X286" s="91"/>
      <c r="Y286" s="91"/>
      <c r="Z286" s="91"/>
      <c r="AA286" s="91"/>
      <c r="AB286" s="91"/>
      <c r="AC286" s="91"/>
    </row>
    <row r="287" spans="8:29" x14ac:dyDescent="0.3">
      <c r="H287" s="91"/>
      <c r="I287" s="91"/>
      <c r="J287" s="91"/>
      <c r="K287" s="91"/>
      <c r="L287" s="91"/>
      <c r="M287" s="91"/>
      <c r="N287" s="91"/>
      <c r="O287" s="91"/>
      <c r="P287" s="91"/>
      <c r="Q287" s="91"/>
      <c r="R287" s="91"/>
      <c r="S287" s="91"/>
      <c r="T287" s="91"/>
      <c r="U287" s="91"/>
      <c r="V287" s="91"/>
      <c r="W287" s="91"/>
      <c r="X287" s="91"/>
      <c r="Y287" s="91"/>
      <c r="Z287" s="91"/>
      <c r="AA287" s="91"/>
      <c r="AB287" s="91"/>
      <c r="AC287" s="91"/>
    </row>
    <row r="288" spans="8:29" x14ac:dyDescent="0.3">
      <c r="H288" s="91"/>
      <c r="I288" s="91"/>
      <c r="J288" s="91"/>
      <c r="K288" s="91"/>
      <c r="L288" s="91"/>
      <c r="M288" s="91"/>
      <c r="N288" s="91"/>
      <c r="O288" s="91"/>
      <c r="P288" s="91"/>
      <c r="Q288" s="91"/>
      <c r="R288" s="91"/>
      <c r="S288" s="91"/>
      <c r="T288" s="91"/>
      <c r="U288" s="91"/>
      <c r="V288" s="91"/>
      <c r="W288" s="91"/>
      <c r="X288" s="91"/>
      <c r="Y288" s="91"/>
      <c r="Z288" s="91"/>
      <c r="AA288" s="91"/>
      <c r="AB288" s="91"/>
      <c r="AC288" s="91"/>
    </row>
    <row r="289" spans="8:29" x14ac:dyDescent="0.3">
      <c r="H289" s="91"/>
      <c r="I289" s="91"/>
      <c r="J289" s="91"/>
      <c r="K289" s="91"/>
      <c r="L289" s="91"/>
      <c r="M289" s="91"/>
      <c r="N289" s="91"/>
      <c r="O289" s="91"/>
      <c r="P289" s="91"/>
      <c r="Q289" s="91"/>
      <c r="R289" s="91"/>
      <c r="S289" s="91"/>
      <c r="T289" s="91"/>
      <c r="U289" s="91"/>
      <c r="V289" s="91"/>
      <c r="W289" s="91"/>
      <c r="X289" s="91"/>
      <c r="Y289" s="91"/>
      <c r="Z289" s="91"/>
      <c r="AA289" s="91"/>
      <c r="AB289" s="91"/>
      <c r="AC289" s="91"/>
    </row>
    <row r="290" spans="8:29" x14ac:dyDescent="0.3">
      <c r="H290" s="91"/>
      <c r="I290" s="91"/>
      <c r="J290" s="91"/>
      <c r="K290" s="91"/>
      <c r="L290" s="91"/>
      <c r="M290" s="91"/>
      <c r="N290" s="91"/>
      <c r="O290" s="91"/>
      <c r="P290" s="91"/>
      <c r="Q290" s="91"/>
      <c r="R290" s="91"/>
      <c r="S290" s="91"/>
      <c r="T290" s="91"/>
      <c r="U290" s="91"/>
      <c r="V290" s="91"/>
      <c r="W290" s="91"/>
      <c r="X290" s="91"/>
      <c r="Y290" s="91"/>
      <c r="Z290" s="91"/>
      <c r="AA290" s="91"/>
      <c r="AB290" s="91"/>
      <c r="AC290" s="91"/>
    </row>
    <row r="291" spans="8:29" x14ac:dyDescent="0.3">
      <c r="H291" s="91"/>
      <c r="I291" s="91"/>
      <c r="J291" s="91"/>
      <c r="K291" s="91"/>
      <c r="L291" s="91"/>
      <c r="M291" s="91"/>
      <c r="N291" s="91"/>
      <c r="O291" s="91"/>
      <c r="P291" s="91"/>
      <c r="Q291" s="91"/>
      <c r="R291" s="91"/>
      <c r="S291" s="91"/>
      <c r="T291" s="91"/>
      <c r="U291" s="91"/>
      <c r="V291" s="91"/>
      <c r="W291" s="91"/>
      <c r="X291" s="91"/>
      <c r="Y291" s="91"/>
      <c r="Z291" s="91"/>
      <c r="AA291" s="91"/>
      <c r="AB291" s="91"/>
      <c r="AC291" s="91"/>
    </row>
    <row r="292" spans="8:29" x14ac:dyDescent="0.3">
      <c r="H292" s="91"/>
      <c r="I292" s="91"/>
      <c r="J292" s="91"/>
      <c r="K292" s="91"/>
      <c r="L292" s="91"/>
      <c r="M292" s="91"/>
      <c r="N292" s="91"/>
      <c r="O292" s="91"/>
      <c r="P292" s="91"/>
      <c r="Q292" s="91"/>
      <c r="R292" s="91"/>
      <c r="S292" s="91"/>
      <c r="T292" s="91"/>
      <c r="U292" s="91"/>
      <c r="V292" s="91"/>
      <c r="W292" s="91"/>
      <c r="X292" s="91"/>
      <c r="Y292" s="91"/>
      <c r="Z292" s="91"/>
      <c r="AA292" s="91"/>
      <c r="AB292" s="91"/>
      <c r="AC292" s="91"/>
    </row>
    <row r="293" spans="8:29" x14ac:dyDescent="0.3">
      <c r="H293" s="91"/>
      <c r="I293" s="91"/>
      <c r="J293" s="91"/>
      <c r="K293" s="91"/>
      <c r="L293" s="91"/>
      <c r="M293" s="91"/>
      <c r="N293" s="91"/>
      <c r="O293" s="91"/>
      <c r="P293" s="91"/>
      <c r="Q293" s="91"/>
      <c r="R293" s="91"/>
      <c r="S293" s="91"/>
      <c r="T293" s="91"/>
      <c r="U293" s="91"/>
      <c r="V293" s="91"/>
      <c r="W293" s="91"/>
      <c r="X293" s="91"/>
      <c r="Y293" s="91"/>
      <c r="Z293" s="91"/>
      <c r="AA293" s="91"/>
      <c r="AB293" s="91"/>
      <c r="AC293" s="91"/>
    </row>
    <row r="294" spans="8:29" x14ac:dyDescent="0.3">
      <c r="H294" s="91"/>
      <c r="I294" s="91"/>
      <c r="J294" s="91"/>
      <c r="K294" s="91"/>
      <c r="L294" s="91"/>
      <c r="M294" s="91"/>
      <c r="N294" s="91"/>
      <c r="O294" s="91"/>
      <c r="P294" s="91"/>
      <c r="Q294" s="91"/>
      <c r="R294" s="91"/>
      <c r="S294" s="91"/>
      <c r="T294" s="91"/>
      <c r="U294" s="91"/>
      <c r="V294" s="91"/>
      <c r="W294" s="91"/>
      <c r="X294" s="91"/>
      <c r="Y294" s="91"/>
      <c r="Z294" s="91"/>
      <c r="AA294" s="91"/>
      <c r="AB294" s="91"/>
      <c r="AC294" s="91"/>
    </row>
    <row r="295" spans="8:29" x14ac:dyDescent="0.3">
      <c r="H295" s="91"/>
      <c r="I295" s="91"/>
      <c r="J295" s="91"/>
      <c r="K295" s="91"/>
      <c r="L295" s="91"/>
      <c r="M295" s="91"/>
      <c r="N295" s="91"/>
      <c r="O295" s="91"/>
      <c r="P295" s="91"/>
      <c r="Q295" s="91"/>
      <c r="R295" s="91"/>
      <c r="S295" s="91"/>
      <c r="T295" s="91"/>
      <c r="U295" s="91"/>
      <c r="V295" s="91"/>
      <c r="W295" s="91"/>
      <c r="X295" s="91"/>
      <c r="Y295" s="91"/>
      <c r="Z295" s="91"/>
      <c r="AA295" s="91"/>
      <c r="AB295" s="91"/>
      <c r="AC295" s="91"/>
    </row>
    <row r="296" spans="8:29" x14ac:dyDescent="0.3">
      <c r="H296" s="91"/>
      <c r="I296" s="91"/>
      <c r="J296" s="91"/>
      <c r="K296" s="91"/>
      <c r="L296" s="91"/>
      <c r="M296" s="91"/>
      <c r="N296" s="91"/>
      <c r="O296" s="91"/>
      <c r="P296" s="91"/>
      <c r="Q296" s="91"/>
      <c r="R296" s="91"/>
      <c r="S296" s="91"/>
      <c r="T296" s="91"/>
      <c r="U296" s="91"/>
      <c r="V296" s="91"/>
      <c r="W296" s="91"/>
      <c r="X296" s="91"/>
      <c r="Y296" s="91"/>
      <c r="Z296" s="91"/>
      <c r="AA296" s="91"/>
      <c r="AB296" s="91"/>
      <c r="AC296" s="91"/>
    </row>
    <row r="297" spans="8:29" x14ac:dyDescent="0.3">
      <c r="H297" s="91"/>
      <c r="I297" s="91"/>
      <c r="J297" s="91"/>
      <c r="K297" s="91"/>
      <c r="L297" s="91"/>
      <c r="M297" s="91"/>
      <c r="N297" s="91"/>
      <c r="O297" s="91"/>
      <c r="P297" s="91"/>
      <c r="Q297" s="91"/>
      <c r="R297" s="91"/>
      <c r="S297" s="91"/>
      <c r="T297" s="91"/>
      <c r="U297" s="91"/>
      <c r="V297" s="91"/>
      <c r="W297" s="91"/>
      <c r="X297" s="91"/>
      <c r="Y297" s="91"/>
      <c r="Z297" s="91"/>
      <c r="AA297" s="91"/>
      <c r="AB297" s="91"/>
      <c r="AC297" s="91"/>
    </row>
    <row r="298" spans="8:29" x14ac:dyDescent="0.3">
      <c r="H298" s="91"/>
      <c r="I298" s="91"/>
      <c r="J298" s="91"/>
      <c r="K298" s="91"/>
      <c r="L298" s="91"/>
      <c r="M298" s="91"/>
      <c r="N298" s="91"/>
      <c r="O298" s="91"/>
      <c r="P298" s="91"/>
      <c r="Q298" s="91"/>
      <c r="R298" s="91"/>
      <c r="S298" s="91"/>
      <c r="T298" s="91"/>
      <c r="U298" s="91"/>
      <c r="V298" s="91"/>
      <c r="W298" s="91"/>
      <c r="X298" s="91"/>
      <c r="Y298" s="91"/>
      <c r="Z298" s="91"/>
      <c r="AA298" s="91"/>
      <c r="AB298" s="91"/>
      <c r="AC298" s="91"/>
    </row>
    <row r="299" spans="8:29" x14ac:dyDescent="0.3">
      <c r="H299" s="91"/>
      <c r="I299" s="91"/>
      <c r="J299" s="91"/>
      <c r="K299" s="91"/>
      <c r="L299" s="91"/>
      <c r="M299" s="91"/>
      <c r="N299" s="91"/>
      <c r="O299" s="91"/>
      <c r="P299" s="91"/>
      <c r="Q299" s="91"/>
      <c r="R299" s="91"/>
      <c r="S299" s="91"/>
      <c r="T299" s="91"/>
      <c r="U299" s="91"/>
      <c r="V299" s="91"/>
      <c r="W299" s="91"/>
      <c r="X299" s="91"/>
      <c r="Y299" s="91"/>
      <c r="Z299" s="91"/>
      <c r="AA299" s="91"/>
      <c r="AB299" s="91"/>
      <c r="AC299" s="91"/>
    </row>
    <row r="300" spans="8:29" x14ac:dyDescent="0.3">
      <c r="H300" s="91"/>
      <c r="I300" s="91"/>
      <c r="J300" s="91"/>
      <c r="K300" s="91"/>
      <c r="L300" s="91"/>
      <c r="M300" s="91"/>
      <c r="N300" s="91"/>
      <c r="O300" s="91"/>
      <c r="P300" s="91"/>
      <c r="Q300" s="91"/>
      <c r="R300" s="91"/>
      <c r="S300" s="91"/>
      <c r="T300" s="91"/>
      <c r="U300" s="91"/>
      <c r="V300" s="91"/>
      <c r="W300" s="91"/>
      <c r="X300" s="91"/>
      <c r="Y300" s="91"/>
      <c r="Z300" s="91"/>
      <c r="AA300" s="91"/>
      <c r="AB300" s="91"/>
      <c r="AC300" s="91"/>
    </row>
    <row r="301" spans="8:29" x14ac:dyDescent="0.3">
      <c r="H301" s="91"/>
      <c r="I301" s="91"/>
      <c r="J301" s="91"/>
      <c r="K301" s="91"/>
      <c r="L301" s="91"/>
      <c r="M301" s="91"/>
      <c r="N301" s="91"/>
      <c r="O301" s="91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</row>
    <row r="302" spans="8:29" x14ac:dyDescent="0.3">
      <c r="H302" s="91"/>
      <c r="I302" s="91"/>
      <c r="J302" s="91"/>
      <c r="K302" s="91"/>
      <c r="L302" s="91"/>
      <c r="M302" s="91"/>
      <c r="N302" s="91"/>
      <c r="O302" s="91"/>
      <c r="P302" s="91"/>
      <c r="Q302" s="91"/>
      <c r="R302" s="91"/>
      <c r="S302" s="91"/>
      <c r="T302" s="91"/>
      <c r="U302" s="91"/>
      <c r="V302" s="91"/>
      <c r="W302" s="91"/>
      <c r="X302" s="91"/>
      <c r="Y302" s="91"/>
      <c r="Z302" s="91"/>
      <c r="AA302" s="91"/>
      <c r="AB302" s="91"/>
      <c r="AC302" s="91"/>
    </row>
    <row r="303" spans="8:29" x14ac:dyDescent="0.3">
      <c r="H303" s="91"/>
      <c r="I303" s="91"/>
      <c r="J303" s="91"/>
      <c r="K303" s="91"/>
      <c r="L303" s="91"/>
      <c r="M303" s="91"/>
      <c r="N303" s="91"/>
      <c r="O303" s="91"/>
      <c r="P303" s="91"/>
      <c r="Q303" s="91"/>
      <c r="R303" s="91"/>
      <c r="S303" s="91"/>
      <c r="T303" s="91"/>
      <c r="U303" s="91"/>
      <c r="V303" s="91"/>
      <c r="W303" s="91"/>
      <c r="X303" s="91"/>
      <c r="Y303" s="91"/>
      <c r="Z303" s="91"/>
      <c r="AA303" s="91"/>
      <c r="AB303" s="91"/>
      <c r="AC303" s="91"/>
    </row>
    <row r="304" spans="8:29" x14ac:dyDescent="0.3">
      <c r="H304" s="91"/>
      <c r="I304" s="91"/>
      <c r="J304" s="91"/>
      <c r="K304" s="91"/>
      <c r="L304" s="91"/>
      <c r="M304" s="91"/>
      <c r="N304" s="91"/>
      <c r="O304" s="91"/>
      <c r="P304" s="91"/>
      <c r="Q304" s="91"/>
      <c r="R304" s="91"/>
      <c r="S304" s="91"/>
      <c r="T304" s="91"/>
      <c r="U304" s="91"/>
      <c r="V304" s="91"/>
      <c r="W304" s="91"/>
      <c r="X304" s="91"/>
      <c r="Y304" s="91"/>
      <c r="Z304" s="91"/>
      <c r="AA304" s="91"/>
      <c r="AB304" s="91"/>
      <c r="AC304" s="91"/>
    </row>
    <row r="305" spans="8:29" x14ac:dyDescent="0.3">
      <c r="H305" s="91"/>
      <c r="I305" s="91"/>
      <c r="J305" s="91"/>
      <c r="K305" s="91"/>
      <c r="L305" s="91"/>
      <c r="M305" s="91"/>
      <c r="N305" s="91"/>
      <c r="O305" s="91"/>
      <c r="P305" s="91"/>
      <c r="Q305" s="91"/>
      <c r="R305" s="91"/>
      <c r="S305" s="91"/>
      <c r="T305" s="91"/>
      <c r="U305" s="91"/>
      <c r="V305" s="91"/>
      <c r="W305" s="91"/>
      <c r="X305" s="91"/>
      <c r="Y305" s="91"/>
      <c r="Z305" s="91"/>
      <c r="AA305" s="91"/>
      <c r="AB305" s="91"/>
      <c r="AC305" s="91"/>
    </row>
    <row r="306" spans="8:29" x14ac:dyDescent="0.3">
      <c r="H306" s="91"/>
      <c r="I306" s="91"/>
      <c r="J306" s="91"/>
      <c r="K306" s="91"/>
      <c r="L306" s="91"/>
      <c r="M306" s="91"/>
      <c r="N306" s="91"/>
      <c r="O306" s="91"/>
      <c r="P306" s="91"/>
      <c r="Q306" s="91"/>
      <c r="R306" s="91"/>
      <c r="S306" s="91"/>
      <c r="T306" s="91"/>
      <c r="U306" s="91"/>
      <c r="V306" s="91"/>
      <c r="W306" s="91"/>
      <c r="X306" s="91"/>
      <c r="Y306" s="91"/>
      <c r="Z306" s="91"/>
      <c r="AA306" s="91"/>
      <c r="AB306" s="91"/>
      <c r="AC306" s="91"/>
    </row>
    <row r="307" spans="8:29" x14ac:dyDescent="0.3">
      <c r="H307" s="91"/>
      <c r="I307" s="91"/>
      <c r="J307" s="91"/>
      <c r="K307" s="91"/>
      <c r="L307" s="91"/>
      <c r="M307" s="91"/>
      <c r="N307" s="91"/>
      <c r="O307" s="91"/>
      <c r="P307" s="91"/>
      <c r="Q307" s="91"/>
      <c r="R307" s="91"/>
      <c r="S307" s="91"/>
      <c r="T307" s="91"/>
      <c r="U307" s="91"/>
      <c r="V307" s="91"/>
      <c r="W307" s="91"/>
      <c r="X307" s="91"/>
      <c r="Y307" s="91"/>
      <c r="Z307" s="91"/>
      <c r="AA307" s="91"/>
      <c r="AB307" s="91"/>
      <c r="AC307" s="91"/>
    </row>
    <row r="308" spans="8:29" x14ac:dyDescent="0.3">
      <c r="H308" s="91"/>
      <c r="I308" s="91"/>
      <c r="J308" s="91"/>
      <c r="K308" s="91"/>
      <c r="L308" s="91"/>
      <c r="M308" s="91"/>
      <c r="N308" s="91"/>
      <c r="O308" s="91"/>
      <c r="P308" s="91"/>
      <c r="Q308" s="91"/>
      <c r="R308" s="91"/>
      <c r="S308" s="91"/>
      <c r="T308" s="91"/>
      <c r="U308" s="91"/>
      <c r="V308" s="91"/>
      <c r="W308" s="91"/>
      <c r="X308" s="91"/>
      <c r="Y308" s="91"/>
      <c r="Z308" s="91"/>
      <c r="AA308" s="91"/>
      <c r="AB308" s="91"/>
      <c r="AC308" s="91"/>
    </row>
    <row r="309" spans="8:29" x14ac:dyDescent="0.3">
      <c r="H309" s="91"/>
      <c r="I309" s="91"/>
      <c r="J309" s="91"/>
      <c r="K309" s="91"/>
      <c r="L309" s="91"/>
      <c r="M309" s="91"/>
      <c r="N309" s="91"/>
      <c r="O309" s="91"/>
      <c r="P309" s="91"/>
      <c r="Q309" s="91"/>
      <c r="R309" s="91"/>
      <c r="S309" s="91"/>
      <c r="T309" s="91"/>
      <c r="U309" s="91"/>
      <c r="V309" s="91"/>
      <c r="W309" s="91"/>
      <c r="X309" s="91"/>
      <c r="Y309" s="91"/>
      <c r="Z309" s="91"/>
      <c r="AA309" s="91"/>
      <c r="AB309" s="91"/>
      <c r="AC309" s="91"/>
    </row>
    <row r="310" spans="8:29" x14ac:dyDescent="0.3">
      <c r="H310" s="91"/>
      <c r="I310" s="91"/>
      <c r="J310" s="91"/>
      <c r="K310" s="91"/>
      <c r="L310" s="91"/>
      <c r="M310" s="91"/>
      <c r="N310" s="91"/>
      <c r="O310" s="91"/>
      <c r="P310" s="91"/>
      <c r="Q310" s="91"/>
      <c r="R310" s="91"/>
      <c r="S310" s="91"/>
      <c r="T310" s="91"/>
      <c r="U310" s="91"/>
      <c r="V310" s="91"/>
      <c r="W310" s="91"/>
      <c r="X310" s="91"/>
      <c r="Y310" s="91"/>
      <c r="Z310" s="91"/>
      <c r="AA310" s="91"/>
      <c r="AB310" s="91"/>
      <c r="AC310" s="91"/>
    </row>
    <row r="311" spans="8:29" x14ac:dyDescent="0.3">
      <c r="H311" s="91"/>
      <c r="I311" s="91"/>
      <c r="J311" s="91"/>
      <c r="K311" s="91"/>
      <c r="L311" s="91"/>
      <c r="M311" s="91"/>
      <c r="N311" s="91"/>
      <c r="O311" s="91"/>
      <c r="P311" s="91"/>
      <c r="Q311" s="91"/>
      <c r="R311" s="91"/>
      <c r="S311" s="91"/>
      <c r="T311" s="91"/>
      <c r="U311" s="91"/>
      <c r="V311" s="91"/>
      <c r="W311" s="91"/>
      <c r="X311" s="91"/>
      <c r="Y311" s="91"/>
      <c r="Z311" s="91"/>
      <c r="AA311" s="91"/>
      <c r="AB311" s="91"/>
      <c r="AC311" s="91"/>
    </row>
    <row r="312" spans="8:29" x14ac:dyDescent="0.3">
      <c r="H312" s="91"/>
      <c r="I312" s="91"/>
      <c r="J312" s="91"/>
      <c r="K312" s="91"/>
      <c r="L312" s="91"/>
      <c r="M312" s="91"/>
      <c r="N312" s="91"/>
      <c r="O312" s="91"/>
      <c r="P312" s="91"/>
      <c r="Q312" s="91"/>
      <c r="R312" s="91"/>
      <c r="S312" s="91"/>
      <c r="T312" s="91"/>
      <c r="U312" s="91"/>
      <c r="V312" s="91"/>
      <c r="W312" s="91"/>
      <c r="X312" s="91"/>
      <c r="Y312" s="91"/>
      <c r="Z312" s="91"/>
      <c r="AA312" s="91"/>
      <c r="AB312" s="91"/>
      <c r="AC312" s="91"/>
    </row>
    <row r="313" spans="8:29" x14ac:dyDescent="0.3">
      <c r="H313" s="91"/>
      <c r="I313" s="91"/>
      <c r="J313" s="91"/>
      <c r="K313" s="91"/>
      <c r="L313" s="91"/>
      <c r="M313" s="91"/>
      <c r="N313" s="91"/>
      <c r="O313" s="91"/>
      <c r="P313" s="91"/>
      <c r="Q313" s="91"/>
      <c r="R313" s="91"/>
      <c r="S313" s="91"/>
      <c r="T313" s="91"/>
      <c r="U313" s="91"/>
      <c r="V313" s="91"/>
      <c r="W313" s="91"/>
      <c r="X313" s="91"/>
      <c r="Y313" s="91"/>
      <c r="Z313" s="91"/>
      <c r="AA313" s="91"/>
      <c r="AB313" s="91"/>
      <c r="AC313" s="91"/>
    </row>
    <row r="314" spans="8:29" x14ac:dyDescent="0.3">
      <c r="H314" s="91"/>
      <c r="I314" s="91"/>
      <c r="J314" s="91"/>
      <c r="K314" s="91"/>
      <c r="L314" s="91"/>
      <c r="M314" s="91"/>
      <c r="N314" s="91"/>
      <c r="O314" s="91"/>
      <c r="P314" s="91"/>
      <c r="Q314" s="91"/>
      <c r="R314" s="91"/>
      <c r="S314" s="91"/>
      <c r="T314" s="91"/>
      <c r="U314" s="91"/>
      <c r="V314" s="91"/>
      <c r="W314" s="91"/>
      <c r="X314" s="91"/>
      <c r="Y314" s="91"/>
      <c r="Z314" s="91"/>
      <c r="AA314" s="91"/>
      <c r="AB314" s="91"/>
      <c r="AC314" s="91"/>
    </row>
    <row r="315" spans="8:29" x14ac:dyDescent="0.3">
      <c r="H315" s="91"/>
      <c r="I315" s="91"/>
      <c r="J315" s="91"/>
      <c r="K315" s="91"/>
      <c r="L315" s="91"/>
      <c r="M315" s="91"/>
      <c r="N315" s="91"/>
      <c r="O315" s="91"/>
      <c r="P315" s="91"/>
      <c r="Q315" s="91"/>
      <c r="R315" s="91"/>
      <c r="S315" s="91"/>
      <c r="T315" s="91"/>
      <c r="U315" s="91"/>
      <c r="V315" s="91"/>
      <c r="W315" s="91"/>
      <c r="X315" s="91"/>
      <c r="Y315" s="91"/>
      <c r="Z315" s="91"/>
      <c r="AA315" s="91"/>
      <c r="AB315" s="91"/>
      <c r="AC315" s="91"/>
    </row>
    <row r="316" spans="8:29" x14ac:dyDescent="0.3">
      <c r="H316" s="91"/>
      <c r="I316" s="91"/>
      <c r="J316" s="91"/>
      <c r="K316" s="91"/>
      <c r="L316" s="91"/>
      <c r="M316" s="91"/>
      <c r="N316" s="91"/>
      <c r="O316" s="91"/>
      <c r="P316" s="91"/>
      <c r="Q316" s="91"/>
      <c r="R316" s="91"/>
      <c r="S316" s="91"/>
      <c r="T316" s="91"/>
      <c r="U316" s="91"/>
      <c r="V316" s="91"/>
      <c r="W316" s="91"/>
      <c r="X316" s="91"/>
      <c r="Y316" s="91"/>
      <c r="Z316" s="91"/>
      <c r="AA316" s="91"/>
      <c r="AB316" s="91"/>
      <c r="AC316" s="91"/>
    </row>
    <row r="317" spans="8:29" x14ac:dyDescent="0.3">
      <c r="H317" s="91"/>
      <c r="I317" s="91"/>
      <c r="J317" s="91"/>
      <c r="K317" s="91"/>
      <c r="L317" s="91"/>
      <c r="M317" s="91"/>
      <c r="N317" s="91"/>
      <c r="O317" s="91"/>
      <c r="P317" s="91"/>
      <c r="Q317" s="91"/>
      <c r="R317" s="91"/>
      <c r="S317" s="91"/>
      <c r="T317" s="91"/>
      <c r="U317" s="91"/>
      <c r="V317" s="91"/>
      <c r="W317" s="91"/>
      <c r="X317" s="91"/>
      <c r="Y317" s="91"/>
      <c r="Z317" s="91"/>
      <c r="AA317" s="91"/>
      <c r="AB317" s="91"/>
      <c r="AC317" s="91"/>
    </row>
    <row r="318" spans="8:29" x14ac:dyDescent="0.3">
      <c r="H318" s="91"/>
      <c r="I318" s="91"/>
      <c r="J318" s="91"/>
      <c r="K318" s="91"/>
      <c r="L318" s="91"/>
      <c r="M318" s="91"/>
      <c r="N318" s="91"/>
      <c r="O318" s="91"/>
      <c r="P318" s="91"/>
      <c r="Q318" s="91"/>
      <c r="R318" s="91"/>
      <c r="S318" s="91"/>
      <c r="T318" s="91"/>
      <c r="U318" s="91"/>
      <c r="V318" s="91"/>
      <c r="W318" s="91"/>
      <c r="X318" s="91"/>
      <c r="Y318" s="91"/>
      <c r="Z318" s="91"/>
      <c r="AA318" s="91"/>
      <c r="AB318" s="91"/>
      <c r="AC318" s="91"/>
    </row>
    <row r="319" spans="8:29" x14ac:dyDescent="0.3">
      <c r="H319" s="91"/>
      <c r="I319" s="91"/>
      <c r="J319" s="91"/>
      <c r="K319" s="91"/>
      <c r="L319" s="91"/>
      <c r="M319" s="91"/>
      <c r="N319" s="91"/>
      <c r="O319" s="91"/>
      <c r="P319" s="91"/>
      <c r="Q319" s="91"/>
      <c r="R319" s="91"/>
      <c r="S319" s="91"/>
      <c r="T319" s="91"/>
      <c r="U319" s="91"/>
      <c r="V319" s="91"/>
      <c r="W319" s="91"/>
      <c r="X319" s="91"/>
      <c r="Y319" s="91"/>
      <c r="Z319" s="91"/>
      <c r="AA319" s="91"/>
      <c r="AB319" s="91"/>
      <c r="AC319" s="91"/>
    </row>
    <row r="320" spans="8:29" x14ac:dyDescent="0.3">
      <c r="H320" s="91"/>
      <c r="I320" s="91"/>
      <c r="J320" s="91"/>
      <c r="K320" s="91"/>
      <c r="L320" s="91"/>
      <c r="M320" s="91"/>
      <c r="N320" s="91"/>
      <c r="O320" s="91"/>
      <c r="P320" s="91"/>
      <c r="Q320" s="91"/>
      <c r="R320" s="91"/>
      <c r="S320" s="91"/>
      <c r="T320" s="91"/>
      <c r="U320" s="91"/>
      <c r="V320" s="91"/>
      <c r="W320" s="91"/>
      <c r="X320" s="91"/>
      <c r="Y320" s="91"/>
      <c r="Z320" s="91"/>
      <c r="AA320" s="91"/>
      <c r="AB320" s="91"/>
      <c r="AC320" s="91"/>
    </row>
    <row r="321" spans="8:29" x14ac:dyDescent="0.3">
      <c r="H321" s="91"/>
      <c r="I321" s="91"/>
      <c r="J321" s="91"/>
      <c r="K321" s="91"/>
      <c r="L321" s="91"/>
      <c r="M321" s="91"/>
      <c r="N321" s="91"/>
      <c r="O321" s="91"/>
      <c r="P321" s="91"/>
      <c r="Q321" s="91"/>
      <c r="R321" s="91"/>
      <c r="S321" s="91"/>
      <c r="T321" s="91"/>
      <c r="U321" s="91"/>
      <c r="V321" s="91"/>
      <c r="W321" s="91"/>
      <c r="X321" s="91"/>
      <c r="Y321" s="91"/>
      <c r="Z321" s="91"/>
      <c r="AA321" s="91"/>
      <c r="AB321" s="91"/>
      <c r="AC321" s="91"/>
    </row>
    <row r="322" spans="8:29" x14ac:dyDescent="0.3">
      <c r="H322" s="91"/>
      <c r="I322" s="91"/>
      <c r="J322" s="91"/>
      <c r="K322" s="91"/>
      <c r="L322" s="91"/>
      <c r="M322" s="91"/>
      <c r="N322" s="91"/>
      <c r="O322" s="91"/>
      <c r="P322" s="91"/>
      <c r="Q322" s="91"/>
      <c r="R322" s="91"/>
      <c r="S322" s="91"/>
      <c r="T322" s="91"/>
      <c r="U322" s="91"/>
      <c r="V322" s="91"/>
      <c r="W322" s="91"/>
      <c r="X322" s="91"/>
      <c r="Y322" s="91"/>
      <c r="Z322" s="91"/>
      <c r="AA322" s="91"/>
      <c r="AB322" s="91"/>
      <c r="AC322" s="91"/>
    </row>
    <row r="323" spans="8:29" x14ac:dyDescent="0.3">
      <c r="H323" s="91"/>
      <c r="I323" s="91"/>
      <c r="J323" s="91"/>
      <c r="K323" s="91"/>
      <c r="L323" s="91"/>
      <c r="M323" s="91"/>
      <c r="N323" s="91"/>
      <c r="O323" s="91"/>
      <c r="P323" s="91"/>
      <c r="Q323" s="91"/>
      <c r="R323" s="91"/>
      <c r="S323" s="91"/>
      <c r="T323" s="91"/>
      <c r="U323" s="91"/>
      <c r="V323" s="91"/>
      <c r="W323" s="91"/>
      <c r="X323" s="91"/>
      <c r="Y323" s="91"/>
      <c r="Z323" s="91"/>
      <c r="AA323" s="91"/>
      <c r="AB323" s="91"/>
      <c r="AC323" s="91"/>
    </row>
    <row r="324" spans="8:29" x14ac:dyDescent="0.3">
      <c r="H324" s="91"/>
      <c r="I324" s="91"/>
      <c r="J324" s="91"/>
      <c r="K324" s="91"/>
      <c r="L324" s="91"/>
      <c r="M324" s="91"/>
      <c r="N324" s="91"/>
      <c r="O324" s="91"/>
      <c r="P324" s="91"/>
      <c r="Q324" s="91"/>
      <c r="R324" s="91"/>
      <c r="S324" s="91"/>
      <c r="T324" s="91"/>
      <c r="U324" s="91"/>
      <c r="V324" s="91"/>
      <c r="W324" s="91"/>
      <c r="X324" s="91"/>
      <c r="Y324" s="91"/>
      <c r="Z324" s="91"/>
      <c r="AA324" s="91"/>
      <c r="AB324" s="91"/>
      <c r="AC324" s="91"/>
    </row>
    <row r="325" spans="8:29" x14ac:dyDescent="0.3">
      <c r="H325" s="91"/>
      <c r="I325" s="91"/>
      <c r="J325" s="91"/>
      <c r="K325" s="91"/>
      <c r="L325" s="91"/>
      <c r="M325" s="91"/>
      <c r="N325" s="91"/>
      <c r="O325" s="91"/>
      <c r="P325" s="91"/>
      <c r="Q325" s="91"/>
      <c r="R325" s="91"/>
      <c r="S325" s="91"/>
      <c r="T325" s="91"/>
      <c r="U325" s="91"/>
      <c r="V325" s="91"/>
      <c r="W325" s="91"/>
      <c r="X325" s="91"/>
      <c r="Y325" s="91"/>
      <c r="Z325" s="91"/>
      <c r="AA325" s="91"/>
      <c r="AB325" s="91"/>
      <c r="AC325" s="91"/>
    </row>
    <row r="326" spans="8:29" x14ac:dyDescent="0.3">
      <c r="H326" s="91"/>
      <c r="I326" s="91"/>
      <c r="J326" s="91"/>
      <c r="K326" s="91"/>
      <c r="L326" s="91"/>
      <c r="M326" s="91"/>
      <c r="N326" s="91"/>
      <c r="O326" s="91"/>
      <c r="P326" s="91"/>
      <c r="Q326" s="91"/>
      <c r="R326" s="91"/>
      <c r="S326" s="91"/>
      <c r="T326" s="91"/>
      <c r="U326" s="91"/>
      <c r="V326" s="91"/>
      <c r="W326" s="91"/>
      <c r="X326" s="91"/>
      <c r="Y326" s="91"/>
      <c r="Z326" s="91"/>
      <c r="AA326" s="91"/>
      <c r="AB326" s="91"/>
      <c r="AC326" s="91"/>
    </row>
    <row r="327" spans="8:29" x14ac:dyDescent="0.3">
      <c r="H327" s="91"/>
      <c r="I327" s="91"/>
      <c r="J327" s="91"/>
      <c r="K327" s="91"/>
      <c r="L327" s="91"/>
      <c r="M327" s="91"/>
      <c r="N327" s="91"/>
      <c r="O327" s="91"/>
      <c r="P327" s="91"/>
      <c r="Q327" s="91"/>
      <c r="R327" s="91"/>
      <c r="S327" s="91"/>
      <c r="T327" s="91"/>
      <c r="U327" s="91"/>
      <c r="V327" s="91"/>
      <c r="W327" s="91"/>
      <c r="X327" s="91"/>
      <c r="Y327" s="91"/>
      <c r="Z327" s="91"/>
      <c r="AA327" s="91"/>
      <c r="AB327" s="91"/>
      <c r="AC327" s="91"/>
    </row>
    <row r="328" spans="8:29" x14ac:dyDescent="0.3">
      <c r="H328" s="91"/>
      <c r="I328" s="91"/>
      <c r="J328" s="91"/>
      <c r="K328" s="91"/>
    </row>
    <row r="329" spans="8:29" x14ac:dyDescent="0.3">
      <c r="H329" s="91"/>
      <c r="I329" s="91"/>
      <c r="J329" s="91"/>
      <c r="K329" s="91"/>
    </row>
    <row r="330" spans="8:29" x14ac:dyDescent="0.3">
      <c r="H330" s="91"/>
      <c r="I330" s="91"/>
      <c r="J330" s="91"/>
      <c r="K330" s="91"/>
    </row>
    <row r="331" spans="8:29" x14ac:dyDescent="0.3">
      <c r="J331" s="91"/>
      <c r="K331" s="91"/>
    </row>
  </sheetData>
  <mergeCells count="36">
    <mergeCell ref="A26:C26"/>
    <mergeCell ref="A1:K1"/>
    <mergeCell ref="B2:C2"/>
    <mergeCell ref="B3:C3"/>
    <mergeCell ref="E2:G2"/>
    <mergeCell ref="J12:K12"/>
    <mergeCell ref="A37:C37"/>
    <mergeCell ref="A30:C30"/>
    <mergeCell ref="A31:C31"/>
    <mergeCell ref="A32:C32"/>
    <mergeCell ref="A33:C33"/>
    <mergeCell ref="A36:C36"/>
    <mergeCell ref="A29:C29"/>
    <mergeCell ref="A34:C34"/>
    <mergeCell ref="A35:C35"/>
    <mergeCell ref="A4:G4"/>
    <mergeCell ref="A16:E16"/>
    <mergeCell ref="A17:C17"/>
    <mergeCell ref="A18:C18"/>
    <mergeCell ref="A28:E28"/>
    <mergeCell ref="A27:C27"/>
    <mergeCell ref="A19:C19"/>
    <mergeCell ref="A20:C20"/>
    <mergeCell ref="A21:C21"/>
    <mergeCell ref="A22:C22"/>
    <mergeCell ref="A23:C23"/>
    <mergeCell ref="A24:C24"/>
    <mergeCell ref="A25:C25"/>
    <mergeCell ref="A64:B64"/>
    <mergeCell ref="A59:B59"/>
    <mergeCell ref="A55:B55"/>
    <mergeCell ref="A51:B51"/>
    <mergeCell ref="A38:C38"/>
    <mergeCell ref="A44:B44"/>
    <mergeCell ref="A39:C39"/>
    <mergeCell ref="A40:E40"/>
  </mergeCells>
  <dataValidations count="1">
    <dataValidation type="list" allowBlank="1" showInputMessage="1" showErrorMessage="1" sqref="B18" xr:uid="{9150BC33-F5C3-4E41-B99C-87AC690873EE}">
      <formula1>"PVCantos"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4017E38-94C8-48B1-84C9-0F55ECBEC07D}">
          <x14:formula1>
            <xm:f>Herrajes!$A$2:$A$220</xm:f>
          </x14:formula1>
          <xm:sqref>A30:A39</xm:sqref>
        </x14:dataValidation>
        <x14:dataValidation type="list" allowBlank="1" showInputMessage="1" showErrorMessage="1" xr:uid="{139038AC-3139-4D48-889D-C5267E691268}">
          <x14:formula1>
            <xm:f>Armado!$A$2:$A$43</xm:f>
          </x14:formula1>
          <xm:sqref>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2D8AF9-0840-4B43-9587-E702DDAE8FA1}">
  <sheetPr codeName="Hoja11"/>
  <dimension ref="A1:O40"/>
  <sheetViews>
    <sheetView workbookViewId="0">
      <selection activeCell="D11" sqref="D11"/>
    </sheetView>
  </sheetViews>
  <sheetFormatPr baseColWidth="10" defaultColWidth="11.44140625" defaultRowHeight="14.4" x14ac:dyDescent="0.3"/>
  <cols>
    <col min="1" max="1" width="28.44140625" style="95" customWidth="1"/>
    <col min="2" max="2" width="22.33203125" style="95" bestFit="1" customWidth="1"/>
    <col min="3" max="3" width="18.44140625" style="95" bestFit="1" customWidth="1"/>
    <col min="4" max="5" width="15.109375" style="95" customWidth="1"/>
    <col min="6" max="6" width="21.5546875" style="104" bestFit="1" customWidth="1"/>
    <col min="8" max="8" width="12.5546875" customWidth="1"/>
    <col min="10" max="10" width="12.5546875" bestFit="1" customWidth="1"/>
    <col min="14" max="14" width="16.5546875" customWidth="1"/>
    <col min="15" max="15" width="21.88671875" customWidth="1"/>
  </cols>
  <sheetData>
    <row r="1" spans="1:15" x14ac:dyDescent="0.3">
      <c r="A1" s="136" t="s">
        <v>69</v>
      </c>
      <c r="B1" s="136"/>
      <c r="C1" s="136"/>
      <c r="D1" s="136"/>
      <c r="E1" s="136"/>
      <c r="F1" s="136"/>
    </row>
    <row r="2" spans="1:15" x14ac:dyDescent="0.3">
      <c r="A2" s="137"/>
      <c r="B2" s="137"/>
      <c r="C2" s="137"/>
      <c r="D2" s="137"/>
      <c r="E2" s="137"/>
      <c r="F2" s="137"/>
    </row>
    <row r="3" spans="1:15" ht="28.8" x14ac:dyDescent="0.3">
      <c r="A3" s="99" t="s">
        <v>70</v>
      </c>
      <c r="B3" s="100" t="s">
        <v>71</v>
      </c>
      <c r="C3" s="100" t="s">
        <v>72</v>
      </c>
      <c r="D3" s="101" t="s">
        <v>73</v>
      </c>
      <c r="E3" s="109"/>
      <c r="F3" s="102" t="s">
        <v>74</v>
      </c>
      <c r="I3" t="s">
        <v>75</v>
      </c>
    </row>
    <row r="4" spans="1:15" x14ac:dyDescent="0.3">
      <c r="A4" s="97"/>
      <c r="B4" s="97" t="s">
        <v>76</v>
      </c>
      <c r="C4" s="98">
        <v>145.80000000000001</v>
      </c>
      <c r="D4" s="98">
        <v>24.7</v>
      </c>
      <c r="E4" s="98"/>
      <c r="F4" s="103">
        <f>($J$4/8)/D4</f>
        <v>607.28744939271257</v>
      </c>
      <c r="I4" t="s">
        <v>77</v>
      </c>
      <c r="J4" s="33">
        <v>120000</v>
      </c>
    </row>
    <row r="5" spans="1:15" x14ac:dyDescent="0.3">
      <c r="B5" s="95" t="s">
        <v>78</v>
      </c>
      <c r="C5" s="96">
        <v>80.900000000000006</v>
      </c>
      <c r="D5" s="96">
        <v>44.5</v>
      </c>
      <c r="E5" s="96"/>
      <c r="F5" s="104">
        <f>($J$4/8)/D5</f>
        <v>337.07865168539325</v>
      </c>
    </row>
    <row r="6" spans="1:15" x14ac:dyDescent="0.3">
      <c r="A6" s="95">
        <v>3</v>
      </c>
      <c r="B6" s="95" t="s">
        <v>79</v>
      </c>
      <c r="C6" s="95">
        <v>152</v>
      </c>
      <c r="D6" s="95">
        <f>((C6*A6)/60)/60</f>
        <v>0.12666666666666665</v>
      </c>
      <c r="F6" s="108">
        <f>1/D6</f>
        <v>7.8947368421052646</v>
      </c>
    </row>
    <row r="7" spans="1:15" x14ac:dyDescent="0.3">
      <c r="A7" s="95">
        <v>5</v>
      </c>
      <c r="B7" s="95" t="s">
        <v>80</v>
      </c>
      <c r="C7" s="95">
        <v>152</v>
      </c>
      <c r="D7" s="95">
        <f t="shared" ref="D7:D10" si="0">((C7*A7)/60)/60</f>
        <v>0.21111111111111111</v>
      </c>
      <c r="F7" s="108">
        <f t="shared" ref="F7:F10" si="1">1/D7</f>
        <v>4.7368421052631575</v>
      </c>
      <c r="L7" s="125" t="s">
        <v>81</v>
      </c>
      <c r="M7" s="126"/>
      <c r="N7" s="126"/>
      <c r="O7" s="127"/>
    </row>
    <row r="8" spans="1:15" x14ac:dyDescent="0.3">
      <c r="A8" s="95">
        <v>2</v>
      </c>
      <c r="B8" s="95" t="s">
        <v>82</v>
      </c>
      <c r="C8" s="95">
        <v>152</v>
      </c>
      <c r="D8" s="95">
        <f t="shared" si="0"/>
        <v>8.4444444444444447E-2</v>
      </c>
      <c r="F8" s="108">
        <f t="shared" si="1"/>
        <v>11.842105263157894</v>
      </c>
      <c r="L8" s="107" t="s">
        <v>83</v>
      </c>
      <c r="M8" s="107" t="s">
        <v>2</v>
      </c>
      <c r="N8" s="107" t="s">
        <v>84</v>
      </c>
      <c r="O8" s="107" t="s">
        <v>85</v>
      </c>
    </row>
    <row r="9" spans="1:15" x14ac:dyDescent="0.3">
      <c r="A9" s="95">
        <v>3</v>
      </c>
      <c r="B9" s="95" t="s">
        <v>86</v>
      </c>
      <c r="C9" s="95">
        <v>152</v>
      </c>
      <c r="D9" s="95">
        <f t="shared" si="0"/>
        <v>0.12666666666666665</v>
      </c>
      <c r="F9" s="108">
        <f t="shared" si="1"/>
        <v>7.8947368421052646</v>
      </c>
      <c r="L9" s="2" t="str" cm="1">
        <f t="array" ref="L9">_xlfn.UNIQUE(_xlfn._xlws.FILTER(Despiece!B:B,COUNTIF(Mecanizado!A:A,Despiece!B:B)&gt;0,""))</f>
        <v/>
      </c>
      <c r="M9" s="2" t="str">
        <f>IF(SUMIF(Despiece!B:B,  Mecanizado!K9,Despiece!C:C)=0,"",SUMIF(Despiece!B:B,  Mecanizado!K9,Despiece!C:C))</f>
        <v/>
      </c>
      <c r="N9" s="25" t="str">
        <f t="shared" ref="N9:N39" si="2">IF(SUMIF(A9:A92,  L9, J9:J92)=0,"",SUMIF(A9:A92,  L9, J9:J92))</f>
        <v/>
      </c>
      <c r="O9" s="25" t="str">
        <f t="shared" ref="O9:O39" si="3">IFERROR(M9*N9,"")</f>
        <v/>
      </c>
    </row>
    <row r="10" spans="1:15" x14ac:dyDescent="0.3">
      <c r="A10" s="95">
        <v>1</v>
      </c>
      <c r="B10" s="95" t="s">
        <v>87</v>
      </c>
      <c r="C10" s="95">
        <v>152</v>
      </c>
      <c r="D10" s="95">
        <f t="shared" si="0"/>
        <v>4.2222222222222223E-2</v>
      </c>
      <c r="F10" s="108">
        <f t="shared" si="1"/>
        <v>23.684210526315788</v>
      </c>
      <c r="L10" s="2"/>
      <c r="M10" s="2" t="str">
        <f>IF(SUMIF(Despiece!B:B,  Mecanizado!K10,Despiece!C:C)=0,"",SUMIF(Despiece!B:B,  Mecanizado!K10,Despiece!C:C))</f>
        <v/>
      </c>
      <c r="N10" s="25" t="str">
        <f>IF(SUMIF(A10:A93,  L10, J10:J93)=0,"",SUMIF(A10:A93,  L10, J10:J93))</f>
        <v/>
      </c>
      <c r="O10" s="25" t="str">
        <f t="shared" si="3"/>
        <v/>
      </c>
    </row>
    <row r="11" spans="1:15" x14ac:dyDescent="0.3">
      <c r="L11" s="2"/>
      <c r="M11" s="2" t="str">
        <f>IF(SUMIF(Despiece!B:B,  Mecanizado!K11,Despiece!C:C)=0,"",SUMIF(Despiece!B:B,  Mecanizado!K11,Despiece!C:C))</f>
        <v/>
      </c>
      <c r="N11" s="25" t="str">
        <f t="shared" si="2"/>
        <v/>
      </c>
      <c r="O11" s="25" t="str">
        <f t="shared" si="3"/>
        <v/>
      </c>
    </row>
    <row r="12" spans="1:15" x14ac:dyDescent="0.3">
      <c r="L12" s="2"/>
      <c r="M12" s="2" t="str">
        <f>IF(SUMIF(Despiece!B:B,  Mecanizado!K12,Despiece!C:C)=0,"",SUMIF(Despiece!B:B,  Mecanizado!K12,Despiece!C:C))</f>
        <v/>
      </c>
      <c r="N12" s="25" t="str">
        <f t="shared" si="2"/>
        <v/>
      </c>
      <c r="O12" s="25" t="str">
        <f t="shared" si="3"/>
        <v/>
      </c>
    </row>
    <row r="13" spans="1:15" x14ac:dyDescent="0.3">
      <c r="L13" s="2"/>
      <c r="M13" s="2" t="str">
        <f>IF(SUMIF(Despiece!B:B,  Mecanizado!K13,Despiece!C:C)=0,"",SUMIF(Despiece!B:B,  Mecanizado!K13,Despiece!C:C))</f>
        <v/>
      </c>
      <c r="N13" s="25" t="str">
        <f t="shared" si="2"/>
        <v/>
      </c>
      <c r="O13" s="25" t="str">
        <f t="shared" si="3"/>
        <v/>
      </c>
    </row>
    <row r="14" spans="1:15" x14ac:dyDescent="0.3">
      <c r="L14" s="2"/>
      <c r="M14" s="2" t="str">
        <f>IF(SUMIF(Despiece!B:B,  Mecanizado!K14,Despiece!C:C)=0,"",SUMIF(Despiece!B:B,  Mecanizado!K14,Despiece!C:C))</f>
        <v/>
      </c>
      <c r="N14" s="25" t="str">
        <f t="shared" si="2"/>
        <v/>
      </c>
      <c r="O14" s="25" t="str">
        <f t="shared" si="3"/>
        <v/>
      </c>
    </row>
    <row r="15" spans="1:15" x14ac:dyDescent="0.3">
      <c r="L15" s="2"/>
      <c r="M15" s="2" t="str">
        <f>IF(SUMIF(Despiece!B:B,  Mecanizado!K15,Despiece!C:C)=0,"",SUMIF(Despiece!B:B,  Mecanizado!K15,Despiece!C:C))</f>
        <v/>
      </c>
      <c r="N15" s="25" t="str">
        <f t="shared" si="2"/>
        <v/>
      </c>
      <c r="O15" s="25" t="str">
        <f t="shared" si="3"/>
        <v/>
      </c>
    </row>
    <row r="16" spans="1:15" x14ac:dyDescent="0.3">
      <c r="L16" s="2"/>
      <c r="M16" s="2" t="str">
        <f>IF(SUMIF(Despiece!B:B,  Mecanizado!K16,Despiece!C:C)=0,"",SUMIF(Despiece!B:B,  Mecanizado!K16,Despiece!C:C))</f>
        <v/>
      </c>
      <c r="N16" s="25" t="str">
        <f t="shared" si="2"/>
        <v/>
      </c>
      <c r="O16" s="25" t="str">
        <f t="shared" si="3"/>
        <v/>
      </c>
    </row>
    <row r="17" spans="12:15" x14ac:dyDescent="0.3">
      <c r="L17" s="2"/>
      <c r="M17" s="2" t="str">
        <f>IF(SUMIF(Despiece!B:B,  Mecanizado!K17,Despiece!C:C)=0,"",SUMIF(Despiece!B:B,  Mecanizado!K17,Despiece!C:C))</f>
        <v/>
      </c>
      <c r="N17" s="25" t="str">
        <f t="shared" si="2"/>
        <v/>
      </c>
      <c r="O17" s="25" t="str">
        <f t="shared" si="3"/>
        <v/>
      </c>
    </row>
    <row r="18" spans="12:15" x14ac:dyDescent="0.3">
      <c r="L18" s="2"/>
      <c r="M18" s="2" t="str">
        <f>IF(SUMIF(Despiece!B:B,  Mecanizado!K18,Despiece!C:C)=0,"",SUMIF(Despiece!B:B,  Mecanizado!K18,Despiece!C:C))</f>
        <v/>
      </c>
      <c r="N18" s="25" t="str">
        <f t="shared" si="2"/>
        <v/>
      </c>
      <c r="O18" s="25" t="str">
        <f t="shared" si="3"/>
        <v/>
      </c>
    </row>
    <row r="19" spans="12:15" x14ac:dyDescent="0.3">
      <c r="L19" s="2"/>
      <c r="M19" s="2" t="str">
        <f>IF(SUMIF(Despiece!B:B,  Mecanizado!K19,Despiece!C:C)=0,"",SUMIF(Despiece!B:B,  Mecanizado!K19,Despiece!C:C))</f>
        <v/>
      </c>
      <c r="N19" s="25" t="str">
        <f t="shared" si="2"/>
        <v/>
      </c>
      <c r="O19" s="25" t="str">
        <f t="shared" si="3"/>
        <v/>
      </c>
    </row>
    <row r="20" spans="12:15" x14ac:dyDescent="0.3">
      <c r="L20" s="2"/>
      <c r="M20" s="2" t="str">
        <f>IF(SUMIF(Despiece!B:B,  Mecanizado!K20,Despiece!C:C)=0,"",SUMIF(Despiece!B:B,  Mecanizado!K20,Despiece!C:C))</f>
        <v/>
      </c>
      <c r="N20" s="25" t="str">
        <f t="shared" si="2"/>
        <v/>
      </c>
      <c r="O20" s="25" t="str">
        <f t="shared" si="3"/>
        <v/>
      </c>
    </row>
    <row r="21" spans="12:15" x14ac:dyDescent="0.3">
      <c r="L21" s="2"/>
      <c r="M21" s="2" t="str">
        <f>IF(SUMIF(Despiece!B:B,  Mecanizado!K21,Despiece!C:C)=0,"",SUMIF(Despiece!B:B,  Mecanizado!K21,Despiece!C:C))</f>
        <v/>
      </c>
      <c r="N21" s="25" t="str">
        <f t="shared" si="2"/>
        <v/>
      </c>
      <c r="O21" s="25" t="str">
        <f t="shared" si="3"/>
        <v/>
      </c>
    </row>
    <row r="22" spans="12:15" x14ac:dyDescent="0.3">
      <c r="L22" s="2"/>
      <c r="M22" s="2" t="str">
        <f>IF(SUMIF(Despiece!B:B,  Mecanizado!K22,Despiece!C:C)=0,"",SUMIF(Despiece!B:B,  Mecanizado!K22,Despiece!C:C))</f>
        <v/>
      </c>
      <c r="N22" s="25" t="str">
        <f t="shared" si="2"/>
        <v/>
      </c>
      <c r="O22" s="25" t="str">
        <f t="shared" si="3"/>
        <v/>
      </c>
    </row>
    <row r="23" spans="12:15" x14ac:dyDescent="0.3">
      <c r="L23" s="2"/>
      <c r="M23" s="2" t="str">
        <f>IF(SUMIF(Despiece!B:B,  Mecanizado!K23,Despiece!C:C)=0,"",SUMIF(Despiece!B:B,  Mecanizado!K23,Despiece!C:C))</f>
        <v/>
      </c>
      <c r="N23" s="25" t="str">
        <f t="shared" si="2"/>
        <v/>
      </c>
      <c r="O23" s="25" t="str">
        <f t="shared" si="3"/>
        <v/>
      </c>
    </row>
    <row r="24" spans="12:15" x14ac:dyDescent="0.3">
      <c r="L24" s="2"/>
      <c r="M24" s="2" t="str">
        <f>IF(SUMIF(Despiece!B:B,  Mecanizado!K24,Despiece!C:C)=0,"",SUMIF(Despiece!B:B,  Mecanizado!K24,Despiece!C:C))</f>
        <v/>
      </c>
      <c r="N24" s="25" t="str">
        <f t="shared" si="2"/>
        <v/>
      </c>
      <c r="O24" s="25" t="str">
        <f t="shared" si="3"/>
        <v/>
      </c>
    </row>
    <row r="25" spans="12:15" x14ac:dyDescent="0.3">
      <c r="L25" s="2"/>
      <c r="M25" s="2" t="str">
        <f>IF(SUMIF(Despiece!B:B,  Mecanizado!K25,Despiece!C:C)=0,"",SUMIF(Despiece!B:B,  Mecanizado!K25,Despiece!C:C))</f>
        <v/>
      </c>
      <c r="N25" s="25" t="str">
        <f t="shared" si="2"/>
        <v/>
      </c>
      <c r="O25" s="25" t="str">
        <f t="shared" si="3"/>
        <v/>
      </c>
    </row>
    <row r="26" spans="12:15" x14ac:dyDescent="0.3">
      <c r="L26" s="2"/>
      <c r="M26" s="2" t="str">
        <f>IF(SUMIF(Despiece!B:B,  Mecanizado!K26,Despiece!C:C)=0,"",SUMIF(Despiece!B:B,  Mecanizado!K26,Despiece!C:C))</f>
        <v/>
      </c>
      <c r="N26" s="25" t="str">
        <f t="shared" si="2"/>
        <v/>
      </c>
      <c r="O26" s="25" t="str">
        <f t="shared" si="3"/>
        <v/>
      </c>
    </row>
    <row r="27" spans="12:15" x14ac:dyDescent="0.3">
      <c r="L27" s="2"/>
      <c r="M27" s="2" t="str">
        <f>IF(SUMIF(Despiece!B:B,  Mecanizado!K27,Despiece!C:C)=0,"",SUMIF(Despiece!B:B,  Mecanizado!K27,Despiece!C:C))</f>
        <v/>
      </c>
      <c r="N27" s="25" t="str">
        <f t="shared" si="2"/>
        <v/>
      </c>
      <c r="O27" s="25" t="str">
        <f t="shared" si="3"/>
        <v/>
      </c>
    </row>
    <row r="28" spans="12:15" x14ac:dyDescent="0.3">
      <c r="L28" s="2"/>
      <c r="M28" s="2" t="str">
        <f>IF(SUMIF(Despiece!B:B,  Mecanizado!K28,Despiece!C:C)=0,"",SUMIF(Despiece!B:B,  Mecanizado!K28,Despiece!C:C))</f>
        <v/>
      </c>
      <c r="N28" s="25" t="str">
        <f t="shared" si="2"/>
        <v/>
      </c>
      <c r="O28" s="25" t="str">
        <f t="shared" si="3"/>
        <v/>
      </c>
    </row>
    <row r="29" spans="12:15" x14ac:dyDescent="0.3">
      <c r="L29" s="2"/>
      <c r="M29" s="2" t="str">
        <f>IF(SUMIF(Despiece!B:B,  Mecanizado!K29,Despiece!C:C)=0,"",SUMIF(Despiece!B:B,  Mecanizado!K29,Despiece!C:C))</f>
        <v/>
      </c>
      <c r="N29" s="25" t="str">
        <f t="shared" si="2"/>
        <v/>
      </c>
      <c r="O29" s="25" t="str">
        <f t="shared" si="3"/>
        <v/>
      </c>
    </row>
    <row r="30" spans="12:15" x14ac:dyDescent="0.3">
      <c r="L30" s="2"/>
      <c r="M30" s="2" t="str">
        <f>IF(SUMIF(Despiece!B:B,  Mecanizado!K30,Despiece!C:C)=0,"",SUMIF(Despiece!B:B,  Mecanizado!K30,Despiece!C:C))</f>
        <v/>
      </c>
      <c r="N30" s="25" t="str">
        <f t="shared" si="2"/>
        <v/>
      </c>
      <c r="O30" s="25" t="str">
        <f t="shared" si="3"/>
        <v/>
      </c>
    </row>
    <row r="31" spans="12:15" x14ac:dyDescent="0.3">
      <c r="L31" s="2"/>
      <c r="M31" s="2" t="str">
        <f>IF(SUMIF(Despiece!B:B,  Mecanizado!K31,Despiece!C:C)=0,"",SUMIF(Despiece!B:B,  Mecanizado!K31,Despiece!C:C))</f>
        <v/>
      </c>
      <c r="N31" s="25" t="str">
        <f t="shared" si="2"/>
        <v/>
      </c>
      <c r="O31" s="25" t="str">
        <f t="shared" si="3"/>
        <v/>
      </c>
    </row>
    <row r="32" spans="12:15" x14ac:dyDescent="0.3">
      <c r="L32" s="2"/>
      <c r="M32" s="2" t="str">
        <f>IF(SUMIF(Despiece!B:B,  Mecanizado!K32,Despiece!C:C)=0,"",SUMIF(Despiece!B:B,  Mecanizado!K32,Despiece!C:C))</f>
        <v/>
      </c>
      <c r="N32" s="25" t="str">
        <f t="shared" si="2"/>
        <v/>
      </c>
      <c r="O32" s="25" t="str">
        <f t="shared" si="3"/>
        <v/>
      </c>
    </row>
    <row r="33" spans="12:15" x14ac:dyDescent="0.3">
      <c r="L33" s="2"/>
      <c r="M33" s="2" t="str">
        <f>IF(SUMIF(Despiece!B:B,  Mecanizado!K33,Despiece!C:C)=0,"",SUMIF(Despiece!B:B,  Mecanizado!K33,Despiece!C:C))</f>
        <v/>
      </c>
      <c r="N33" s="25" t="str">
        <f t="shared" si="2"/>
        <v/>
      </c>
      <c r="O33" s="25" t="str">
        <f t="shared" si="3"/>
        <v/>
      </c>
    </row>
    <row r="34" spans="12:15" x14ac:dyDescent="0.3">
      <c r="L34" s="2"/>
      <c r="M34" s="2" t="str">
        <f>IF(SUMIF(Despiece!B:B,  Mecanizado!K34,Despiece!C:C)=0,"",SUMIF(Despiece!B:B,  Mecanizado!K34,Despiece!C:C))</f>
        <v/>
      </c>
      <c r="N34" s="25" t="str">
        <f t="shared" si="2"/>
        <v/>
      </c>
      <c r="O34" s="25" t="str">
        <f t="shared" si="3"/>
        <v/>
      </c>
    </row>
    <row r="35" spans="12:15" x14ac:dyDescent="0.3">
      <c r="L35" s="2"/>
      <c r="M35" s="2" t="str">
        <f>IF(SUMIF(Despiece!B:B,  Mecanizado!K35,Despiece!C:C)=0,"",SUMIF(Despiece!B:B,  Mecanizado!K35,Despiece!C:C))</f>
        <v/>
      </c>
      <c r="N35" s="25" t="str">
        <f t="shared" si="2"/>
        <v/>
      </c>
      <c r="O35" s="25" t="str">
        <f t="shared" si="3"/>
        <v/>
      </c>
    </row>
    <row r="36" spans="12:15" x14ac:dyDescent="0.3">
      <c r="L36" s="2"/>
      <c r="M36" s="2" t="str">
        <f>IF(SUMIF(Despiece!B:B,  Mecanizado!K36,Despiece!C:C)=0,"",SUMIF(Despiece!B:B,  Mecanizado!K36,Despiece!C:C))</f>
        <v/>
      </c>
      <c r="N36" s="25" t="str">
        <f t="shared" si="2"/>
        <v/>
      </c>
      <c r="O36" s="25" t="str">
        <f t="shared" si="3"/>
        <v/>
      </c>
    </row>
    <row r="37" spans="12:15" x14ac:dyDescent="0.3">
      <c r="L37" s="2"/>
      <c r="M37" s="2" t="str">
        <f>IF(SUMIF(Despiece!B:B,  Mecanizado!K37,Despiece!C:C)=0,"",SUMIF(Despiece!B:B,  Mecanizado!K37,Despiece!C:C))</f>
        <v/>
      </c>
      <c r="N37" s="25" t="str">
        <f t="shared" si="2"/>
        <v/>
      </c>
      <c r="O37" s="25" t="str">
        <f t="shared" si="3"/>
        <v/>
      </c>
    </row>
    <row r="38" spans="12:15" x14ac:dyDescent="0.3">
      <c r="L38" s="2"/>
      <c r="M38" s="2" t="str">
        <f>IF(SUMIF(Despiece!B:B,  Mecanizado!K38,Despiece!C:C)=0,"",SUMIF(Despiece!B:B,  Mecanizado!K38,Despiece!C:C))</f>
        <v/>
      </c>
      <c r="N38" s="25" t="str">
        <f t="shared" si="2"/>
        <v/>
      </c>
      <c r="O38" s="25" t="str">
        <f t="shared" si="3"/>
        <v/>
      </c>
    </row>
    <row r="39" spans="12:15" x14ac:dyDescent="0.3">
      <c r="L39" s="2"/>
      <c r="M39" s="2" t="str">
        <f>IF(SUMIF(Despiece!B:B,  Mecanizado!K39,Despiece!C:C)=0,"",SUMIF(Despiece!B:B,  Mecanizado!K39,Despiece!C:C))</f>
        <v/>
      </c>
      <c r="N39" s="25" t="str">
        <f t="shared" si="2"/>
        <v/>
      </c>
      <c r="O39" s="25" t="str">
        <f t="shared" si="3"/>
        <v/>
      </c>
    </row>
    <row r="40" spans="12:15" x14ac:dyDescent="0.3">
      <c r="L40" s="138" t="s">
        <v>29</v>
      </c>
      <c r="M40" s="139"/>
      <c r="N40" s="140"/>
      <c r="O40" s="25">
        <f>SUM(O9:O39)</f>
        <v>0</v>
      </c>
    </row>
  </sheetData>
  <mergeCells count="3">
    <mergeCell ref="A1:F2"/>
    <mergeCell ref="L7:O7"/>
    <mergeCell ref="L40:N4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7998F2-56D7-48B6-BE33-3F5B9209159E}">
  <sheetPr codeName="Hoja4"/>
  <dimension ref="A1:G131"/>
  <sheetViews>
    <sheetView workbookViewId="0">
      <selection activeCell="D131" sqref="D131"/>
    </sheetView>
  </sheetViews>
  <sheetFormatPr baseColWidth="10" defaultColWidth="11.44140625" defaultRowHeight="14.4" x14ac:dyDescent="0.3"/>
  <cols>
    <col min="1" max="1" width="22.88671875" customWidth="1"/>
    <col min="3" max="3" width="34.44140625" customWidth="1"/>
    <col min="6" max="6" width="29.109375" customWidth="1"/>
    <col min="7" max="12" width="67.109375" customWidth="1"/>
    <col min="13" max="14" width="12.33203125" customWidth="1"/>
  </cols>
  <sheetData>
    <row r="1" spans="1:7" ht="15" thickBot="1" x14ac:dyDescent="0.35">
      <c r="A1" s="3" t="s">
        <v>88</v>
      </c>
      <c r="B1" s="4" t="s">
        <v>89</v>
      </c>
      <c r="C1" s="4" t="s">
        <v>90</v>
      </c>
      <c r="D1" s="4" t="s">
        <v>19</v>
      </c>
      <c r="E1" s="4" t="s">
        <v>91</v>
      </c>
      <c r="F1" s="5" t="s">
        <v>92</v>
      </c>
      <c r="G1" s="112" t="s">
        <v>496</v>
      </c>
    </row>
    <row r="2" spans="1:7" ht="15" thickBot="1" x14ac:dyDescent="0.35">
      <c r="A2" s="22" t="s">
        <v>7</v>
      </c>
      <c r="B2" s="23" t="s">
        <v>495</v>
      </c>
      <c r="C2" s="23" t="s">
        <v>94</v>
      </c>
      <c r="D2" s="23">
        <v>1.83</v>
      </c>
      <c r="E2" s="23">
        <v>6</v>
      </c>
      <c r="F2" s="6">
        <v>67953</v>
      </c>
    </row>
    <row r="3" spans="1:7" ht="15" thickBot="1" x14ac:dyDescent="0.35">
      <c r="A3" s="22" t="s">
        <v>7</v>
      </c>
      <c r="B3" s="2" t="s">
        <v>93</v>
      </c>
      <c r="C3" s="2" t="s">
        <v>94</v>
      </c>
      <c r="D3" s="2">
        <v>1.83</v>
      </c>
      <c r="E3" s="2">
        <v>9</v>
      </c>
      <c r="F3" s="7">
        <v>78108</v>
      </c>
    </row>
    <row r="4" spans="1:7" ht="15" thickBot="1" x14ac:dyDescent="0.35">
      <c r="A4" s="22" t="s">
        <v>7</v>
      </c>
      <c r="B4" s="2" t="s">
        <v>93</v>
      </c>
      <c r="C4" s="2" t="s">
        <v>94</v>
      </c>
      <c r="D4" s="2">
        <v>1.83</v>
      </c>
      <c r="E4" s="2">
        <v>12</v>
      </c>
      <c r="F4" s="7">
        <v>96567</v>
      </c>
    </row>
    <row r="5" spans="1:7" ht="15" thickBot="1" x14ac:dyDescent="0.35">
      <c r="A5" s="22" t="s">
        <v>7</v>
      </c>
      <c r="B5" s="2" t="s">
        <v>93</v>
      </c>
      <c r="C5" s="2" t="s">
        <v>94</v>
      </c>
      <c r="D5" s="2">
        <v>1.83</v>
      </c>
      <c r="E5" s="2">
        <v>15</v>
      </c>
      <c r="F5" s="7">
        <v>112773</v>
      </c>
    </row>
    <row r="6" spans="1:7" ht="15" thickBot="1" x14ac:dyDescent="0.35">
      <c r="A6" s="22" t="s">
        <v>7</v>
      </c>
      <c r="B6" s="2" t="s">
        <v>93</v>
      </c>
      <c r="C6" s="2" t="s">
        <v>94</v>
      </c>
      <c r="D6" s="2">
        <v>1.83</v>
      </c>
      <c r="E6" s="2">
        <v>18</v>
      </c>
      <c r="F6" s="7">
        <v>132689</v>
      </c>
    </row>
    <row r="7" spans="1:7" ht="15" thickBot="1" x14ac:dyDescent="0.35">
      <c r="A7" s="22" t="s">
        <v>7</v>
      </c>
      <c r="B7" s="2" t="s">
        <v>93</v>
      </c>
      <c r="C7" s="2" t="s">
        <v>94</v>
      </c>
      <c r="D7" s="2">
        <v>1.83</v>
      </c>
      <c r="E7" s="2">
        <v>25</v>
      </c>
      <c r="F7" s="7">
        <v>184018</v>
      </c>
    </row>
    <row r="8" spans="1:7" ht="15" thickBot="1" x14ac:dyDescent="0.35">
      <c r="A8" s="22" t="s">
        <v>7</v>
      </c>
      <c r="B8" s="2" t="s">
        <v>93</v>
      </c>
      <c r="C8" s="2" t="s">
        <v>94</v>
      </c>
      <c r="D8" s="2">
        <v>1.83</v>
      </c>
      <c r="E8" s="2">
        <v>30</v>
      </c>
      <c r="F8" s="7">
        <v>220934</v>
      </c>
    </row>
    <row r="9" spans="1:7" ht="15" thickBot="1" x14ac:dyDescent="0.35">
      <c r="A9" s="22" t="s">
        <v>7</v>
      </c>
      <c r="B9" s="2" t="s">
        <v>93</v>
      </c>
      <c r="C9" s="2" t="s">
        <v>94</v>
      </c>
      <c r="D9" s="2">
        <v>1.83</v>
      </c>
      <c r="E9" s="2">
        <v>36</v>
      </c>
      <c r="F9" s="7">
        <v>257394</v>
      </c>
    </row>
    <row r="10" spans="1:7" ht="15" thickBot="1" x14ac:dyDescent="0.35">
      <c r="A10" s="22" t="s">
        <v>95</v>
      </c>
      <c r="B10" s="2" t="s">
        <v>96</v>
      </c>
      <c r="C10" s="2" t="s">
        <v>94</v>
      </c>
      <c r="D10" s="2">
        <v>1.83</v>
      </c>
      <c r="E10" s="2">
        <v>6</v>
      </c>
      <c r="F10" s="7">
        <v>84263</v>
      </c>
    </row>
    <row r="11" spans="1:7" ht="15" thickBot="1" x14ac:dyDescent="0.35">
      <c r="A11" s="22" t="s">
        <v>95</v>
      </c>
      <c r="B11" s="2" t="s">
        <v>96</v>
      </c>
      <c r="C11" s="2" t="s">
        <v>94</v>
      </c>
      <c r="D11" s="2">
        <v>1.83</v>
      </c>
      <c r="E11" s="2">
        <v>9</v>
      </c>
      <c r="F11" s="7">
        <v>96817</v>
      </c>
    </row>
    <row r="12" spans="1:7" ht="15" thickBot="1" x14ac:dyDescent="0.35">
      <c r="A12" s="22" t="s">
        <v>95</v>
      </c>
      <c r="B12" s="2" t="s">
        <v>96</v>
      </c>
      <c r="C12" s="2" t="s">
        <v>94</v>
      </c>
      <c r="D12" s="2">
        <v>1.83</v>
      </c>
      <c r="E12" s="2">
        <v>12</v>
      </c>
      <c r="F12" s="7">
        <v>119658</v>
      </c>
    </row>
    <row r="13" spans="1:7" ht="15" thickBot="1" x14ac:dyDescent="0.35">
      <c r="A13" s="22" t="s">
        <v>95</v>
      </c>
      <c r="B13" s="2" t="s">
        <v>96</v>
      </c>
      <c r="C13" s="2" t="s">
        <v>94</v>
      </c>
      <c r="D13" s="2">
        <v>1.83</v>
      </c>
      <c r="E13" s="2">
        <v>15</v>
      </c>
      <c r="F13" s="7">
        <v>139792</v>
      </c>
    </row>
    <row r="14" spans="1:7" ht="15" thickBot="1" x14ac:dyDescent="0.35">
      <c r="A14" s="22" t="s">
        <v>95</v>
      </c>
      <c r="B14" s="2" t="s">
        <v>96</v>
      </c>
      <c r="C14" s="2" t="s">
        <v>94</v>
      </c>
      <c r="D14" s="2">
        <v>1.83</v>
      </c>
      <c r="E14" s="2">
        <v>18</v>
      </c>
      <c r="F14" s="7">
        <v>173380</v>
      </c>
    </row>
    <row r="15" spans="1:7" ht="15" thickBot="1" x14ac:dyDescent="0.35">
      <c r="A15" s="22" t="s">
        <v>95</v>
      </c>
      <c r="B15" s="2" t="s">
        <v>96</v>
      </c>
      <c r="C15" s="2" t="s">
        <v>94</v>
      </c>
      <c r="D15" s="2">
        <v>1.83</v>
      </c>
      <c r="E15" s="2">
        <v>25</v>
      </c>
      <c r="F15" s="7">
        <v>228004</v>
      </c>
    </row>
    <row r="16" spans="1:7" ht="15" thickBot="1" x14ac:dyDescent="0.35">
      <c r="A16" s="22" t="s">
        <v>95</v>
      </c>
      <c r="B16" s="2" t="s">
        <v>96</v>
      </c>
      <c r="C16" s="2" t="s">
        <v>94</v>
      </c>
      <c r="D16" s="2">
        <v>1.83</v>
      </c>
      <c r="E16" s="2">
        <v>30</v>
      </c>
      <c r="F16" s="7">
        <v>273590</v>
      </c>
    </row>
    <row r="17" spans="1:6" ht="15" thickBot="1" x14ac:dyDescent="0.35">
      <c r="A17" s="22" t="s">
        <v>95</v>
      </c>
      <c r="B17" s="8" t="s">
        <v>96</v>
      </c>
      <c r="C17" s="8" t="s">
        <v>94</v>
      </c>
      <c r="D17" s="8">
        <v>1.83</v>
      </c>
      <c r="E17" s="8">
        <v>36</v>
      </c>
      <c r="F17" s="9">
        <v>318827</v>
      </c>
    </row>
    <row r="18" spans="1:6" x14ac:dyDescent="0.3">
      <c r="A18" s="12" t="s">
        <v>97</v>
      </c>
      <c r="B18" s="13" t="s">
        <v>93</v>
      </c>
      <c r="C18" s="13" t="s">
        <v>98</v>
      </c>
      <c r="D18" s="13">
        <v>1.83</v>
      </c>
      <c r="E18" s="13">
        <v>6</v>
      </c>
      <c r="F18" s="14">
        <v>126272</v>
      </c>
    </row>
    <row r="19" spans="1:6" x14ac:dyDescent="0.3">
      <c r="A19" s="12" t="s">
        <v>97</v>
      </c>
      <c r="B19" s="2" t="s">
        <v>93</v>
      </c>
      <c r="C19" s="2" t="s">
        <v>98</v>
      </c>
      <c r="D19" s="2">
        <v>1.83</v>
      </c>
      <c r="E19" s="2">
        <v>9</v>
      </c>
      <c r="F19" s="7">
        <v>150861</v>
      </c>
    </row>
    <row r="20" spans="1:6" x14ac:dyDescent="0.3">
      <c r="A20" s="12" t="s">
        <v>97</v>
      </c>
      <c r="B20" s="2" t="s">
        <v>93</v>
      </c>
      <c r="C20" s="2" t="s">
        <v>98</v>
      </c>
      <c r="D20" s="2">
        <v>1.83</v>
      </c>
      <c r="E20" s="2">
        <v>12</v>
      </c>
      <c r="F20" s="7">
        <v>169635</v>
      </c>
    </row>
    <row r="21" spans="1:6" x14ac:dyDescent="0.3">
      <c r="A21" s="12" t="s">
        <v>97</v>
      </c>
      <c r="B21" s="2" t="s">
        <v>93</v>
      </c>
      <c r="C21" s="2" t="s">
        <v>98</v>
      </c>
      <c r="D21" s="2">
        <v>1.83</v>
      </c>
      <c r="E21" s="2">
        <v>15</v>
      </c>
      <c r="F21" s="7">
        <v>178311</v>
      </c>
    </row>
    <row r="22" spans="1:6" x14ac:dyDescent="0.3">
      <c r="A22" s="12" t="s">
        <v>97</v>
      </c>
      <c r="B22" s="2" t="s">
        <v>93</v>
      </c>
      <c r="C22" s="2" t="s">
        <v>98</v>
      </c>
      <c r="D22" s="2">
        <v>1.83</v>
      </c>
      <c r="E22" s="2">
        <v>18</v>
      </c>
      <c r="F22" s="7">
        <v>197322</v>
      </c>
    </row>
    <row r="23" spans="1:6" x14ac:dyDescent="0.3">
      <c r="A23" s="12" t="s">
        <v>97</v>
      </c>
      <c r="B23" s="2" t="s">
        <v>93</v>
      </c>
      <c r="C23" s="2" t="s">
        <v>98</v>
      </c>
      <c r="D23" s="2">
        <v>1.83</v>
      </c>
      <c r="E23" s="2">
        <v>25</v>
      </c>
      <c r="F23" s="7">
        <v>274534</v>
      </c>
    </row>
    <row r="24" spans="1:6" x14ac:dyDescent="0.3">
      <c r="A24" s="12" t="s">
        <v>97</v>
      </c>
      <c r="B24" s="2" t="s">
        <v>93</v>
      </c>
      <c r="C24" s="2" t="s">
        <v>98</v>
      </c>
      <c r="D24" s="2">
        <v>1.83</v>
      </c>
      <c r="E24" s="2">
        <v>30</v>
      </c>
      <c r="F24" s="7">
        <v>306044</v>
      </c>
    </row>
    <row r="25" spans="1:6" x14ac:dyDescent="0.3">
      <c r="A25" s="12" t="s">
        <v>97</v>
      </c>
      <c r="B25" s="2" t="s">
        <v>93</v>
      </c>
      <c r="C25" s="2" t="s">
        <v>98</v>
      </c>
      <c r="D25" s="2">
        <v>1.83</v>
      </c>
      <c r="E25" s="2">
        <v>36</v>
      </c>
      <c r="F25" s="7">
        <v>306392</v>
      </c>
    </row>
    <row r="26" spans="1:6" x14ac:dyDescent="0.3">
      <c r="A26" s="12" t="s">
        <v>99</v>
      </c>
      <c r="B26" s="2" t="s">
        <v>96</v>
      </c>
      <c r="C26" s="2" t="s">
        <v>98</v>
      </c>
      <c r="D26" s="2">
        <v>1.83</v>
      </c>
      <c r="E26" s="2">
        <v>6</v>
      </c>
      <c r="F26" s="7">
        <v>152506</v>
      </c>
    </row>
    <row r="27" spans="1:6" x14ac:dyDescent="0.3">
      <c r="A27" s="12" t="s">
        <v>99</v>
      </c>
      <c r="B27" s="2" t="s">
        <v>96</v>
      </c>
      <c r="C27" s="2" t="s">
        <v>98</v>
      </c>
      <c r="D27" s="2">
        <v>1.83</v>
      </c>
      <c r="E27" s="2">
        <v>9</v>
      </c>
      <c r="F27" s="7">
        <v>173728</v>
      </c>
    </row>
    <row r="28" spans="1:6" x14ac:dyDescent="0.3">
      <c r="A28" s="12" t="s">
        <v>99</v>
      </c>
      <c r="B28" s="2" t="s">
        <v>96</v>
      </c>
      <c r="C28" s="2" t="s">
        <v>98</v>
      </c>
      <c r="D28" s="2">
        <v>1.83</v>
      </c>
      <c r="E28" s="2">
        <v>12</v>
      </c>
      <c r="F28" s="7">
        <v>180102</v>
      </c>
    </row>
    <row r="29" spans="1:6" x14ac:dyDescent="0.3">
      <c r="A29" s="12" t="s">
        <v>99</v>
      </c>
      <c r="B29" s="2" t="s">
        <v>96</v>
      </c>
      <c r="C29" s="2" t="s">
        <v>98</v>
      </c>
      <c r="D29" s="2">
        <v>1.83</v>
      </c>
      <c r="E29" s="2">
        <v>15</v>
      </c>
      <c r="F29" s="7">
        <v>198711</v>
      </c>
    </row>
    <row r="30" spans="1:6" x14ac:dyDescent="0.3">
      <c r="A30" s="12" t="s">
        <v>99</v>
      </c>
      <c r="B30" s="2" t="s">
        <v>96</v>
      </c>
      <c r="C30" s="2" t="s">
        <v>98</v>
      </c>
      <c r="D30" s="2">
        <v>1.83</v>
      </c>
      <c r="E30" s="2">
        <v>18</v>
      </c>
      <c r="F30" s="7">
        <v>220308</v>
      </c>
    </row>
    <row r="31" spans="1:6" x14ac:dyDescent="0.3">
      <c r="A31" s="12" t="s">
        <v>99</v>
      </c>
      <c r="B31" s="2" t="s">
        <v>96</v>
      </c>
      <c r="C31" s="2" t="s">
        <v>98</v>
      </c>
      <c r="D31" s="2">
        <v>1.83</v>
      </c>
      <c r="E31" s="2">
        <v>25</v>
      </c>
      <c r="F31" s="7">
        <v>316175</v>
      </c>
    </row>
    <row r="32" spans="1:6" x14ac:dyDescent="0.3">
      <c r="A32" s="12" t="s">
        <v>99</v>
      </c>
      <c r="B32" s="2" t="s">
        <v>96</v>
      </c>
      <c r="C32" s="2" t="s">
        <v>98</v>
      </c>
      <c r="D32" s="2">
        <v>1.83</v>
      </c>
      <c r="E32" s="2">
        <v>30</v>
      </c>
      <c r="F32" s="7">
        <v>352354</v>
      </c>
    </row>
    <row r="33" spans="1:6" ht="15" thickBot="1" x14ac:dyDescent="0.35">
      <c r="A33" s="12" t="s">
        <v>99</v>
      </c>
      <c r="B33" s="8" t="s">
        <v>96</v>
      </c>
      <c r="C33" s="8" t="s">
        <v>98</v>
      </c>
      <c r="D33" s="8">
        <v>1.83</v>
      </c>
      <c r="E33" s="8">
        <v>36</v>
      </c>
      <c r="F33" s="9">
        <v>353038</v>
      </c>
    </row>
    <row r="34" spans="1:6" x14ac:dyDescent="0.3">
      <c r="A34" s="12" t="s">
        <v>100</v>
      </c>
      <c r="B34" s="13" t="s">
        <v>93</v>
      </c>
      <c r="C34" s="13" t="s">
        <v>101</v>
      </c>
      <c r="D34" s="13">
        <v>1.83</v>
      </c>
      <c r="E34" s="13">
        <v>6</v>
      </c>
      <c r="F34" s="14">
        <v>117801</v>
      </c>
    </row>
    <row r="35" spans="1:6" x14ac:dyDescent="0.3">
      <c r="A35" s="12" t="s">
        <v>100</v>
      </c>
      <c r="B35" s="2" t="s">
        <v>93</v>
      </c>
      <c r="C35" s="13" t="s">
        <v>101</v>
      </c>
      <c r="D35" s="2">
        <v>1.83</v>
      </c>
      <c r="E35" s="2">
        <v>9</v>
      </c>
      <c r="F35" s="7">
        <v>139932</v>
      </c>
    </row>
    <row r="36" spans="1:6" x14ac:dyDescent="0.3">
      <c r="A36" s="12" t="s">
        <v>100</v>
      </c>
      <c r="B36" s="2" t="s">
        <v>93</v>
      </c>
      <c r="C36" s="13" t="s">
        <v>101</v>
      </c>
      <c r="D36" s="2">
        <v>1.83</v>
      </c>
      <c r="E36" s="2">
        <v>12</v>
      </c>
      <c r="F36" s="7">
        <v>157343</v>
      </c>
    </row>
    <row r="37" spans="1:6" x14ac:dyDescent="0.3">
      <c r="A37" s="12" t="s">
        <v>100</v>
      </c>
      <c r="B37" s="2" t="s">
        <v>93</v>
      </c>
      <c r="C37" s="13" t="s">
        <v>101</v>
      </c>
      <c r="D37" s="2">
        <v>1.83</v>
      </c>
      <c r="E37" s="2">
        <v>15</v>
      </c>
      <c r="F37" s="7">
        <v>170499</v>
      </c>
    </row>
    <row r="38" spans="1:6" x14ac:dyDescent="0.3">
      <c r="A38" s="12" t="s">
        <v>100</v>
      </c>
      <c r="B38" s="2" t="s">
        <v>93</v>
      </c>
      <c r="C38" s="13" t="s">
        <v>101</v>
      </c>
      <c r="D38" s="2">
        <v>1.83</v>
      </c>
      <c r="E38" s="2">
        <v>18</v>
      </c>
      <c r="F38" s="7">
        <v>188679</v>
      </c>
    </row>
    <row r="39" spans="1:6" x14ac:dyDescent="0.3">
      <c r="A39" s="12" t="s">
        <v>100</v>
      </c>
      <c r="B39" s="2" t="s">
        <v>93</v>
      </c>
      <c r="C39" s="13" t="s">
        <v>101</v>
      </c>
      <c r="D39" s="2">
        <v>1.83</v>
      </c>
      <c r="E39" s="2">
        <v>25</v>
      </c>
      <c r="F39" s="7">
        <v>254638</v>
      </c>
    </row>
    <row r="40" spans="1:6" x14ac:dyDescent="0.3">
      <c r="A40" s="12" t="s">
        <v>100</v>
      </c>
      <c r="B40" s="2" t="s">
        <v>93</v>
      </c>
      <c r="C40" s="13" t="s">
        <v>101</v>
      </c>
      <c r="D40" s="2">
        <v>1.83</v>
      </c>
      <c r="E40" s="2">
        <v>30</v>
      </c>
      <c r="F40" s="7">
        <v>283862</v>
      </c>
    </row>
    <row r="41" spans="1:6" x14ac:dyDescent="0.3">
      <c r="A41" s="12" t="s">
        <v>100</v>
      </c>
      <c r="B41" s="2" t="s">
        <v>93</v>
      </c>
      <c r="C41" s="13" t="s">
        <v>101</v>
      </c>
      <c r="D41" s="2">
        <v>1.83</v>
      </c>
      <c r="E41" s="2">
        <v>36</v>
      </c>
      <c r="F41" s="7">
        <v>284188</v>
      </c>
    </row>
    <row r="42" spans="1:6" x14ac:dyDescent="0.3">
      <c r="A42" s="12" t="s">
        <v>102</v>
      </c>
      <c r="B42" s="2" t="s">
        <v>96</v>
      </c>
      <c r="C42" s="13" t="s">
        <v>101</v>
      </c>
      <c r="D42" s="2">
        <v>1.83</v>
      </c>
      <c r="E42" s="2">
        <v>6</v>
      </c>
      <c r="F42" s="7">
        <v>146813</v>
      </c>
    </row>
    <row r="43" spans="1:6" x14ac:dyDescent="0.3">
      <c r="A43" s="12" t="s">
        <v>102</v>
      </c>
      <c r="B43" s="2" t="s">
        <v>96</v>
      </c>
      <c r="C43" s="13" t="s">
        <v>101</v>
      </c>
      <c r="D43" s="2">
        <v>1.83</v>
      </c>
      <c r="E43" s="2">
        <v>9</v>
      </c>
      <c r="F43" s="7">
        <v>161142</v>
      </c>
    </row>
    <row r="44" spans="1:6" x14ac:dyDescent="0.3">
      <c r="A44" s="12" t="s">
        <v>102</v>
      </c>
      <c r="B44" s="2" t="s">
        <v>96</v>
      </c>
      <c r="C44" s="13" t="s">
        <v>101</v>
      </c>
      <c r="D44" s="2">
        <v>1.83</v>
      </c>
      <c r="E44" s="2">
        <v>12</v>
      </c>
      <c r="F44" s="7">
        <v>167045</v>
      </c>
    </row>
    <row r="45" spans="1:6" x14ac:dyDescent="0.3">
      <c r="A45" s="12" t="s">
        <v>102</v>
      </c>
      <c r="B45" s="2" t="s">
        <v>96</v>
      </c>
      <c r="C45" s="13" t="s">
        <v>101</v>
      </c>
      <c r="D45" s="2">
        <v>1.83</v>
      </c>
      <c r="E45" s="2">
        <v>15</v>
      </c>
      <c r="F45" s="7">
        <v>196081</v>
      </c>
    </row>
    <row r="46" spans="1:6" x14ac:dyDescent="0.3">
      <c r="A46" s="12" t="s">
        <v>102</v>
      </c>
      <c r="B46" s="2" t="s">
        <v>96</v>
      </c>
      <c r="C46" s="13" t="s">
        <v>101</v>
      </c>
      <c r="D46" s="2">
        <v>1.83</v>
      </c>
      <c r="E46" s="2">
        <v>18</v>
      </c>
      <c r="F46" s="7">
        <v>217390</v>
      </c>
    </row>
    <row r="47" spans="1:6" x14ac:dyDescent="0.3">
      <c r="A47" s="12" t="s">
        <v>102</v>
      </c>
      <c r="B47" s="2" t="s">
        <v>96</v>
      </c>
      <c r="C47" s="13" t="s">
        <v>101</v>
      </c>
      <c r="D47" s="2">
        <v>1.83</v>
      </c>
      <c r="E47" s="2">
        <v>25</v>
      </c>
      <c r="F47" s="7">
        <v>293258</v>
      </c>
    </row>
    <row r="48" spans="1:6" x14ac:dyDescent="0.3">
      <c r="A48" s="12" t="s">
        <v>102</v>
      </c>
      <c r="B48" s="2" t="s">
        <v>96</v>
      </c>
      <c r="C48" s="13" t="s">
        <v>101</v>
      </c>
      <c r="D48" s="2">
        <v>1.83</v>
      </c>
      <c r="E48" s="2">
        <v>30</v>
      </c>
      <c r="F48" s="7">
        <v>326815</v>
      </c>
    </row>
    <row r="49" spans="1:6" x14ac:dyDescent="0.3">
      <c r="A49" s="12" t="s">
        <v>102</v>
      </c>
      <c r="B49" s="24" t="s">
        <v>96</v>
      </c>
      <c r="C49" s="13" t="s">
        <v>101</v>
      </c>
      <c r="D49" s="24">
        <v>1.83</v>
      </c>
      <c r="E49" s="24">
        <v>36</v>
      </c>
      <c r="F49" s="10">
        <v>327446</v>
      </c>
    </row>
    <row r="50" spans="1:6" x14ac:dyDescent="0.3">
      <c r="A50" s="12" t="s">
        <v>103</v>
      </c>
      <c r="B50" s="13" t="s">
        <v>93</v>
      </c>
      <c r="C50" s="13" t="s">
        <v>101</v>
      </c>
      <c r="D50" s="13">
        <v>1.83</v>
      </c>
      <c r="E50" s="13">
        <v>6</v>
      </c>
      <c r="F50" s="14">
        <v>117801</v>
      </c>
    </row>
    <row r="51" spans="1:6" x14ac:dyDescent="0.3">
      <c r="A51" s="12" t="s">
        <v>103</v>
      </c>
      <c r="B51" s="2" t="s">
        <v>93</v>
      </c>
      <c r="C51" s="13" t="s">
        <v>101</v>
      </c>
      <c r="D51" s="2">
        <v>1.83</v>
      </c>
      <c r="E51" s="2">
        <v>9</v>
      </c>
      <c r="F51" s="7">
        <v>139932</v>
      </c>
    </row>
    <row r="52" spans="1:6" x14ac:dyDescent="0.3">
      <c r="A52" s="12" t="s">
        <v>103</v>
      </c>
      <c r="B52" s="2" t="s">
        <v>93</v>
      </c>
      <c r="C52" s="13" t="s">
        <v>101</v>
      </c>
      <c r="D52" s="2">
        <v>1.83</v>
      </c>
      <c r="E52" s="2">
        <v>12</v>
      </c>
      <c r="F52" s="7">
        <v>157343</v>
      </c>
    </row>
    <row r="53" spans="1:6" x14ac:dyDescent="0.3">
      <c r="A53" s="12" t="s">
        <v>103</v>
      </c>
      <c r="B53" s="2" t="s">
        <v>93</v>
      </c>
      <c r="C53" s="13" t="s">
        <v>101</v>
      </c>
      <c r="D53" s="2">
        <v>1.83</v>
      </c>
      <c r="E53" s="2">
        <v>15</v>
      </c>
      <c r="F53" s="7">
        <v>170499</v>
      </c>
    </row>
    <row r="54" spans="1:6" x14ac:dyDescent="0.3">
      <c r="A54" s="12" t="s">
        <v>103</v>
      </c>
      <c r="B54" s="2" t="s">
        <v>93</v>
      </c>
      <c r="C54" s="13" t="s">
        <v>101</v>
      </c>
      <c r="D54" s="2">
        <v>1.83</v>
      </c>
      <c r="E54" s="2">
        <v>18</v>
      </c>
      <c r="F54" s="7">
        <v>188679</v>
      </c>
    </row>
    <row r="55" spans="1:6" x14ac:dyDescent="0.3">
      <c r="A55" s="12" t="s">
        <v>103</v>
      </c>
      <c r="B55" s="2" t="s">
        <v>93</v>
      </c>
      <c r="C55" s="13" t="s">
        <v>101</v>
      </c>
      <c r="D55" s="2">
        <v>1.83</v>
      </c>
      <c r="E55" s="2">
        <v>25</v>
      </c>
      <c r="F55" s="7">
        <v>254638</v>
      </c>
    </row>
    <row r="56" spans="1:6" x14ac:dyDescent="0.3">
      <c r="A56" s="12" t="s">
        <v>103</v>
      </c>
      <c r="B56" s="2" t="s">
        <v>93</v>
      </c>
      <c r="C56" s="13" t="s">
        <v>101</v>
      </c>
      <c r="D56" s="2">
        <v>1.83</v>
      </c>
      <c r="E56" s="2">
        <v>30</v>
      </c>
      <c r="F56" s="7">
        <v>283862</v>
      </c>
    </row>
    <row r="57" spans="1:6" x14ac:dyDescent="0.3">
      <c r="A57" s="12" t="s">
        <v>103</v>
      </c>
      <c r="B57" s="2" t="s">
        <v>93</v>
      </c>
      <c r="C57" s="13" t="s">
        <v>101</v>
      </c>
      <c r="D57" s="2">
        <v>1.83</v>
      </c>
      <c r="E57" s="2">
        <v>36</v>
      </c>
      <c r="F57" s="7">
        <v>284188</v>
      </c>
    </row>
    <row r="58" spans="1:6" x14ac:dyDescent="0.3">
      <c r="A58" s="12" t="s">
        <v>104</v>
      </c>
      <c r="B58" s="2" t="s">
        <v>96</v>
      </c>
      <c r="C58" s="13" t="s">
        <v>101</v>
      </c>
      <c r="D58" s="2">
        <v>1.83</v>
      </c>
      <c r="E58" s="2">
        <v>6</v>
      </c>
      <c r="F58" s="7">
        <v>146813</v>
      </c>
    </row>
    <row r="59" spans="1:6" x14ac:dyDescent="0.3">
      <c r="A59" s="12" t="s">
        <v>104</v>
      </c>
      <c r="B59" s="2" t="s">
        <v>96</v>
      </c>
      <c r="C59" s="13" t="s">
        <v>101</v>
      </c>
      <c r="D59" s="2">
        <v>1.83</v>
      </c>
      <c r="E59" s="2">
        <v>9</v>
      </c>
      <c r="F59" s="7">
        <v>161142</v>
      </c>
    </row>
    <row r="60" spans="1:6" x14ac:dyDescent="0.3">
      <c r="A60" s="12" t="s">
        <v>104</v>
      </c>
      <c r="B60" s="2" t="s">
        <v>96</v>
      </c>
      <c r="C60" s="13" t="s">
        <v>101</v>
      </c>
      <c r="D60" s="2">
        <v>1.83</v>
      </c>
      <c r="E60" s="2">
        <v>12</v>
      </c>
      <c r="F60" s="7">
        <v>167045</v>
      </c>
    </row>
    <row r="61" spans="1:6" x14ac:dyDescent="0.3">
      <c r="A61" s="12" t="s">
        <v>104</v>
      </c>
      <c r="B61" s="2" t="s">
        <v>96</v>
      </c>
      <c r="C61" s="13" t="s">
        <v>101</v>
      </c>
      <c r="D61" s="2">
        <v>1.83</v>
      </c>
      <c r="E61" s="2">
        <v>15</v>
      </c>
      <c r="F61" s="7">
        <v>196081</v>
      </c>
    </row>
    <row r="62" spans="1:6" x14ac:dyDescent="0.3">
      <c r="A62" s="12" t="s">
        <v>104</v>
      </c>
      <c r="B62" s="2" t="s">
        <v>96</v>
      </c>
      <c r="C62" s="13" t="s">
        <v>101</v>
      </c>
      <c r="D62" s="2">
        <v>1.83</v>
      </c>
      <c r="E62" s="2">
        <v>18</v>
      </c>
      <c r="F62" s="7">
        <v>217390</v>
      </c>
    </row>
    <row r="63" spans="1:6" x14ac:dyDescent="0.3">
      <c r="A63" s="12" t="s">
        <v>104</v>
      </c>
      <c r="B63" s="2" t="s">
        <v>96</v>
      </c>
      <c r="C63" s="13" t="s">
        <v>101</v>
      </c>
      <c r="D63" s="2">
        <v>1.83</v>
      </c>
      <c r="E63" s="2">
        <v>25</v>
      </c>
      <c r="F63" s="7">
        <v>293258</v>
      </c>
    </row>
    <row r="64" spans="1:6" x14ac:dyDescent="0.3">
      <c r="A64" s="12" t="s">
        <v>104</v>
      </c>
      <c r="B64" s="2" t="s">
        <v>96</v>
      </c>
      <c r="C64" s="13" t="s">
        <v>101</v>
      </c>
      <c r="D64" s="2">
        <v>1.83</v>
      </c>
      <c r="E64" s="2">
        <v>30</v>
      </c>
      <c r="F64" s="7">
        <v>326815</v>
      </c>
    </row>
    <row r="65" spans="1:6" ht="15" thickBot="1" x14ac:dyDescent="0.35">
      <c r="A65" s="12" t="s">
        <v>104</v>
      </c>
      <c r="B65" s="24" t="s">
        <v>96</v>
      </c>
      <c r="C65" s="13" t="s">
        <v>101</v>
      </c>
      <c r="D65" s="24">
        <v>1.83</v>
      </c>
      <c r="E65" s="24">
        <v>36</v>
      </c>
      <c r="F65" s="10">
        <v>327446</v>
      </c>
    </row>
    <row r="66" spans="1:6" ht="15" thickBot="1" x14ac:dyDescent="0.35">
      <c r="A66" s="11" t="s">
        <v>105</v>
      </c>
      <c r="B66" s="23" t="s">
        <v>93</v>
      </c>
      <c r="C66" s="23" t="s">
        <v>106</v>
      </c>
      <c r="D66" s="23">
        <v>1.83</v>
      </c>
      <c r="E66" s="23">
        <v>6</v>
      </c>
      <c r="F66" s="6">
        <v>119432</v>
      </c>
    </row>
    <row r="67" spans="1:6" ht="15" thickBot="1" x14ac:dyDescent="0.35">
      <c r="A67" s="11" t="s">
        <v>105</v>
      </c>
      <c r="B67" s="2" t="s">
        <v>93</v>
      </c>
      <c r="C67" s="2" t="s">
        <v>106</v>
      </c>
      <c r="D67" s="2">
        <v>1.83</v>
      </c>
      <c r="E67" s="2">
        <v>9</v>
      </c>
      <c r="F67" s="7">
        <v>146677</v>
      </c>
    </row>
    <row r="68" spans="1:6" ht="15" thickBot="1" x14ac:dyDescent="0.35">
      <c r="A68" s="11" t="s">
        <v>105</v>
      </c>
      <c r="B68" s="2" t="s">
        <v>93</v>
      </c>
      <c r="C68" s="2" t="s">
        <v>106</v>
      </c>
      <c r="D68" s="2">
        <v>1.83</v>
      </c>
      <c r="E68" s="2">
        <v>12</v>
      </c>
      <c r="F68" s="7">
        <v>165192</v>
      </c>
    </row>
    <row r="69" spans="1:6" ht="15" thickBot="1" x14ac:dyDescent="0.35">
      <c r="A69" s="11" t="s">
        <v>105</v>
      </c>
      <c r="B69" s="2" t="s">
        <v>93</v>
      </c>
      <c r="C69" s="2" t="s">
        <v>106</v>
      </c>
      <c r="D69" s="2">
        <v>1.83</v>
      </c>
      <c r="E69" s="2">
        <v>15</v>
      </c>
      <c r="F69" s="7">
        <v>177677</v>
      </c>
    </row>
    <row r="70" spans="1:6" ht="15" thickBot="1" x14ac:dyDescent="0.35">
      <c r="A70" s="11" t="s">
        <v>105</v>
      </c>
      <c r="B70" s="2" t="s">
        <v>93</v>
      </c>
      <c r="C70" s="2" t="s">
        <v>106</v>
      </c>
      <c r="D70" s="2">
        <v>1.83</v>
      </c>
      <c r="E70" s="2">
        <v>18</v>
      </c>
      <c r="F70" s="7">
        <v>197966</v>
      </c>
    </row>
    <row r="71" spans="1:6" ht="15" thickBot="1" x14ac:dyDescent="0.35">
      <c r="A71" s="11" t="s">
        <v>105</v>
      </c>
      <c r="B71" s="2" t="s">
        <v>93</v>
      </c>
      <c r="C71" s="2" t="s">
        <v>106</v>
      </c>
      <c r="D71" s="2">
        <v>1.83</v>
      </c>
      <c r="E71" s="2">
        <v>25</v>
      </c>
      <c r="F71" s="7">
        <v>267320</v>
      </c>
    </row>
    <row r="72" spans="1:6" ht="15" thickBot="1" x14ac:dyDescent="0.35">
      <c r="A72" s="11" t="s">
        <v>105</v>
      </c>
      <c r="B72" s="2" t="s">
        <v>93</v>
      </c>
      <c r="C72" s="2" t="s">
        <v>106</v>
      </c>
      <c r="D72" s="2">
        <v>1.83</v>
      </c>
      <c r="E72" s="2">
        <v>30</v>
      </c>
      <c r="F72" s="7">
        <v>297784</v>
      </c>
    </row>
    <row r="73" spans="1:6" ht="15" thickBot="1" x14ac:dyDescent="0.35">
      <c r="A73" s="11" t="s">
        <v>105</v>
      </c>
      <c r="B73" s="2" t="s">
        <v>93</v>
      </c>
      <c r="C73" s="2" t="s">
        <v>106</v>
      </c>
      <c r="D73" s="2">
        <v>1.83</v>
      </c>
      <c r="E73" s="2">
        <v>36</v>
      </c>
      <c r="F73" s="7">
        <v>298320</v>
      </c>
    </row>
    <row r="74" spans="1:6" ht="15" thickBot="1" x14ac:dyDescent="0.35">
      <c r="A74" s="11" t="s">
        <v>107</v>
      </c>
      <c r="B74" s="8" t="s">
        <v>96</v>
      </c>
      <c r="C74" s="2" t="s">
        <v>106</v>
      </c>
      <c r="D74" s="2">
        <v>1.83</v>
      </c>
      <c r="E74" s="2">
        <v>6</v>
      </c>
      <c r="F74" s="7">
        <v>158348</v>
      </c>
    </row>
    <row r="75" spans="1:6" ht="15" thickBot="1" x14ac:dyDescent="0.35">
      <c r="A75" s="11" t="s">
        <v>107</v>
      </c>
      <c r="B75" s="8" t="s">
        <v>96</v>
      </c>
      <c r="C75" s="2" t="s">
        <v>106</v>
      </c>
      <c r="D75" s="2">
        <v>1.83</v>
      </c>
      <c r="E75" s="2">
        <v>9</v>
      </c>
      <c r="F75" s="7">
        <v>170405</v>
      </c>
    </row>
    <row r="76" spans="1:6" ht="15" thickBot="1" x14ac:dyDescent="0.35">
      <c r="A76" s="11" t="s">
        <v>107</v>
      </c>
      <c r="B76" s="8" t="s">
        <v>96</v>
      </c>
      <c r="C76" s="2" t="s">
        <v>106</v>
      </c>
      <c r="D76" s="2">
        <v>1.83</v>
      </c>
      <c r="E76" s="2">
        <v>12</v>
      </c>
      <c r="F76" s="7">
        <v>176745</v>
      </c>
    </row>
    <row r="77" spans="1:6" ht="15" thickBot="1" x14ac:dyDescent="0.35">
      <c r="A77" s="11" t="s">
        <v>107</v>
      </c>
      <c r="B77" s="8" t="s">
        <v>96</v>
      </c>
      <c r="C77" s="2" t="s">
        <v>106</v>
      </c>
      <c r="D77" s="2">
        <v>1.83</v>
      </c>
      <c r="E77" s="2">
        <v>15</v>
      </c>
      <c r="F77" s="7">
        <v>206322</v>
      </c>
    </row>
    <row r="78" spans="1:6" ht="15" thickBot="1" x14ac:dyDescent="0.35">
      <c r="A78" s="11" t="s">
        <v>107</v>
      </c>
      <c r="B78" s="8" t="s">
        <v>96</v>
      </c>
      <c r="C78" s="2" t="s">
        <v>106</v>
      </c>
      <c r="D78" s="2">
        <v>1.83</v>
      </c>
      <c r="E78" s="2">
        <v>18</v>
      </c>
      <c r="F78" s="7">
        <v>229909</v>
      </c>
    </row>
    <row r="79" spans="1:6" ht="15" thickBot="1" x14ac:dyDescent="0.35">
      <c r="A79" s="11" t="s">
        <v>107</v>
      </c>
      <c r="B79" s="8" t="s">
        <v>96</v>
      </c>
      <c r="C79" s="2" t="s">
        <v>106</v>
      </c>
      <c r="D79" s="2">
        <v>1.83</v>
      </c>
      <c r="E79" s="2">
        <v>25</v>
      </c>
      <c r="F79" s="7">
        <v>310425</v>
      </c>
    </row>
    <row r="80" spans="1:6" ht="15" thickBot="1" x14ac:dyDescent="0.35">
      <c r="A80" s="11" t="s">
        <v>107</v>
      </c>
      <c r="B80" s="8" t="s">
        <v>96</v>
      </c>
      <c r="C80" s="2" t="s">
        <v>106</v>
      </c>
      <c r="D80" s="2">
        <v>1.83</v>
      </c>
      <c r="E80" s="2">
        <v>30</v>
      </c>
      <c r="F80" s="7">
        <v>345901</v>
      </c>
    </row>
    <row r="81" spans="1:6" ht="15" thickBot="1" x14ac:dyDescent="0.35">
      <c r="A81" s="11" t="s">
        <v>107</v>
      </c>
      <c r="B81" s="8" t="s">
        <v>96</v>
      </c>
      <c r="C81" s="8" t="s">
        <v>106</v>
      </c>
      <c r="D81" s="8">
        <v>1.83</v>
      </c>
      <c r="E81" s="8">
        <v>36</v>
      </c>
      <c r="F81" s="9">
        <v>346526</v>
      </c>
    </row>
    <row r="82" spans="1:6" ht="15" thickBot="1" x14ac:dyDescent="0.35">
      <c r="A82" s="11" t="s">
        <v>108</v>
      </c>
      <c r="B82" s="23" t="s">
        <v>93</v>
      </c>
      <c r="C82" s="23" t="s">
        <v>106</v>
      </c>
      <c r="D82" s="23">
        <v>1.83</v>
      </c>
      <c r="E82" s="23">
        <v>6</v>
      </c>
      <c r="F82" s="6">
        <v>119432</v>
      </c>
    </row>
    <row r="83" spans="1:6" ht="15" thickBot="1" x14ac:dyDescent="0.35">
      <c r="A83" s="11" t="s">
        <v>108</v>
      </c>
      <c r="B83" s="2" t="s">
        <v>93</v>
      </c>
      <c r="C83" s="2" t="s">
        <v>106</v>
      </c>
      <c r="D83" s="2">
        <v>1.83</v>
      </c>
      <c r="E83" s="2">
        <v>9</v>
      </c>
      <c r="F83" s="7">
        <v>146677</v>
      </c>
    </row>
    <row r="84" spans="1:6" ht="15" thickBot="1" x14ac:dyDescent="0.35">
      <c r="A84" s="11" t="s">
        <v>108</v>
      </c>
      <c r="B84" s="2" t="s">
        <v>93</v>
      </c>
      <c r="C84" s="2" t="s">
        <v>106</v>
      </c>
      <c r="D84" s="2">
        <v>1.83</v>
      </c>
      <c r="E84" s="2">
        <v>12</v>
      </c>
      <c r="F84" s="7">
        <v>165192</v>
      </c>
    </row>
    <row r="85" spans="1:6" ht="15" thickBot="1" x14ac:dyDescent="0.35">
      <c r="A85" s="11" t="s">
        <v>108</v>
      </c>
      <c r="B85" s="2" t="s">
        <v>93</v>
      </c>
      <c r="C85" s="2" t="s">
        <v>106</v>
      </c>
      <c r="D85" s="2">
        <v>1.83</v>
      </c>
      <c r="E85" s="2">
        <v>15</v>
      </c>
      <c r="F85" s="7">
        <v>177677</v>
      </c>
    </row>
    <row r="86" spans="1:6" ht="15" thickBot="1" x14ac:dyDescent="0.35">
      <c r="A86" s="11" t="s">
        <v>108</v>
      </c>
      <c r="B86" s="2" t="s">
        <v>93</v>
      </c>
      <c r="C86" s="2" t="s">
        <v>106</v>
      </c>
      <c r="D86" s="2">
        <v>1.83</v>
      </c>
      <c r="E86" s="2">
        <v>18</v>
      </c>
      <c r="F86" s="7">
        <v>197966</v>
      </c>
    </row>
    <row r="87" spans="1:6" ht="15" thickBot="1" x14ac:dyDescent="0.35">
      <c r="A87" s="11" t="s">
        <v>108</v>
      </c>
      <c r="B87" s="2" t="s">
        <v>93</v>
      </c>
      <c r="C87" s="2" t="s">
        <v>106</v>
      </c>
      <c r="D87" s="2">
        <v>1.83</v>
      </c>
      <c r="E87" s="2">
        <v>25</v>
      </c>
      <c r="F87" s="7">
        <v>267320</v>
      </c>
    </row>
    <row r="88" spans="1:6" ht="15" thickBot="1" x14ac:dyDescent="0.35">
      <c r="A88" s="11" t="s">
        <v>108</v>
      </c>
      <c r="B88" s="2" t="s">
        <v>93</v>
      </c>
      <c r="C88" s="2" t="s">
        <v>106</v>
      </c>
      <c r="D88" s="2">
        <v>1.83</v>
      </c>
      <c r="E88" s="2">
        <v>30</v>
      </c>
      <c r="F88" s="7">
        <v>297784</v>
      </c>
    </row>
    <row r="89" spans="1:6" ht="15" thickBot="1" x14ac:dyDescent="0.35">
      <c r="A89" s="11" t="s">
        <v>108</v>
      </c>
      <c r="B89" s="2" t="s">
        <v>93</v>
      </c>
      <c r="C89" s="2" t="s">
        <v>106</v>
      </c>
      <c r="D89" s="2">
        <v>1.83</v>
      </c>
      <c r="E89" s="2">
        <v>36</v>
      </c>
      <c r="F89" s="7">
        <v>298320</v>
      </c>
    </row>
    <row r="90" spans="1:6" ht="15" thickBot="1" x14ac:dyDescent="0.35">
      <c r="A90" s="11" t="s">
        <v>109</v>
      </c>
      <c r="B90" s="2" t="s">
        <v>96</v>
      </c>
      <c r="C90" s="2" t="s">
        <v>106</v>
      </c>
      <c r="D90" s="2">
        <v>1.83</v>
      </c>
      <c r="E90" s="2">
        <v>6</v>
      </c>
      <c r="F90" s="7">
        <v>158348</v>
      </c>
    </row>
    <row r="91" spans="1:6" ht="15" thickBot="1" x14ac:dyDescent="0.35">
      <c r="A91" s="11" t="s">
        <v>109</v>
      </c>
      <c r="B91" s="2" t="s">
        <v>96</v>
      </c>
      <c r="C91" s="2" t="s">
        <v>106</v>
      </c>
      <c r="D91" s="2">
        <v>1.83</v>
      </c>
      <c r="E91" s="2">
        <v>9</v>
      </c>
      <c r="F91" s="7">
        <v>170405</v>
      </c>
    </row>
    <row r="92" spans="1:6" ht="15" thickBot="1" x14ac:dyDescent="0.35">
      <c r="A92" s="11" t="s">
        <v>109</v>
      </c>
      <c r="B92" s="2" t="s">
        <v>96</v>
      </c>
      <c r="C92" s="2" t="s">
        <v>106</v>
      </c>
      <c r="D92" s="2">
        <v>1.83</v>
      </c>
      <c r="E92" s="2">
        <v>12</v>
      </c>
      <c r="F92" s="7">
        <v>176745</v>
      </c>
    </row>
    <row r="93" spans="1:6" ht="15" thickBot="1" x14ac:dyDescent="0.35">
      <c r="A93" s="11" t="s">
        <v>109</v>
      </c>
      <c r="B93" s="2" t="s">
        <v>96</v>
      </c>
      <c r="C93" s="2" t="s">
        <v>106</v>
      </c>
      <c r="D93" s="2">
        <v>1.83</v>
      </c>
      <c r="E93" s="2">
        <v>15</v>
      </c>
      <c r="F93" s="7">
        <v>206322</v>
      </c>
    </row>
    <row r="94" spans="1:6" ht="15" thickBot="1" x14ac:dyDescent="0.35">
      <c r="A94" s="11" t="s">
        <v>109</v>
      </c>
      <c r="B94" s="2" t="s">
        <v>96</v>
      </c>
      <c r="C94" s="2" t="s">
        <v>106</v>
      </c>
      <c r="D94" s="2">
        <v>1.83</v>
      </c>
      <c r="E94" s="2">
        <v>18</v>
      </c>
      <c r="F94" s="7">
        <v>229909</v>
      </c>
    </row>
    <row r="95" spans="1:6" ht="15" thickBot="1" x14ac:dyDescent="0.35">
      <c r="A95" s="11" t="s">
        <v>109</v>
      </c>
      <c r="B95" s="2" t="s">
        <v>96</v>
      </c>
      <c r="C95" s="2" t="s">
        <v>106</v>
      </c>
      <c r="D95" s="2">
        <v>1.83</v>
      </c>
      <c r="E95" s="2">
        <v>25</v>
      </c>
      <c r="F95" s="7">
        <v>310425</v>
      </c>
    </row>
    <row r="96" spans="1:6" ht="15" thickBot="1" x14ac:dyDescent="0.35">
      <c r="A96" s="11" t="s">
        <v>109</v>
      </c>
      <c r="B96" s="2" t="s">
        <v>96</v>
      </c>
      <c r="C96" s="2" t="s">
        <v>106</v>
      </c>
      <c r="D96" s="2">
        <v>1.83</v>
      </c>
      <c r="E96" s="2">
        <v>30</v>
      </c>
      <c r="F96" s="7">
        <v>345901</v>
      </c>
    </row>
    <row r="97" spans="1:6" ht="15" thickBot="1" x14ac:dyDescent="0.35">
      <c r="A97" s="11" t="s">
        <v>109</v>
      </c>
      <c r="B97" s="8" t="s">
        <v>96</v>
      </c>
      <c r="C97" s="8" t="s">
        <v>106</v>
      </c>
      <c r="D97" s="8">
        <v>1.83</v>
      </c>
      <c r="E97" s="8">
        <v>36</v>
      </c>
      <c r="F97" s="9">
        <v>346526</v>
      </c>
    </row>
    <row r="98" spans="1:6" x14ac:dyDescent="0.3">
      <c r="A98" s="12" t="s">
        <v>110</v>
      </c>
      <c r="B98" s="13" t="s">
        <v>93</v>
      </c>
      <c r="C98" s="13" t="s">
        <v>106</v>
      </c>
      <c r="D98" s="13">
        <v>1.83</v>
      </c>
      <c r="E98" s="13">
        <v>9</v>
      </c>
      <c r="F98" s="14">
        <v>115097</v>
      </c>
    </row>
    <row r="99" spans="1:6" x14ac:dyDescent="0.3">
      <c r="A99" s="12" t="s">
        <v>110</v>
      </c>
      <c r="B99" s="2" t="s">
        <v>93</v>
      </c>
      <c r="C99" s="2" t="s">
        <v>106</v>
      </c>
      <c r="D99" s="2">
        <v>1.83</v>
      </c>
      <c r="E99" s="2">
        <v>12</v>
      </c>
      <c r="F99" s="7">
        <v>153463</v>
      </c>
    </row>
    <row r="100" spans="1:6" x14ac:dyDescent="0.3">
      <c r="A100" s="12" t="s">
        <v>110</v>
      </c>
      <c r="B100" s="2" t="s">
        <v>93</v>
      </c>
      <c r="C100" s="2" t="s">
        <v>106</v>
      </c>
      <c r="D100" s="2">
        <v>1.83</v>
      </c>
      <c r="E100" s="2">
        <v>15</v>
      </c>
      <c r="F100" s="7">
        <v>191829</v>
      </c>
    </row>
    <row r="101" spans="1:6" x14ac:dyDescent="0.3">
      <c r="A101" s="12" t="s">
        <v>110</v>
      </c>
      <c r="B101" s="2" t="s">
        <v>93</v>
      </c>
      <c r="C101" s="2" t="s">
        <v>106</v>
      </c>
      <c r="D101" s="2">
        <v>1.83</v>
      </c>
      <c r="E101" s="2">
        <v>18</v>
      </c>
      <c r="F101" s="7">
        <v>230194</v>
      </c>
    </row>
    <row r="102" spans="1:6" x14ac:dyDescent="0.3">
      <c r="A102" s="12" t="s">
        <v>110</v>
      </c>
      <c r="B102" s="2" t="s">
        <v>93</v>
      </c>
      <c r="C102" s="2" t="s">
        <v>106</v>
      </c>
      <c r="D102" s="2">
        <v>1.83</v>
      </c>
      <c r="E102" s="2">
        <v>25</v>
      </c>
      <c r="F102" s="7">
        <v>319715</v>
      </c>
    </row>
    <row r="103" spans="1:6" x14ac:dyDescent="0.3">
      <c r="A103" s="12" t="s">
        <v>110</v>
      </c>
      <c r="B103" s="2" t="s">
        <v>93</v>
      </c>
      <c r="C103" s="2" t="s">
        <v>106</v>
      </c>
      <c r="D103" s="2">
        <v>1.83</v>
      </c>
      <c r="E103" s="2">
        <v>30</v>
      </c>
      <c r="F103" s="7">
        <v>383657</v>
      </c>
    </row>
    <row r="104" spans="1:6" x14ac:dyDescent="0.3">
      <c r="A104" s="12" t="s">
        <v>110</v>
      </c>
      <c r="B104" s="2" t="s">
        <v>93</v>
      </c>
      <c r="C104" s="2" t="s">
        <v>106</v>
      </c>
      <c r="D104" s="2">
        <v>1.83</v>
      </c>
      <c r="E104" s="2">
        <v>36</v>
      </c>
      <c r="F104" s="7">
        <v>460389</v>
      </c>
    </row>
    <row r="105" spans="1:6" x14ac:dyDescent="0.3">
      <c r="A105" s="12" t="s">
        <v>111</v>
      </c>
      <c r="B105" s="2" t="s">
        <v>96</v>
      </c>
      <c r="C105" s="2" t="s">
        <v>106</v>
      </c>
      <c r="D105" s="2">
        <v>1.83</v>
      </c>
      <c r="E105" s="2">
        <v>9</v>
      </c>
      <c r="F105" s="7">
        <v>125948</v>
      </c>
    </row>
    <row r="106" spans="1:6" x14ac:dyDescent="0.3">
      <c r="A106" s="12" t="s">
        <v>111</v>
      </c>
      <c r="B106" s="2" t="s">
        <v>96</v>
      </c>
      <c r="C106" s="2" t="s">
        <v>106</v>
      </c>
      <c r="D106" s="2">
        <v>1.83</v>
      </c>
      <c r="E106" s="2">
        <v>12</v>
      </c>
      <c r="F106" s="7">
        <v>167931</v>
      </c>
    </row>
    <row r="107" spans="1:6" x14ac:dyDescent="0.3">
      <c r="A107" s="12" t="s">
        <v>111</v>
      </c>
      <c r="B107" s="2" t="s">
        <v>96</v>
      </c>
      <c r="C107" s="2" t="s">
        <v>106</v>
      </c>
      <c r="D107" s="2">
        <v>1.83</v>
      </c>
      <c r="E107" s="2">
        <v>15</v>
      </c>
      <c r="F107" s="7">
        <v>209914</v>
      </c>
    </row>
    <row r="108" spans="1:6" x14ac:dyDescent="0.3">
      <c r="A108" s="12" t="s">
        <v>111</v>
      </c>
      <c r="B108" s="2" t="s">
        <v>96</v>
      </c>
      <c r="C108" s="2" t="s">
        <v>106</v>
      </c>
      <c r="D108" s="2">
        <v>1.83</v>
      </c>
      <c r="E108" s="2">
        <v>18</v>
      </c>
      <c r="F108" s="7">
        <v>251896</v>
      </c>
    </row>
    <row r="109" spans="1:6" x14ac:dyDescent="0.3">
      <c r="A109" s="12" t="s">
        <v>111</v>
      </c>
      <c r="B109" s="2" t="s">
        <v>96</v>
      </c>
      <c r="C109" s="2" t="s">
        <v>106</v>
      </c>
      <c r="D109" s="2">
        <v>1.83</v>
      </c>
      <c r="E109" s="2">
        <v>25</v>
      </c>
      <c r="F109" s="7">
        <v>349856</v>
      </c>
    </row>
    <row r="110" spans="1:6" x14ac:dyDescent="0.3">
      <c r="A110" s="12" t="s">
        <v>111</v>
      </c>
      <c r="B110" s="2" t="s">
        <v>96</v>
      </c>
      <c r="C110" s="2" t="s">
        <v>106</v>
      </c>
      <c r="D110" s="2">
        <v>1.83</v>
      </c>
      <c r="E110" s="2">
        <v>30</v>
      </c>
      <c r="F110" s="7">
        <v>419827</v>
      </c>
    </row>
    <row r="111" spans="1:6" ht="15" thickBot="1" x14ac:dyDescent="0.35">
      <c r="A111" s="12" t="s">
        <v>111</v>
      </c>
      <c r="B111" s="8" t="s">
        <v>96</v>
      </c>
      <c r="C111" s="8" t="s">
        <v>106</v>
      </c>
      <c r="D111" s="8">
        <v>1.83</v>
      </c>
      <c r="E111" s="8">
        <v>36</v>
      </c>
      <c r="F111" s="9">
        <v>503793</v>
      </c>
    </row>
    <row r="112" spans="1:6" x14ac:dyDescent="0.3">
      <c r="A112" s="12" t="s">
        <v>111</v>
      </c>
      <c r="B112" s="13" t="s">
        <v>96</v>
      </c>
      <c r="C112" s="13" t="s">
        <v>106</v>
      </c>
      <c r="D112" s="13">
        <v>1.83</v>
      </c>
      <c r="E112" s="13">
        <v>15</v>
      </c>
      <c r="F112" s="14">
        <v>259014</v>
      </c>
    </row>
    <row r="113" spans="1:6" ht="15" thickBot="1" x14ac:dyDescent="0.35">
      <c r="A113" s="12" t="s">
        <v>111</v>
      </c>
      <c r="B113" s="8" t="s">
        <v>96</v>
      </c>
      <c r="C113" s="8" t="s">
        <v>106</v>
      </c>
      <c r="D113" s="8">
        <v>1.83</v>
      </c>
      <c r="E113" s="8">
        <v>18</v>
      </c>
      <c r="F113" s="9">
        <v>270808</v>
      </c>
    </row>
    <row r="114" spans="1:6" x14ac:dyDescent="0.3">
      <c r="A114" s="12" t="s">
        <v>111</v>
      </c>
      <c r="B114" s="13" t="s">
        <v>96</v>
      </c>
      <c r="C114" s="13" t="s">
        <v>98</v>
      </c>
      <c r="D114" s="13">
        <v>1.83</v>
      </c>
      <c r="E114" s="13">
        <v>9</v>
      </c>
      <c r="F114" s="14">
        <v>83894</v>
      </c>
    </row>
    <row r="115" spans="1:6" x14ac:dyDescent="0.3">
      <c r="A115" s="12" t="s">
        <v>111</v>
      </c>
      <c r="B115" s="2" t="s">
        <v>96</v>
      </c>
      <c r="C115" s="2" t="s">
        <v>98</v>
      </c>
      <c r="D115" s="2">
        <v>1.83</v>
      </c>
      <c r="E115" s="2">
        <v>0</v>
      </c>
      <c r="F115" s="7">
        <v>109799</v>
      </c>
    </row>
    <row r="116" spans="1:6" x14ac:dyDescent="0.3">
      <c r="A116" s="12" t="s">
        <v>111</v>
      </c>
      <c r="B116" s="2" t="s">
        <v>96</v>
      </c>
      <c r="C116" s="2" t="s">
        <v>98</v>
      </c>
      <c r="D116" s="2">
        <v>1.83</v>
      </c>
      <c r="E116" s="2">
        <v>15</v>
      </c>
      <c r="F116" s="7">
        <v>122524</v>
      </c>
    </row>
    <row r="117" spans="1:6" x14ac:dyDescent="0.3">
      <c r="A117" s="12" t="s">
        <v>111</v>
      </c>
      <c r="B117" s="24" t="s">
        <v>96</v>
      </c>
      <c r="C117" s="24" t="s">
        <v>98</v>
      </c>
      <c r="D117" s="24">
        <v>1.83</v>
      </c>
      <c r="E117" s="24">
        <v>18</v>
      </c>
      <c r="F117" s="10">
        <v>153514</v>
      </c>
    </row>
    <row r="118" spans="1:6" x14ac:dyDescent="0.3">
      <c r="A118" s="12" t="s">
        <v>111</v>
      </c>
      <c r="B118" s="2" t="s">
        <v>96</v>
      </c>
      <c r="C118" s="2" t="s">
        <v>98</v>
      </c>
      <c r="D118" s="2">
        <v>1.83</v>
      </c>
      <c r="E118" s="2">
        <v>12</v>
      </c>
      <c r="F118" s="7">
        <v>109799</v>
      </c>
    </row>
    <row r="119" spans="1:6" x14ac:dyDescent="0.3">
      <c r="A119" s="12" t="s">
        <v>111</v>
      </c>
      <c r="B119" s="2" t="s">
        <v>96</v>
      </c>
      <c r="C119" s="2" t="s">
        <v>98</v>
      </c>
      <c r="D119" s="2">
        <v>1.83</v>
      </c>
      <c r="E119" s="2">
        <v>15</v>
      </c>
      <c r="F119" s="7">
        <v>122524</v>
      </c>
    </row>
    <row r="120" spans="1:6" ht="15" thickBot="1" x14ac:dyDescent="0.35">
      <c r="A120" s="12" t="s">
        <v>111</v>
      </c>
      <c r="B120" s="24" t="s">
        <v>96</v>
      </c>
      <c r="C120" s="24" t="s">
        <v>98</v>
      </c>
      <c r="D120" s="24">
        <v>1.83</v>
      </c>
      <c r="E120" s="24">
        <v>18</v>
      </c>
      <c r="F120" s="10">
        <v>153514</v>
      </c>
    </row>
    <row r="121" spans="1:6" ht="15" thickBot="1" x14ac:dyDescent="0.35">
      <c r="A121" s="11" t="s">
        <v>112</v>
      </c>
      <c r="B121" s="23" t="s">
        <v>93</v>
      </c>
      <c r="C121" s="23" t="s">
        <v>113</v>
      </c>
      <c r="D121" s="23">
        <v>1.83</v>
      </c>
      <c r="E121" s="23">
        <v>4</v>
      </c>
      <c r="F121" s="6">
        <v>60000</v>
      </c>
    </row>
    <row r="122" spans="1:6" ht="15" thickBot="1" x14ac:dyDescent="0.35">
      <c r="A122" s="11" t="s">
        <v>114</v>
      </c>
      <c r="B122" s="2" t="s">
        <v>93</v>
      </c>
      <c r="C122" s="2" t="s">
        <v>113</v>
      </c>
      <c r="D122" s="2">
        <v>1.83</v>
      </c>
      <c r="E122" s="2">
        <v>5.5</v>
      </c>
      <c r="F122" s="7">
        <v>68000</v>
      </c>
    </row>
    <row r="123" spans="1:6" ht="15" thickBot="1" x14ac:dyDescent="0.35">
      <c r="A123" s="11" t="s">
        <v>114</v>
      </c>
      <c r="B123" s="2" t="s">
        <v>93</v>
      </c>
      <c r="C123" s="2" t="s">
        <v>113</v>
      </c>
      <c r="D123" s="2">
        <v>1.83</v>
      </c>
      <c r="E123" s="2">
        <v>9</v>
      </c>
      <c r="F123" s="7">
        <v>87000</v>
      </c>
    </row>
    <row r="124" spans="1:6" ht="15" thickBot="1" x14ac:dyDescent="0.35">
      <c r="A124" s="11" t="s">
        <v>114</v>
      </c>
      <c r="B124" s="2" t="s">
        <v>93</v>
      </c>
      <c r="C124" s="2" t="s">
        <v>113</v>
      </c>
      <c r="D124" s="2">
        <v>1.83</v>
      </c>
      <c r="E124" s="2">
        <v>12</v>
      </c>
      <c r="F124" s="7">
        <v>120000</v>
      </c>
    </row>
    <row r="125" spans="1:6" ht="15" thickBot="1" x14ac:dyDescent="0.35">
      <c r="A125" s="11" t="s">
        <v>114</v>
      </c>
      <c r="B125" s="2" t="s">
        <v>93</v>
      </c>
      <c r="C125" s="2" t="s">
        <v>113</v>
      </c>
      <c r="D125" s="2">
        <v>1.83</v>
      </c>
      <c r="E125" s="2">
        <v>15</v>
      </c>
      <c r="F125" s="7">
        <v>150000</v>
      </c>
    </row>
    <row r="126" spans="1:6" ht="15" thickBot="1" x14ac:dyDescent="0.35">
      <c r="A126" s="11" t="s">
        <v>114</v>
      </c>
      <c r="B126" s="2" t="s">
        <v>93</v>
      </c>
      <c r="C126" s="2" t="s">
        <v>113</v>
      </c>
      <c r="D126" s="2">
        <v>1.83</v>
      </c>
      <c r="E126" s="2">
        <v>18</v>
      </c>
      <c r="F126" s="7">
        <v>185000</v>
      </c>
    </row>
    <row r="127" spans="1:6" ht="15" thickBot="1" x14ac:dyDescent="0.35">
      <c r="A127" s="11" t="s">
        <v>9</v>
      </c>
      <c r="B127" s="2" t="s">
        <v>96</v>
      </c>
      <c r="C127" s="2" t="s">
        <v>113</v>
      </c>
      <c r="D127" s="2">
        <v>1.83</v>
      </c>
      <c r="E127" s="2">
        <v>5.5</v>
      </c>
      <c r="F127" s="7">
        <v>128500</v>
      </c>
    </row>
    <row r="128" spans="1:6" ht="15" thickBot="1" x14ac:dyDescent="0.35">
      <c r="A128" s="11" t="s">
        <v>9</v>
      </c>
      <c r="B128" s="2" t="s">
        <v>96</v>
      </c>
      <c r="C128" s="2" t="s">
        <v>113</v>
      </c>
      <c r="D128" s="2">
        <v>1.83</v>
      </c>
      <c r="E128" s="2">
        <v>9</v>
      </c>
      <c r="F128" s="7">
        <v>126207</v>
      </c>
    </row>
    <row r="129" spans="1:6" ht="15" thickBot="1" x14ac:dyDescent="0.35">
      <c r="A129" s="11" t="s">
        <v>9</v>
      </c>
      <c r="B129" s="2" t="s">
        <v>96</v>
      </c>
      <c r="C129" s="2" t="s">
        <v>113</v>
      </c>
      <c r="D129" s="2">
        <v>1.83</v>
      </c>
      <c r="E129" s="2">
        <v>12</v>
      </c>
      <c r="F129" s="7">
        <v>176310</v>
      </c>
    </row>
    <row r="130" spans="1:6" ht="15" thickBot="1" x14ac:dyDescent="0.35">
      <c r="A130" s="11" t="s">
        <v>9</v>
      </c>
      <c r="B130" s="2" t="s">
        <v>96</v>
      </c>
      <c r="C130" s="2" t="s">
        <v>113</v>
      </c>
      <c r="D130" s="2">
        <v>1.83</v>
      </c>
      <c r="E130" s="2">
        <v>15</v>
      </c>
      <c r="F130" s="7">
        <v>213444</v>
      </c>
    </row>
    <row r="131" spans="1:6" ht="15" thickBot="1" x14ac:dyDescent="0.35">
      <c r="A131" s="11" t="s">
        <v>9</v>
      </c>
      <c r="B131" s="8" t="s">
        <v>96</v>
      </c>
      <c r="C131" s="8" t="s">
        <v>113</v>
      </c>
      <c r="D131" s="8">
        <v>1.84</v>
      </c>
      <c r="E131" s="8">
        <v>18</v>
      </c>
      <c r="F131" s="9">
        <v>297972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90A412-43CF-476D-BF84-C72C21A0547B}">
  <sheetPr codeName="Hoja3"/>
  <dimension ref="A1:D74"/>
  <sheetViews>
    <sheetView workbookViewId="0">
      <selection activeCell="C2" sqref="C2"/>
    </sheetView>
  </sheetViews>
  <sheetFormatPr baseColWidth="10" defaultColWidth="11.44140625" defaultRowHeight="14.4" x14ac:dyDescent="0.3"/>
  <cols>
    <col min="1" max="1" width="17.88671875" customWidth="1"/>
    <col min="2" max="2" width="25.6640625" customWidth="1"/>
    <col min="3" max="3" width="13.109375" customWidth="1"/>
    <col min="4" max="4" width="31.88671875" customWidth="1"/>
  </cols>
  <sheetData>
    <row r="1" spans="1:4" x14ac:dyDescent="0.3">
      <c r="A1" s="19" t="s">
        <v>89</v>
      </c>
      <c r="B1" s="19" t="s">
        <v>37</v>
      </c>
      <c r="C1" s="19" t="s">
        <v>91</v>
      </c>
      <c r="D1" s="19" t="s">
        <v>92</v>
      </c>
    </row>
    <row r="2" spans="1:4" x14ac:dyDescent="0.3">
      <c r="A2" s="18" t="s">
        <v>10</v>
      </c>
      <c r="B2" s="18" t="s">
        <v>115</v>
      </c>
      <c r="C2" s="2">
        <v>19</v>
      </c>
      <c r="D2" s="20">
        <v>700</v>
      </c>
    </row>
    <row r="3" spans="1:4" x14ac:dyDescent="0.3">
      <c r="A3" s="18" t="s">
        <v>10</v>
      </c>
      <c r="B3" s="18" t="s">
        <v>115</v>
      </c>
      <c r="C3" s="2">
        <v>22</v>
      </c>
      <c r="D3" s="20">
        <v>900</v>
      </c>
    </row>
    <row r="4" spans="1:4" x14ac:dyDescent="0.3">
      <c r="A4" s="18" t="s">
        <v>10</v>
      </c>
      <c r="B4" s="18" t="s">
        <v>115</v>
      </c>
      <c r="C4" s="2">
        <v>29</v>
      </c>
      <c r="D4" s="20">
        <v>723</v>
      </c>
    </row>
    <row r="5" spans="1:4" x14ac:dyDescent="0.3">
      <c r="A5" s="18" t="s">
        <v>10</v>
      </c>
      <c r="B5" s="18" t="s">
        <v>115</v>
      </c>
      <c r="C5" s="2">
        <v>34</v>
      </c>
      <c r="D5" s="20">
        <v>923</v>
      </c>
    </row>
    <row r="6" spans="1:4" x14ac:dyDescent="0.3">
      <c r="A6" s="18" t="s">
        <v>10</v>
      </c>
      <c r="B6" s="18" t="s">
        <v>115</v>
      </c>
      <c r="C6" s="2">
        <v>44</v>
      </c>
      <c r="D6" s="20">
        <v>1700</v>
      </c>
    </row>
    <row r="7" spans="1:4" x14ac:dyDescent="0.3">
      <c r="A7" s="18" t="s">
        <v>10</v>
      </c>
      <c r="B7" s="18" t="s">
        <v>115</v>
      </c>
      <c r="C7" s="2">
        <v>90</v>
      </c>
      <c r="D7" s="20">
        <v>4400</v>
      </c>
    </row>
    <row r="8" spans="1:4" x14ac:dyDescent="0.3">
      <c r="A8" s="18" t="s">
        <v>10</v>
      </c>
      <c r="B8" s="18" t="s">
        <v>115</v>
      </c>
      <c r="C8" s="2">
        <v>200</v>
      </c>
      <c r="D8" s="20">
        <v>6900</v>
      </c>
    </row>
    <row r="9" spans="1:4" x14ac:dyDescent="0.3">
      <c r="A9" s="18" t="s">
        <v>11</v>
      </c>
      <c r="B9" s="18" t="s">
        <v>115</v>
      </c>
      <c r="C9" s="2">
        <v>19</v>
      </c>
      <c r="D9" s="20">
        <v>1400</v>
      </c>
    </row>
    <row r="10" spans="1:4" x14ac:dyDescent="0.3">
      <c r="A10" s="18" t="s">
        <v>11</v>
      </c>
      <c r="B10" s="18" t="s">
        <v>115</v>
      </c>
      <c r="C10" s="2">
        <v>22</v>
      </c>
      <c r="D10" s="20">
        <v>5700</v>
      </c>
    </row>
    <row r="11" spans="1:4" x14ac:dyDescent="0.3">
      <c r="A11" s="18" t="s">
        <v>11</v>
      </c>
      <c r="B11" s="18" t="s">
        <v>115</v>
      </c>
      <c r="C11" s="2">
        <v>23</v>
      </c>
      <c r="D11" s="20">
        <v>6500</v>
      </c>
    </row>
    <row r="12" spans="1:4" x14ac:dyDescent="0.3">
      <c r="A12" s="18" t="s">
        <v>11</v>
      </c>
      <c r="B12" s="18" t="s">
        <v>115</v>
      </c>
      <c r="C12" s="2">
        <v>44</v>
      </c>
      <c r="D12" s="20">
        <v>5111</v>
      </c>
    </row>
    <row r="13" spans="1:4" x14ac:dyDescent="0.3">
      <c r="A13" s="18" t="s">
        <v>11</v>
      </c>
      <c r="B13" s="18" t="s">
        <v>115</v>
      </c>
      <c r="C13" s="2">
        <v>90</v>
      </c>
      <c r="D13" s="20">
        <v>6100</v>
      </c>
    </row>
    <row r="14" spans="1:4" x14ac:dyDescent="0.3">
      <c r="A14" s="18" t="s">
        <v>116</v>
      </c>
      <c r="B14" s="18" t="s">
        <v>115</v>
      </c>
      <c r="C14" s="2">
        <v>19</v>
      </c>
      <c r="D14" s="20">
        <v>2100</v>
      </c>
    </row>
    <row r="15" spans="1:4" x14ac:dyDescent="0.3">
      <c r="A15" s="18" t="s">
        <v>116</v>
      </c>
      <c r="B15" s="18" t="s">
        <v>115</v>
      </c>
      <c r="C15" s="2">
        <v>22</v>
      </c>
      <c r="D15" s="20">
        <v>2500</v>
      </c>
    </row>
    <row r="16" spans="1:4" x14ac:dyDescent="0.3">
      <c r="A16" s="18" t="s">
        <v>116</v>
      </c>
      <c r="B16" s="18" t="s">
        <v>115</v>
      </c>
      <c r="C16" s="2">
        <v>29</v>
      </c>
      <c r="D16" s="20">
        <v>3200</v>
      </c>
    </row>
    <row r="17" spans="1:4" x14ac:dyDescent="0.3">
      <c r="A17" s="18" t="s">
        <v>116</v>
      </c>
      <c r="B17" s="18" t="s">
        <v>115</v>
      </c>
      <c r="C17" s="2">
        <v>33</v>
      </c>
      <c r="D17" s="20">
        <v>3600</v>
      </c>
    </row>
    <row r="18" spans="1:4" x14ac:dyDescent="0.3">
      <c r="A18" s="18" t="s">
        <v>116</v>
      </c>
      <c r="B18" s="18" t="s">
        <v>115</v>
      </c>
      <c r="C18" s="2">
        <v>44</v>
      </c>
      <c r="D18" s="20">
        <v>5700</v>
      </c>
    </row>
    <row r="19" spans="1:4" x14ac:dyDescent="0.3">
      <c r="A19" s="18" t="s">
        <v>117</v>
      </c>
      <c r="B19" s="2" t="s">
        <v>118</v>
      </c>
      <c r="C19" s="2">
        <v>13</v>
      </c>
      <c r="D19" s="25">
        <v>216</v>
      </c>
    </row>
    <row r="20" spans="1:4" x14ac:dyDescent="0.3">
      <c r="A20" s="18" t="s">
        <v>117</v>
      </c>
      <c r="B20" s="2" t="s">
        <v>118</v>
      </c>
      <c r="C20" s="2">
        <v>19</v>
      </c>
      <c r="D20" s="25">
        <v>315</v>
      </c>
    </row>
    <row r="21" spans="1:4" x14ac:dyDescent="0.3">
      <c r="A21" s="18" t="s">
        <v>117</v>
      </c>
      <c r="B21" s="2" t="s">
        <v>118</v>
      </c>
      <c r="C21" s="2">
        <v>22</v>
      </c>
      <c r="D21" s="25">
        <v>365</v>
      </c>
    </row>
    <row r="22" spans="1:4" ht="15" customHeight="1" x14ac:dyDescent="0.3">
      <c r="A22" s="18" t="s">
        <v>117</v>
      </c>
      <c r="B22" s="2" t="s">
        <v>118</v>
      </c>
      <c r="C22" s="2">
        <v>29</v>
      </c>
      <c r="D22" s="25">
        <v>480</v>
      </c>
    </row>
    <row r="23" spans="1:4" x14ac:dyDescent="0.3">
      <c r="A23" s="18" t="s">
        <v>117</v>
      </c>
      <c r="B23" s="2" t="s">
        <v>118</v>
      </c>
      <c r="C23" s="2">
        <v>34</v>
      </c>
      <c r="D23" s="25">
        <v>546</v>
      </c>
    </row>
    <row r="24" spans="1:4" x14ac:dyDescent="0.3">
      <c r="A24" s="18" t="s">
        <v>117</v>
      </c>
      <c r="B24" s="2" t="s">
        <v>118</v>
      </c>
      <c r="C24" s="2">
        <v>40</v>
      </c>
      <c r="D24" s="25">
        <v>662</v>
      </c>
    </row>
    <row r="25" spans="1:4" x14ac:dyDescent="0.3">
      <c r="A25" s="18" t="s">
        <v>117</v>
      </c>
      <c r="B25" s="2" t="s">
        <v>118</v>
      </c>
      <c r="C25" s="2">
        <v>44</v>
      </c>
      <c r="D25" s="25">
        <v>729</v>
      </c>
    </row>
    <row r="26" spans="1:4" x14ac:dyDescent="0.3">
      <c r="A26" s="18" t="s">
        <v>117</v>
      </c>
      <c r="B26" s="2" t="s">
        <v>118</v>
      </c>
      <c r="C26" s="2">
        <v>60</v>
      </c>
      <c r="D26" s="25">
        <v>994</v>
      </c>
    </row>
    <row r="27" spans="1:4" x14ac:dyDescent="0.3">
      <c r="A27" s="18" t="s">
        <v>119</v>
      </c>
      <c r="B27" s="2" t="s">
        <v>118</v>
      </c>
      <c r="C27" s="2">
        <v>13</v>
      </c>
      <c r="D27" s="25">
        <v>430</v>
      </c>
    </row>
    <row r="28" spans="1:4" x14ac:dyDescent="0.3">
      <c r="A28" s="18" t="s">
        <v>119</v>
      </c>
      <c r="B28" s="2" t="s">
        <v>118</v>
      </c>
      <c r="C28" s="2">
        <v>19</v>
      </c>
      <c r="D28" s="25">
        <v>629</v>
      </c>
    </row>
    <row r="29" spans="1:4" x14ac:dyDescent="0.3">
      <c r="A29" s="18" t="s">
        <v>119</v>
      </c>
      <c r="B29" s="2" t="s">
        <v>118</v>
      </c>
      <c r="C29" s="2">
        <v>22</v>
      </c>
      <c r="D29" s="25">
        <v>729</v>
      </c>
    </row>
    <row r="30" spans="1:4" x14ac:dyDescent="0.3">
      <c r="A30" s="18" t="s">
        <v>119</v>
      </c>
      <c r="B30" s="2" t="s">
        <v>118</v>
      </c>
      <c r="C30" s="2">
        <v>29</v>
      </c>
      <c r="D30" s="25">
        <v>960</v>
      </c>
    </row>
    <row r="31" spans="1:4" x14ac:dyDescent="0.3">
      <c r="A31" s="18" t="s">
        <v>119</v>
      </c>
      <c r="B31" s="2" t="s">
        <v>118</v>
      </c>
      <c r="C31" s="2">
        <v>33</v>
      </c>
      <c r="D31" s="25">
        <v>1094</v>
      </c>
    </row>
    <row r="32" spans="1:4" x14ac:dyDescent="0.3">
      <c r="A32" s="18" t="s">
        <v>119</v>
      </c>
      <c r="B32" s="2" t="s">
        <v>118</v>
      </c>
      <c r="C32" s="2">
        <v>40</v>
      </c>
      <c r="D32" s="25">
        <v>1325</v>
      </c>
    </row>
    <row r="33" spans="1:4" x14ac:dyDescent="0.3">
      <c r="A33" s="18" t="s">
        <v>119</v>
      </c>
      <c r="B33" s="2" t="s">
        <v>118</v>
      </c>
      <c r="C33" s="2">
        <v>44</v>
      </c>
      <c r="D33" s="25">
        <v>1457</v>
      </c>
    </row>
    <row r="34" spans="1:4" x14ac:dyDescent="0.3">
      <c r="A34" s="18" t="s">
        <v>119</v>
      </c>
      <c r="B34" s="2" t="s">
        <v>118</v>
      </c>
      <c r="C34" s="2">
        <v>60</v>
      </c>
      <c r="D34" s="25">
        <v>1987</v>
      </c>
    </row>
    <row r="35" spans="1:4" x14ac:dyDescent="0.3">
      <c r="A35" s="18" t="s">
        <v>120</v>
      </c>
      <c r="B35" s="2" t="s">
        <v>118</v>
      </c>
      <c r="C35" s="2">
        <v>19</v>
      </c>
      <c r="D35" s="25">
        <v>1169</v>
      </c>
    </row>
    <row r="36" spans="1:4" x14ac:dyDescent="0.3">
      <c r="A36" s="18" t="s">
        <v>120</v>
      </c>
      <c r="B36" s="2" t="s">
        <v>118</v>
      </c>
      <c r="C36" s="2">
        <v>22</v>
      </c>
      <c r="D36" s="25">
        <v>1353</v>
      </c>
    </row>
    <row r="37" spans="1:4" x14ac:dyDescent="0.3">
      <c r="A37" s="18" t="s">
        <v>120</v>
      </c>
      <c r="B37" s="2" t="s">
        <v>118</v>
      </c>
      <c r="C37" s="2">
        <v>40</v>
      </c>
      <c r="D37" s="25">
        <v>2460</v>
      </c>
    </row>
    <row r="38" spans="1:4" x14ac:dyDescent="0.3">
      <c r="A38" s="18" t="s">
        <v>121</v>
      </c>
      <c r="B38" s="2" t="s">
        <v>122</v>
      </c>
      <c r="C38" s="2">
        <v>13</v>
      </c>
      <c r="D38" s="25">
        <v>343</v>
      </c>
    </row>
    <row r="39" spans="1:4" x14ac:dyDescent="0.3">
      <c r="A39" s="18" t="s">
        <v>121</v>
      </c>
      <c r="B39" s="2" t="s">
        <v>122</v>
      </c>
      <c r="C39" s="2">
        <v>19</v>
      </c>
      <c r="D39" s="25">
        <v>406</v>
      </c>
    </row>
    <row r="40" spans="1:4" x14ac:dyDescent="0.3">
      <c r="A40" s="18" t="s">
        <v>121</v>
      </c>
      <c r="B40" s="2" t="s">
        <v>122</v>
      </c>
      <c r="C40" s="2">
        <v>22</v>
      </c>
      <c r="D40" s="25">
        <v>470</v>
      </c>
    </row>
    <row r="41" spans="1:4" x14ac:dyDescent="0.3">
      <c r="A41" s="18" t="s">
        <v>121</v>
      </c>
      <c r="B41" s="2" t="s">
        <v>122</v>
      </c>
      <c r="C41" s="2">
        <v>29</v>
      </c>
      <c r="D41" s="25">
        <v>620</v>
      </c>
    </row>
    <row r="42" spans="1:4" x14ac:dyDescent="0.3">
      <c r="A42" s="18" t="s">
        <v>121</v>
      </c>
      <c r="B42" s="2" t="s">
        <v>122</v>
      </c>
      <c r="C42" s="2">
        <v>34</v>
      </c>
      <c r="D42" s="25">
        <v>705</v>
      </c>
    </row>
    <row r="43" spans="1:4" x14ac:dyDescent="0.3">
      <c r="A43" s="18" t="s">
        <v>121</v>
      </c>
      <c r="B43" s="2" t="s">
        <v>122</v>
      </c>
      <c r="C43" s="2">
        <v>40</v>
      </c>
      <c r="D43" s="25">
        <v>855</v>
      </c>
    </row>
    <row r="44" spans="1:4" x14ac:dyDescent="0.3">
      <c r="A44" s="18" t="s">
        <v>121</v>
      </c>
      <c r="B44" s="2" t="s">
        <v>122</v>
      </c>
      <c r="C44" s="2">
        <v>44</v>
      </c>
      <c r="D44" s="25">
        <v>940</v>
      </c>
    </row>
    <row r="45" spans="1:4" x14ac:dyDescent="0.3">
      <c r="A45" s="18" t="s">
        <v>121</v>
      </c>
      <c r="B45" s="2" t="s">
        <v>122</v>
      </c>
      <c r="C45" s="2">
        <v>60</v>
      </c>
      <c r="D45" s="25">
        <v>1282</v>
      </c>
    </row>
    <row r="46" spans="1:4" x14ac:dyDescent="0.3">
      <c r="A46" s="18" t="s">
        <v>123</v>
      </c>
      <c r="B46" s="2" t="s">
        <v>122</v>
      </c>
      <c r="C46" s="2">
        <v>35</v>
      </c>
      <c r="D46" s="25">
        <v>1393</v>
      </c>
    </row>
    <row r="47" spans="1:4" x14ac:dyDescent="0.3">
      <c r="A47" s="18" t="s">
        <v>123</v>
      </c>
      <c r="B47" s="2" t="s">
        <v>122</v>
      </c>
      <c r="C47" s="2">
        <v>40</v>
      </c>
      <c r="D47" s="25">
        <v>1612</v>
      </c>
    </row>
    <row r="48" spans="1:4" x14ac:dyDescent="0.3">
      <c r="A48" s="18" t="s">
        <v>123</v>
      </c>
      <c r="B48" s="2" t="s">
        <v>122</v>
      </c>
      <c r="C48" s="2">
        <v>19</v>
      </c>
      <c r="D48" s="25">
        <v>1335</v>
      </c>
    </row>
    <row r="49" spans="1:4" x14ac:dyDescent="0.3">
      <c r="A49" s="18" t="s">
        <v>123</v>
      </c>
      <c r="B49" s="2" t="s">
        <v>122</v>
      </c>
      <c r="C49" s="2">
        <v>22</v>
      </c>
      <c r="D49" s="25">
        <v>1545</v>
      </c>
    </row>
    <row r="50" spans="1:4" x14ac:dyDescent="0.3">
      <c r="A50" s="18" t="s">
        <v>124</v>
      </c>
      <c r="B50" s="2" t="s">
        <v>125</v>
      </c>
      <c r="C50" s="2">
        <v>13</v>
      </c>
      <c r="D50" s="25">
        <v>361</v>
      </c>
    </row>
    <row r="51" spans="1:4" x14ac:dyDescent="0.3">
      <c r="A51" s="18" t="s">
        <v>124</v>
      </c>
      <c r="B51" s="2" t="s">
        <v>125</v>
      </c>
      <c r="C51" s="2">
        <v>19</v>
      </c>
      <c r="D51" s="25">
        <v>512</v>
      </c>
    </row>
    <row r="52" spans="1:4" x14ac:dyDescent="0.3">
      <c r="A52" s="18" t="s">
        <v>124</v>
      </c>
      <c r="B52" s="2" t="s">
        <v>125</v>
      </c>
      <c r="C52" s="2">
        <v>22</v>
      </c>
      <c r="D52" s="25">
        <v>569</v>
      </c>
    </row>
    <row r="53" spans="1:4" x14ac:dyDescent="0.3">
      <c r="A53" s="18" t="s">
        <v>124</v>
      </c>
      <c r="B53" s="2" t="s">
        <v>125</v>
      </c>
      <c r="C53" s="2">
        <v>29</v>
      </c>
      <c r="D53" s="25">
        <v>763</v>
      </c>
    </row>
    <row r="54" spans="1:4" x14ac:dyDescent="0.3">
      <c r="A54" s="18" t="s">
        <v>124</v>
      </c>
      <c r="B54" s="2" t="s">
        <v>125</v>
      </c>
      <c r="C54" s="2">
        <v>34</v>
      </c>
      <c r="D54" s="25">
        <v>866</v>
      </c>
    </row>
    <row r="55" spans="1:4" x14ac:dyDescent="0.3">
      <c r="A55" s="18" t="s">
        <v>124</v>
      </c>
      <c r="B55" s="2" t="s">
        <v>125</v>
      </c>
      <c r="C55" s="2">
        <v>40</v>
      </c>
      <c r="D55" s="25">
        <v>1045</v>
      </c>
    </row>
    <row r="56" spans="1:4" x14ac:dyDescent="0.3">
      <c r="A56" s="18" t="s">
        <v>124</v>
      </c>
      <c r="B56" s="2" t="s">
        <v>125</v>
      </c>
      <c r="C56" s="2">
        <v>44</v>
      </c>
      <c r="D56" s="25">
        <v>1146</v>
      </c>
    </row>
    <row r="57" spans="1:4" x14ac:dyDescent="0.3">
      <c r="A57" s="18" t="s">
        <v>124</v>
      </c>
      <c r="B57" s="2" t="s">
        <v>125</v>
      </c>
      <c r="C57" s="2">
        <v>60</v>
      </c>
      <c r="D57" s="25">
        <v>1530</v>
      </c>
    </row>
    <row r="58" spans="1:4" x14ac:dyDescent="0.3">
      <c r="A58" s="18" t="s">
        <v>12</v>
      </c>
      <c r="B58" s="2" t="s">
        <v>125</v>
      </c>
      <c r="C58" s="2">
        <v>13</v>
      </c>
      <c r="D58" s="25">
        <v>695</v>
      </c>
    </row>
    <row r="59" spans="1:4" x14ac:dyDescent="0.3">
      <c r="A59" s="18" t="s">
        <v>12</v>
      </c>
      <c r="B59" s="2" t="s">
        <v>125</v>
      </c>
      <c r="C59" s="2">
        <v>19</v>
      </c>
      <c r="D59" s="25">
        <v>1017</v>
      </c>
    </row>
    <row r="60" spans="1:4" x14ac:dyDescent="0.3">
      <c r="A60" s="18" t="s">
        <v>12</v>
      </c>
      <c r="B60" s="2" t="s">
        <v>125</v>
      </c>
      <c r="C60" s="2">
        <v>22</v>
      </c>
      <c r="D60" s="25">
        <v>1258</v>
      </c>
    </row>
    <row r="61" spans="1:4" x14ac:dyDescent="0.3">
      <c r="A61" s="18" t="s">
        <v>12</v>
      </c>
      <c r="B61" s="2" t="s">
        <v>125</v>
      </c>
      <c r="C61" s="2">
        <v>29</v>
      </c>
      <c r="D61" s="25">
        <v>1560</v>
      </c>
    </row>
    <row r="62" spans="1:4" x14ac:dyDescent="0.3">
      <c r="A62" s="18" t="s">
        <v>12</v>
      </c>
      <c r="B62" s="2" t="s">
        <v>125</v>
      </c>
      <c r="C62" s="2">
        <v>33</v>
      </c>
      <c r="D62" s="25">
        <v>1882</v>
      </c>
    </row>
    <row r="63" spans="1:4" x14ac:dyDescent="0.3">
      <c r="A63" s="18" t="s">
        <v>12</v>
      </c>
      <c r="B63" s="2" t="s">
        <v>125</v>
      </c>
      <c r="C63" s="2">
        <v>40</v>
      </c>
      <c r="D63" s="25">
        <v>2150</v>
      </c>
    </row>
    <row r="64" spans="1:4" x14ac:dyDescent="0.3">
      <c r="A64" s="18" t="s">
        <v>12</v>
      </c>
      <c r="B64" s="2" t="s">
        <v>125</v>
      </c>
      <c r="C64" s="2">
        <v>44</v>
      </c>
      <c r="D64" s="25">
        <v>2345</v>
      </c>
    </row>
    <row r="65" spans="1:4" x14ac:dyDescent="0.3">
      <c r="A65" s="18" t="s">
        <v>126</v>
      </c>
      <c r="B65" s="2" t="s">
        <v>125</v>
      </c>
      <c r="C65" s="2">
        <v>22</v>
      </c>
      <c r="D65" s="25">
        <v>1833</v>
      </c>
    </row>
    <row r="66" spans="1:4" x14ac:dyDescent="0.3">
      <c r="A66" s="18" t="s">
        <v>126</v>
      </c>
      <c r="B66" s="2" t="s">
        <v>125</v>
      </c>
      <c r="C66" s="2">
        <v>29</v>
      </c>
      <c r="D66" s="25">
        <v>2093</v>
      </c>
    </row>
    <row r="67" spans="1:4" x14ac:dyDescent="0.3">
      <c r="A67" s="18" t="s">
        <v>126</v>
      </c>
      <c r="B67" s="2" t="s">
        <v>125</v>
      </c>
      <c r="C67" s="2">
        <v>35</v>
      </c>
      <c r="D67" s="25">
        <v>3345</v>
      </c>
    </row>
    <row r="68" spans="1:4" x14ac:dyDescent="0.3">
      <c r="A68" s="18" t="s">
        <v>126</v>
      </c>
      <c r="B68" s="2" t="s">
        <v>125</v>
      </c>
      <c r="C68" s="2">
        <v>44</v>
      </c>
      <c r="D68" s="25">
        <v>3808</v>
      </c>
    </row>
    <row r="69" spans="1:4" x14ac:dyDescent="0.3">
      <c r="A69" s="18" t="s">
        <v>127</v>
      </c>
      <c r="B69" s="2" t="s">
        <v>128</v>
      </c>
      <c r="C69" s="2">
        <v>13</v>
      </c>
      <c r="D69" s="25">
        <v>567</v>
      </c>
    </row>
    <row r="70" spans="1:4" x14ac:dyDescent="0.3">
      <c r="A70" s="18" t="s">
        <v>127</v>
      </c>
      <c r="B70" s="2" t="s">
        <v>128</v>
      </c>
      <c r="C70" s="2">
        <v>19</v>
      </c>
      <c r="D70" s="25">
        <v>595</v>
      </c>
    </row>
    <row r="71" spans="1:4" x14ac:dyDescent="0.3">
      <c r="A71" s="18" t="s">
        <v>127</v>
      </c>
      <c r="B71" s="2" t="s">
        <v>128</v>
      </c>
      <c r="C71" s="2">
        <v>40</v>
      </c>
      <c r="D71" s="25">
        <v>1321</v>
      </c>
    </row>
    <row r="72" spans="1:4" x14ac:dyDescent="0.3">
      <c r="A72" s="18" t="s">
        <v>129</v>
      </c>
      <c r="B72" s="2" t="s">
        <v>128</v>
      </c>
      <c r="C72" s="2">
        <v>22</v>
      </c>
      <c r="D72" s="25">
        <v>2184</v>
      </c>
    </row>
    <row r="73" spans="1:4" x14ac:dyDescent="0.3">
      <c r="A73" s="18" t="s">
        <v>129</v>
      </c>
      <c r="B73" s="2" t="s">
        <v>128</v>
      </c>
      <c r="C73" s="2">
        <v>35</v>
      </c>
      <c r="D73" s="25">
        <v>4308</v>
      </c>
    </row>
    <row r="74" spans="1:4" x14ac:dyDescent="0.3">
      <c r="A74" s="18" t="s">
        <v>129</v>
      </c>
      <c r="B74" s="2" t="s">
        <v>128</v>
      </c>
      <c r="C74" s="2">
        <v>44</v>
      </c>
      <c r="D74" s="25">
        <v>4536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B8645-B76E-41A1-AA99-1FE30ACD75E9}">
  <sheetPr codeName="Hoja6"/>
  <dimension ref="A1:C220"/>
  <sheetViews>
    <sheetView topLeftCell="A61" workbookViewId="0">
      <selection activeCell="B35" sqref="B35"/>
    </sheetView>
  </sheetViews>
  <sheetFormatPr baseColWidth="10" defaultColWidth="11.44140625" defaultRowHeight="14.4" x14ac:dyDescent="0.3"/>
  <cols>
    <col min="1" max="1" width="59.6640625" customWidth="1"/>
    <col min="2" max="2" width="26" customWidth="1"/>
    <col min="3" max="3" width="30.5546875" customWidth="1"/>
    <col min="4" max="4" width="18.5546875" customWidth="1"/>
  </cols>
  <sheetData>
    <row r="1" spans="1:3" x14ac:dyDescent="0.3">
      <c r="A1" s="19" t="s">
        <v>88</v>
      </c>
      <c r="B1" s="19" t="s">
        <v>37</v>
      </c>
      <c r="C1" s="19" t="s">
        <v>92</v>
      </c>
    </row>
    <row r="2" spans="1:3" x14ac:dyDescent="0.3">
      <c r="A2" s="2" t="s">
        <v>130</v>
      </c>
      <c r="B2" s="2" t="s">
        <v>131</v>
      </c>
      <c r="C2" s="25">
        <v>659</v>
      </c>
    </row>
    <row r="3" spans="1:3" x14ac:dyDescent="0.3">
      <c r="A3" s="2" t="s">
        <v>39</v>
      </c>
      <c r="B3" s="2" t="s">
        <v>131</v>
      </c>
      <c r="C3" s="25">
        <v>2350</v>
      </c>
    </row>
    <row r="4" spans="1:3" x14ac:dyDescent="0.3">
      <c r="A4" s="2" t="s">
        <v>38</v>
      </c>
      <c r="B4" s="2" t="s">
        <v>131</v>
      </c>
      <c r="C4" s="25">
        <v>530</v>
      </c>
    </row>
    <row r="5" spans="1:3" x14ac:dyDescent="0.3">
      <c r="A5" s="2" t="s">
        <v>132</v>
      </c>
      <c r="B5" s="2" t="s">
        <v>131</v>
      </c>
      <c r="C5" s="25">
        <v>62289</v>
      </c>
    </row>
    <row r="6" spans="1:3" x14ac:dyDescent="0.3">
      <c r="A6" s="2" t="s">
        <v>133</v>
      </c>
      <c r="B6" s="2" t="s">
        <v>131</v>
      </c>
      <c r="C6" s="25">
        <v>195406</v>
      </c>
    </row>
    <row r="7" spans="1:3" x14ac:dyDescent="0.3">
      <c r="A7" s="2" t="s">
        <v>134</v>
      </c>
      <c r="B7" s="2" t="s">
        <v>131</v>
      </c>
      <c r="C7" s="25">
        <v>206608</v>
      </c>
    </row>
    <row r="8" spans="1:3" x14ac:dyDescent="0.3">
      <c r="A8" s="2" t="s">
        <v>135</v>
      </c>
      <c r="B8" s="2" t="s">
        <v>131</v>
      </c>
      <c r="C8" s="25">
        <v>2188</v>
      </c>
    </row>
    <row r="9" spans="1:3" x14ac:dyDescent="0.3">
      <c r="A9" s="2" t="s">
        <v>136</v>
      </c>
      <c r="B9" s="2" t="s">
        <v>131</v>
      </c>
      <c r="C9" s="25">
        <v>1038</v>
      </c>
    </row>
    <row r="10" spans="1:3" x14ac:dyDescent="0.3">
      <c r="A10" s="2" t="s">
        <v>137</v>
      </c>
      <c r="B10" s="2" t="s">
        <v>138</v>
      </c>
      <c r="C10" s="20">
        <v>19970</v>
      </c>
    </row>
    <row r="11" spans="1:3" x14ac:dyDescent="0.3">
      <c r="A11" s="2" t="s">
        <v>139</v>
      </c>
      <c r="B11" s="2" t="s">
        <v>138</v>
      </c>
      <c r="C11" s="20">
        <v>4273</v>
      </c>
    </row>
    <row r="12" spans="1:3" x14ac:dyDescent="0.3">
      <c r="A12" s="2" t="s">
        <v>140</v>
      </c>
      <c r="B12" s="2" t="s">
        <v>138</v>
      </c>
      <c r="C12" s="20">
        <v>17170</v>
      </c>
    </row>
    <row r="13" spans="1:3" x14ac:dyDescent="0.3">
      <c r="A13" s="2" t="s">
        <v>141</v>
      </c>
      <c r="B13" s="2" t="s">
        <v>138</v>
      </c>
      <c r="C13" s="20">
        <v>21773</v>
      </c>
    </row>
    <row r="14" spans="1:3" x14ac:dyDescent="0.3">
      <c r="A14" s="2" t="s">
        <v>142</v>
      </c>
      <c r="B14" s="2" t="s">
        <v>138</v>
      </c>
      <c r="C14" s="20">
        <v>21773</v>
      </c>
    </row>
    <row r="15" spans="1:3" x14ac:dyDescent="0.3">
      <c r="A15" s="2" t="s">
        <v>143</v>
      </c>
      <c r="B15" s="2" t="s">
        <v>138</v>
      </c>
      <c r="C15" s="20">
        <v>7900</v>
      </c>
    </row>
    <row r="16" spans="1:3" x14ac:dyDescent="0.3">
      <c r="A16" s="2" t="s">
        <v>144</v>
      </c>
      <c r="B16" s="2" t="s">
        <v>131</v>
      </c>
      <c r="C16" s="25">
        <v>817</v>
      </c>
    </row>
    <row r="17" spans="1:3" x14ac:dyDescent="0.3">
      <c r="A17" s="2" t="s">
        <v>145</v>
      </c>
      <c r="B17" s="2" t="s">
        <v>131</v>
      </c>
      <c r="C17" s="25">
        <v>1479</v>
      </c>
    </row>
    <row r="18" spans="1:3" x14ac:dyDescent="0.3">
      <c r="A18" s="2" t="s">
        <v>146</v>
      </c>
      <c r="B18" s="2" t="s">
        <v>147</v>
      </c>
      <c r="C18" s="20">
        <v>72900</v>
      </c>
    </row>
    <row r="19" spans="1:3" x14ac:dyDescent="0.3">
      <c r="A19" s="2" t="s">
        <v>148</v>
      </c>
      <c r="B19" s="2" t="s">
        <v>131</v>
      </c>
      <c r="C19" s="25">
        <v>817</v>
      </c>
    </row>
    <row r="20" spans="1:3" x14ac:dyDescent="0.3">
      <c r="A20" s="2" t="s">
        <v>149</v>
      </c>
      <c r="B20" s="2" t="s">
        <v>131</v>
      </c>
      <c r="C20" s="25">
        <v>1465</v>
      </c>
    </row>
    <row r="21" spans="1:3" x14ac:dyDescent="0.3">
      <c r="A21" s="2" t="s">
        <v>150</v>
      </c>
      <c r="B21" s="2" t="s">
        <v>131</v>
      </c>
      <c r="C21" s="25">
        <v>85224</v>
      </c>
    </row>
    <row r="22" spans="1:3" x14ac:dyDescent="0.3">
      <c r="A22" s="21" t="s">
        <v>151</v>
      </c>
      <c r="B22" s="2" t="s">
        <v>131</v>
      </c>
      <c r="C22" s="25">
        <v>204361</v>
      </c>
    </row>
    <row r="23" spans="1:3" x14ac:dyDescent="0.3">
      <c r="A23" s="21" t="s">
        <v>152</v>
      </c>
      <c r="B23" s="2" t="s">
        <v>131</v>
      </c>
      <c r="C23" s="25">
        <v>204361</v>
      </c>
    </row>
    <row r="24" spans="1:3" x14ac:dyDescent="0.3">
      <c r="A24" s="2" t="s">
        <v>153</v>
      </c>
      <c r="B24" s="2" t="s">
        <v>131</v>
      </c>
      <c r="C24" s="25">
        <v>130771</v>
      </c>
    </row>
    <row r="25" spans="1:3" x14ac:dyDescent="0.3">
      <c r="A25" s="21" t="s">
        <v>154</v>
      </c>
      <c r="B25" s="2" t="s">
        <v>131</v>
      </c>
      <c r="C25" s="25">
        <v>163936</v>
      </c>
    </row>
    <row r="26" spans="1:3" x14ac:dyDescent="0.3">
      <c r="A26" s="21" t="s">
        <v>155</v>
      </c>
      <c r="B26" s="2" t="s">
        <v>131</v>
      </c>
      <c r="C26" s="25">
        <v>170230</v>
      </c>
    </row>
    <row r="27" spans="1:3" x14ac:dyDescent="0.3">
      <c r="A27" s="2" t="s">
        <v>156</v>
      </c>
      <c r="B27" s="2" t="s">
        <v>131</v>
      </c>
      <c r="C27" s="25">
        <v>36637</v>
      </c>
    </row>
    <row r="28" spans="1:3" x14ac:dyDescent="0.3">
      <c r="A28" s="2" t="s">
        <v>157</v>
      </c>
      <c r="B28" s="2" t="s">
        <v>131</v>
      </c>
      <c r="C28" s="25">
        <v>36634</v>
      </c>
    </row>
    <row r="29" spans="1:3" x14ac:dyDescent="0.3">
      <c r="A29" s="2" t="s">
        <v>158</v>
      </c>
      <c r="B29" s="2" t="s">
        <v>131</v>
      </c>
      <c r="C29" s="25">
        <v>36637</v>
      </c>
    </row>
    <row r="30" spans="1:3" x14ac:dyDescent="0.3">
      <c r="A30" s="2" t="s">
        <v>159</v>
      </c>
      <c r="B30" s="2" t="s">
        <v>131</v>
      </c>
      <c r="C30" s="25">
        <v>36634</v>
      </c>
    </row>
    <row r="31" spans="1:3" x14ac:dyDescent="0.3">
      <c r="A31" s="24" t="s">
        <v>160</v>
      </c>
      <c r="B31" s="2" t="s">
        <v>131</v>
      </c>
      <c r="C31" s="26">
        <v>2911</v>
      </c>
    </row>
    <row r="32" spans="1:3" x14ac:dyDescent="0.3">
      <c r="A32" s="2" t="s">
        <v>161</v>
      </c>
      <c r="B32" s="2" t="s">
        <v>131</v>
      </c>
      <c r="C32" s="25">
        <v>2911</v>
      </c>
    </row>
    <row r="33" spans="1:3" x14ac:dyDescent="0.3">
      <c r="A33" s="2" t="s">
        <v>162</v>
      </c>
      <c r="B33" s="2" t="s">
        <v>131</v>
      </c>
      <c r="C33" s="25">
        <v>2911</v>
      </c>
    </row>
    <row r="34" spans="1:3" x14ac:dyDescent="0.3">
      <c r="A34" s="2" t="s">
        <v>163</v>
      </c>
      <c r="B34" s="2" t="s">
        <v>131</v>
      </c>
      <c r="C34" s="25">
        <v>2911</v>
      </c>
    </row>
    <row r="35" spans="1:3" x14ac:dyDescent="0.3">
      <c r="A35" s="2" t="s">
        <v>164</v>
      </c>
      <c r="B35" s="2" t="s">
        <v>131</v>
      </c>
      <c r="C35" s="25">
        <v>4069</v>
      </c>
    </row>
    <row r="36" spans="1:3" x14ac:dyDescent="0.3">
      <c r="A36" s="2" t="s">
        <v>165</v>
      </c>
      <c r="B36" s="2" t="s">
        <v>131</v>
      </c>
      <c r="C36" s="25">
        <v>2911</v>
      </c>
    </row>
    <row r="37" spans="1:3" x14ac:dyDescent="0.3">
      <c r="A37" s="2" t="s">
        <v>166</v>
      </c>
      <c r="B37" s="2" t="s">
        <v>131</v>
      </c>
      <c r="C37" s="25">
        <v>2911</v>
      </c>
    </row>
    <row r="38" spans="1:3" x14ac:dyDescent="0.3">
      <c r="A38" s="2" t="s">
        <v>167</v>
      </c>
      <c r="B38" s="2" t="s">
        <v>138</v>
      </c>
      <c r="C38" s="20">
        <v>11881</v>
      </c>
    </row>
    <row r="39" spans="1:3" x14ac:dyDescent="0.3">
      <c r="A39" s="2" t="s">
        <v>168</v>
      </c>
      <c r="B39" s="2" t="s">
        <v>138</v>
      </c>
      <c r="C39" s="20">
        <v>11881</v>
      </c>
    </row>
    <row r="40" spans="1:3" x14ac:dyDescent="0.3">
      <c r="A40" s="2" t="s">
        <v>169</v>
      </c>
      <c r="B40" s="2" t="s">
        <v>138</v>
      </c>
      <c r="C40" s="20">
        <v>11881</v>
      </c>
    </row>
    <row r="41" spans="1:3" x14ac:dyDescent="0.3">
      <c r="A41" s="2" t="s">
        <v>170</v>
      </c>
      <c r="B41" s="2" t="s">
        <v>138</v>
      </c>
      <c r="C41" s="20">
        <v>11881</v>
      </c>
    </row>
    <row r="42" spans="1:3" x14ac:dyDescent="0.3">
      <c r="A42" s="2" t="s">
        <v>171</v>
      </c>
      <c r="B42" s="2" t="s">
        <v>131</v>
      </c>
      <c r="C42" s="25">
        <v>530</v>
      </c>
    </row>
    <row r="43" spans="1:3" x14ac:dyDescent="0.3">
      <c r="A43" s="2" t="s">
        <v>172</v>
      </c>
      <c r="B43" s="2" t="s">
        <v>131</v>
      </c>
      <c r="C43" s="25">
        <v>35381</v>
      </c>
    </row>
    <row r="44" spans="1:3" x14ac:dyDescent="0.3">
      <c r="A44" s="2" t="s">
        <v>173</v>
      </c>
      <c r="B44" s="2" t="s">
        <v>131</v>
      </c>
      <c r="C44" s="25">
        <v>32764</v>
      </c>
    </row>
    <row r="45" spans="1:3" x14ac:dyDescent="0.3">
      <c r="A45" s="2" t="s">
        <v>174</v>
      </c>
      <c r="B45" s="2" t="s">
        <v>131</v>
      </c>
      <c r="C45" s="25">
        <v>87005</v>
      </c>
    </row>
    <row r="46" spans="1:3" x14ac:dyDescent="0.3">
      <c r="A46" s="2" t="s">
        <v>175</v>
      </c>
      <c r="B46" s="2" t="s">
        <v>131</v>
      </c>
      <c r="C46" s="25">
        <v>9650</v>
      </c>
    </row>
    <row r="47" spans="1:3" x14ac:dyDescent="0.3">
      <c r="A47" s="2" t="s">
        <v>176</v>
      </c>
      <c r="B47" s="2" t="s">
        <v>131</v>
      </c>
      <c r="C47" s="25">
        <v>3501</v>
      </c>
    </row>
    <row r="48" spans="1:3" x14ac:dyDescent="0.3">
      <c r="A48" s="2" t="s">
        <v>177</v>
      </c>
      <c r="B48" s="2" t="s">
        <v>131</v>
      </c>
      <c r="C48" s="25">
        <v>3545</v>
      </c>
    </row>
    <row r="49" spans="1:3" x14ac:dyDescent="0.3">
      <c r="A49" s="2" t="s">
        <v>178</v>
      </c>
      <c r="B49" s="2" t="s">
        <v>131</v>
      </c>
      <c r="C49" s="25">
        <v>9650</v>
      </c>
    </row>
    <row r="50" spans="1:3" x14ac:dyDescent="0.3">
      <c r="A50" s="2" t="s">
        <v>179</v>
      </c>
      <c r="B50" s="2" t="s">
        <v>147</v>
      </c>
      <c r="C50" s="20">
        <v>39900</v>
      </c>
    </row>
    <row r="51" spans="1:3" x14ac:dyDescent="0.3">
      <c r="A51" s="2" t="s">
        <v>180</v>
      </c>
      <c r="B51" s="2" t="s">
        <v>131</v>
      </c>
      <c r="C51" s="25">
        <v>28900</v>
      </c>
    </row>
    <row r="52" spans="1:3" x14ac:dyDescent="0.3">
      <c r="A52" s="2" t="s">
        <v>181</v>
      </c>
      <c r="B52" s="2" t="s">
        <v>131</v>
      </c>
      <c r="C52" s="25">
        <v>22806</v>
      </c>
    </row>
    <row r="53" spans="1:3" x14ac:dyDescent="0.3">
      <c r="A53" s="2" t="s">
        <v>182</v>
      </c>
      <c r="B53" s="2" t="s">
        <v>131</v>
      </c>
      <c r="C53" s="25">
        <v>34095</v>
      </c>
    </row>
    <row r="54" spans="1:3" x14ac:dyDescent="0.3">
      <c r="A54" s="2" t="s">
        <v>183</v>
      </c>
      <c r="B54" s="2" t="s">
        <v>131</v>
      </c>
      <c r="C54" s="25">
        <v>40383</v>
      </c>
    </row>
    <row r="55" spans="1:3" x14ac:dyDescent="0.3">
      <c r="A55" s="2" t="s">
        <v>184</v>
      </c>
      <c r="B55" s="2" t="s">
        <v>131</v>
      </c>
      <c r="C55" s="25">
        <v>40830</v>
      </c>
    </row>
    <row r="56" spans="1:3" x14ac:dyDescent="0.3">
      <c r="A56" s="2" t="s">
        <v>185</v>
      </c>
      <c r="B56" s="2" t="s">
        <v>131</v>
      </c>
      <c r="C56" s="25">
        <v>40850</v>
      </c>
    </row>
    <row r="57" spans="1:3" x14ac:dyDescent="0.3">
      <c r="A57" s="2" t="s">
        <v>186</v>
      </c>
      <c r="B57" s="2" t="s">
        <v>131</v>
      </c>
      <c r="C57" s="25">
        <v>4506</v>
      </c>
    </row>
    <row r="58" spans="1:3" x14ac:dyDescent="0.3">
      <c r="A58" s="2" t="s">
        <v>187</v>
      </c>
      <c r="B58" s="2" t="s">
        <v>131</v>
      </c>
      <c r="C58" s="25">
        <v>6901</v>
      </c>
    </row>
    <row r="59" spans="1:3" x14ac:dyDescent="0.3">
      <c r="A59" s="2" t="s">
        <v>188</v>
      </c>
      <c r="B59" s="2" t="s">
        <v>131</v>
      </c>
      <c r="C59" s="25">
        <v>3340</v>
      </c>
    </row>
    <row r="60" spans="1:3" x14ac:dyDescent="0.3">
      <c r="A60" s="2" t="s">
        <v>189</v>
      </c>
      <c r="B60" s="2" t="s">
        <v>131</v>
      </c>
      <c r="C60" s="25">
        <v>6627</v>
      </c>
    </row>
    <row r="61" spans="1:3" x14ac:dyDescent="0.3">
      <c r="A61" s="2" t="s">
        <v>190</v>
      </c>
      <c r="B61" s="2" t="s">
        <v>131</v>
      </c>
      <c r="C61" s="25">
        <v>6289</v>
      </c>
    </row>
    <row r="62" spans="1:3" x14ac:dyDescent="0.3">
      <c r="A62" s="2" t="s">
        <v>190</v>
      </c>
      <c r="B62" s="2" t="s">
        <v>131</v>
      </c>
      <c r="C62" s="25">
        <v>4350</v>
      </c>
    </row>
    <row r="63" spans="1:3" x14ac:dyDescent="0.3">
      <c r="A63" s="2" t="s">
        <v>191</v>
      </c>
      <c r="B63" s="2" t="s">
        <v>131</v>
      </c>
      <c r="C63" s="25">
        <v>7520</v>
      </c>
    </row>
    <row r="64" spans="1:3" x14ac:dyDescent="0.3">
      <c r="A64" s="2" t="s">
        <v>192</v>
      </c>
      <c r="B64" s="2" t="s">
        <v>131</v>
      </c>
      <c r="C64" s="25">
        <v>8911</v>
      </c>
    </row>
    <row r="65" spans="1:3" x14ac:dyDescent="0.3">
      <c r="A65" s="2" t="s">
        <v>193</v>
      </c>
      <c r="B65" s="2" t="s">
        <v>131</v>
      </c>
      <c r="C65" s="25">
        <v>9509</v>
      </c>
    </row>
    <row r="66" spans="1:3" x14ac:dyDescent="0.3">
      <c r="A66" s="2" t="s">
        <v>194</v>
      </c>
      <c r="B66" s="2" t="s">
        <v>131</v>
      </c>
      <c r="C66" s="25">
        <v>4980</v>
      </c>
    </row>
    <row r="67" spans="1:3" x14ac:dyDescent="0.3">
      <c r="A67" s="2" t="s">
        <v>195</v>
      </c>
      <c r="B67" s="2" t="s">
        <v>131</v>
      </c>
      <c r="C67" s="25">
        <v>7650</v>
      </c>
    </row>
    <row r="68" spans="1:3" x14ac:dyDescent="0.3">
      <c r="A68" s="2" t="s">
        <v>196</v>
      </c>
      <c r="B68" s="2" t="s">
        <v>131</v>
      </c>
      <c r="C68" s="25">
        <v>10410</v>
      </c>
    </row>
    <row r="69" spans="1:3" x14ac:dyDescent="0.3">
      <c r="A69" s="2" t="s">
        <v>197</v>
      </c>
      <c r="B69" s="2" t="s">
        <v>131</v>
      </c>
      <c r="C69" s="25">
        <v>5571</v>
      </c>
    </row>
    <row r="70" spans="1:3" x14ac:dyDescent="0.3">
      <c r="A70" s="2" t="s">
        <v>198</v>
      </c>
      <c r="B70" s="2" t="s">
        <v>131</v>
      </c>
      <c r="C70" s="25">
        <v>8847</v>
      </c>
    </row>
    <row r="71" spans="1:3" x14ac:dyDescent="0.3">
      <c r="A71" s="2" t="s">
        <v>199</v>
      </c>
      <c r="B71" s="2" t="s">
        <v>131</v>
      </c>
      <c r="C71" s="25">
        <v>11501</v>
      </c>
    </row>
    <row r="72" spans="1:3" x14ac:dyDescent="0.3">
      <c r="A72" s="2" t="s">
        <v>200</v>
      </c>
      <c r="B72" s="2" t="s">
        <v>131</v>
      </c>
      <c r="C72" s="25">
        <v>9744</v>
      </c>
    </row>
    <row r="73" spans="1:3" x14ac:dyDescent="0.3">
      <c r="A73" s="2" t="s">
        <v>201</v>
      </c>
      <c r="B73" s="2" t="s">
        <v>131</v>
      </c>
      <c r="C73" s="25">
        <v>12500</v>
      </c>
    </row>
    <row r="74" spans="1:3" x14ac:dyDescent="0.3">
      <c r="A74" s="2" t="s">
        <v>202</v>
      </c>
      <c r="B74" s="2" t="s">
        <v>131</v>
      </c>
      <c r="C74" s="25">
        <v>12600</v>
      </c>
    </row>
    <row r="75" spans="1:3" x14ac:dyDescent="0.3">
      <c r="A75" s="2" t="s">
        <v>203</v>
      </c>
      <c r="B75" s="2" t="s">
        <v>131</v>
      </c>
      <c r="C75" s="25">
        <v>16250</v>
      </c>
    </row>
    <row r="76" spans="1:3" x14ac:dyDescent="0.3">
      <c r="A76" s="2" t="s">
        <v>204</v>
      </c>
      <c r="B76" s="2" t="s">
        <v>131</v>
      </c>
      <c r="C76" s="25">
        <v>13962</v>
      </c>
    </row>
    <row r="77" spans="1:3" x14ac:dyDescent="0.3">
      <c r="A77" s="2" t="s">
        <v>205</v>
      </c>
      <c r="B77" s="2" t="s">
        <v>131</v>
      </c>
      <c r="C77" s="25">
        <v>12462</v>
      </c>
    </row>
    <row r="78" spans="1:3" x14ac:dyDescent="0.3">
      <c r="A78" s="2" t="s">
        <v>206</v>
      </c>
      <c r="B78" s="2" t="s">
        <v>131</v>
      </c>
      <c r="C78" s="25">
        <v>12809</v>
      </c>
    </row>
    <row r="79" spans="1:3" x14ac:dyDescent="0.3">
      <c r="A79" s="2" t="s">
        <v>207</v>
      </c>
      <c r="B79" s="2" t="s">
        <v>131</v>
      </c>
      <c r="C79" s="25">
        <v>13794</v>
      </c>
    </row>
    <row r="80" spans="1:3" x14ac:dyDescent="0.3">
      <c r="A80" s="2" t="s">
        <v>208</v>
      </c>
      <c r="B80" s="2" t="s">
        <v>131</v>
      </c>
      <c r="C80" s="25">
        <v>14862</v>
      </c>
    </row>
    <row r="81" spans="1:3" x14ac:dyDescent="0.3">
      <c r="A81" s="2" t="s">
        <v>209</v>
      </c>
      <c r="B81" s="2" t="s">
        <v>131</v>
      </c>
      <c r="C81" s="25">
        <v>16609</v>
      </c>
    </row>
    <row r="82" spans="1:3" x14ac:dyDescent="0.3">
      <c r="A82" s="2" t="s">
        <v>210</v>
      </c>
      <c r="B82" s="2" t="s">
        <v>131</v>
      </c>
      <c r="C82" s="25">
        <v>13000</v>
      </c>
    </row>
    <row r="83" spans="1:3" x14ac:dyDescent="0.3">
      <c r="A83" s="2" t="s">
        <v>211</v>
      </c>
      <c r="B83" s="2" t="s">
        <v>131</v>
      </c>
      <c r="C83" s="25">
        <v>13100</v>
      </c>
    </row>
    <row r="84" spans="1:3" x14ac:dyDescent="0.3">
      <c r="A84" s="2" t="s">
        <v>212</v>
      </c>
      <c r="B84" s="2" t="s">
        <v>131</v>
      </c>
      <c r="C84" s="25">
        <v>15480</v>
      </c>
    </row>
    <row r="85" spans="1:3" x14ac:dyDescent="0.3">
      <c r="A85" s="2" t="s">
        <v>213</v>
      </c>
      <c r="B85" s="2" t="s">
        <v>131</v>
      </c>
      <c r="C85" s="25">
        <v>15225</v>
      </c>
    </row>
    <row r="86" spans="1:3" x14ac:dyDescent="0.3">
      <c r="A86" s="2" t="s">
        <v>214</v>
      </c>
      <c r="B86" s="2" t="s">
        <v>138</v>
      </c>
      <c r="C86" s="20">
        <v>39643</v>
      </c>
    </row>
    <row r="87" spans="1:3" x14ac:dyDescent="0.3">
      <c r="A87" s="2" t="s">
        <v>215</v>
      </c>
      <c r="B87" s="2" t="s">
        <v>138</v>
      </c>
      <c r="C87" s="20">
        <v>41383</v>
      </c>
    </row>
    <row r="88" spans="1:3" x14ac:dyDescent="0.3">
      <c r="A88" s="2" t="s">
        <v>216</v>
      </c>
      <c r="B88" s="2" t="s">
        <v>138</v>
      </c>
      <c r="C88" s="20">
        <v>48524</v>
      </c>
    </row>
    <row r="89" spans="1:3" x14ac:dyDescent="0.3">
      <c r="A89" s="2" t="s">
        <v>217</v>
      </c>
      <c r="B89" s="2" t="s">
        <v>138</v>
      </c>
      <c r="C89" s="20">
        <v>53651</v>
      </c>
    </row>
    <row r="90" spans="1:3" x14ac:dyDescent="0.3">
      <c r="A90" s="2" t="s">
        <v>218</v>
      </c>
      <c r="B90" s="2" t="s">
        <v>138</v>
      </c>
      <c r="C90" s="20">
        <v>59236</v>
      </c>
    </row>
    <row r="91" spans="1:3" x14ac:dyDescent="0.3">
      <c r="A91" s="2" t="s">
        <v>219</v>
      </c>
      <c r="B91" s="2" t="s">
        <v>138</v>
      </c>
      <c r="C91" s="20">
        <v>64454</v>
      </c>
    </row>
    <row r="92" spans="1:3" x14ac:dyDescent="0.3">
      <c r="A92" s="2" t="s">
        <v>220</v>
      </c>
      <c r="B92" s="2" t="s">
        <v>138</v>
      </c>
      <c r="C92" s="20">
        <v>43430</v>
      </c>
    </row>
    <row r="93" spans="1:3" x14ac:dyDescent="0.3">
      <c r="A93" s="2" t="s">
        <v>221</v>
      </c>
      <c r="B93" s="2" t="s">
        <v>138</v>
      </c>
      <c r="C93" s="20">
        <v>47470</v>
      </c>
    </row>
    <row r="94" spans="1:3" x14ac:dyDescent="0.3">
      <c r="A94" s="2" t="s">
        <v>222</v>
      </c>
      <c r="B94" s="2" t="s">
        <v>138</v>
      </c>
      <c r="C94" s="20">
        <v>51510</v>
      </c>
    </row>
    <row r="95" spans="1:3" x14ac:dyDescent="0.3">
      <c r="A95" s="2" t="s">
        <v>223</v>
      </c>
      <c r="B95" s="2" t="s">
        <v>138</v>
      </c>
      <c r="C95" s="20">
        <v>55550</v>
      </c>
    </row>
    <row r="96" spans="1:3" x14ac:dyDescent="0.3">
      <c r="A96" s="2" t="s">
        <v>224</v>
      </c>
      <c r="B96" s="2" t="s">
        <v>138</v>
      </c>
      <c r="C96" s="20">
        <v>59590</v>
      </c>
    </row>
    <row r="97" spans="1:3" x14ac:dyDescent="0.3">
      <c r="A97" s="2" t="s">
        <v>225</v>
      </c>
      <c r="B97" s="2" t="s">
        <v>138</v>
      </c>
      <c r="C97" s="20">
        <v>63630</v>
      </c>
    </row>
    <row r="98" spans="1:3" x14ac:dyDescent="0.3">
      <c r="A98" s="2" t="s">
        <v>226</v>
      </c>
      <c r="B98" s="2" t="s">
        <v>131</v>
      </c>
      <c r="C98" s="25">
        <v>39706</v>
      </c>
    </row>
    <row r="99" spans="1:3" x14ac:dyDescent="0.3">
      <c r="A99" s="2" t="s">
        <v>227</v>
      </c>
      <c r="B99" s="2" t="s">
        <v>131</v>
      </c>
      <c r="C99" s="25">
        <v>43659</v>
      </c>
    </row>
    <row r="100" spans="1:3" x14ac:dyDescent="0.3">
      <c r="A100" s="2" t="s">
        <v>228</v>
      </c>
      <c r="B100" s="2" t="s">
        <v>131</v>
      </c>
      <c r="C100" s="25">
        <v>48889</v>
      </c>
    </row>
    <row r="101" spans="1:3" x14ac:dyDescent="0.3">
      <c r="A101" s="21" t="s">
        <v>229</v>
      </c>
      <c r="B101" s="2" t="s">
        <v>131</v>
      </c>
      <c r="C101" s="25">
        <v>688165</v>
      </c>
    </row>
    <row r="102" spans="1:3" x14ac:dyDescent="0.3">
      <c r="A102" s="21" t="s">
        <v>230</v>
      </c>
      <c r="B102" s="2" t="s">
        <v>131</v>
      </c>
      <c r="C102" s="25">
        <v>642317</v>
      </c>
    </row>
    <row r="103" spans="1:3" x14ac:dyDescent="0.3">
      <c r="A103" s="2" t="s">
        <v>231</v>
      </c>
      <c r="B103" s="2"/>
      <c r="C103" s="20">
        <v>110066</v>
      </c>
    </row>
    <row r="104" spans="1:3" x14ac:dyDescent="0.3">
      <c r="A104" s="2" t="s">
        <v>232</v>
      </c>
      <c r="B104" s="2" t="s">
        <v>233</v>
      </c>
      <c r="C104" s="20">
        <v>91294</v>
      </c>
    </row>
    <row r="105" spans="1:3" x14ac:dyDescent="0.3">
      <c r="A105" s="2" t="s">
        <v>234</v>
      </c>
      <c r="B105" s="2" t="s">
        <v>131</v>
      </c>
      <c r="C105" s="25">
        <v>453661</v>
      </c>
    </row>
    <row r="106" spans="1:3" x14ac:dyDescent="0.3">
      <c r="A106" s="2" t="s">
        <v>235</v>
      </c>
      <c r="B106" s="2" t="s">
        <v>131</v>
      </c>
      <c r="C106" s="25">
        <v>453661</v>
      </c>
    </row>
    <row r="107" spans="1:3" x14ac:dyDescent="0.3">
      <c r="A107" s="2" t="s">
        <v>236</v>
      </c>
      <c r="B107" s="2" t="s">
        <v>237</v>
      </c>
      <c r="C107" s="20">
        <v>20347</v>
      </c>
    </row>
    <row r="108" spans="1:3" x14ac:dyDescent="0.3">
      <c r="A108" s="2" t="s">
        <v>238</v>
      </c>
      <c r="B108" s="2" t="s">
        <v>239</v>
      </c>
      <c r="C108" s="20">
        <v>35000</v>
      </c>
    </row>
    <row r="109" spans="1:3" ht="28.8" x14ac:dyDescent="0.3">
      <c r="A109" s="21" t="s">
        <v>240</v>
      </c>
      <c r="B109" s="2" t="s">
        <v>131</v>
      </c>
      <c r="C109" s="25">
        <v>100757</v>
      </c>
    </row>
    <row r="110" spans="1:3" ht="28.8" x14ac:dyDescent="0.3">
      <c r="A110" s="21" t="s">
        <v>241</v>
      </c>
      <c r="B110" s="2" t="s">
        <v>131</v>
      </c>
      <c r="C110" s="25">
        <v>102551</v>
      </c>
    </row>
    <row r="111" spans="1:3" ht="28.8" x14ac:dyDescent="0.3">
      <c r="A111" s="21" t="s">
        <v>242</v>
      </c>
      <c r="B111" s="2" t="s">
        <v>131</v>
      </c>
      <c r="C111" s="25">
        <v>97017</v>
      </c>
    </row>
    <row r="112" spans="1:3" ht="28.8" x14ac:dyDescent="0.3">
      <c r="A112" s="21" t="s">
        <v>243</v>
      </c>
      <c r="B112" s="2" t="s">
        <v>131</v>
      </c>
      <c r="C112" s="25">
        <v>115820</v>
      </c>
    </row>
    <row r="113" spans="1:3" x14ac:dyDescent="0.3">
      <c r="A113" s="2" t="s">
        <v>244</v>
      </c>
      <c r="B113" s="2" t="s">
        <v>131</v>
      </c>
      <c r="C113" s="25">
        <v>33760</v>
      </c>
    </row>
    <row r="114" spans="1:3" x14ac:dyDescent="0.3">
      <c r="A114" s="2" t="s">
        <v>245</v>
      </c>
      <c r="B114" s="2" t="s">
        <v>131</v>
      </c>
      <c r="C114" s="25">
        <v>69973</v>
      </c>
    </row>
    <row r="115" spans="1:3" x14ac:dyDescent="0.3">
      <c r="A115" s="2" t="s">
        <v>246</v>
      </c>
      <c r="B115" s="2" t="s">
        <v>131</v>
      </c>
      <c r="C115" s="25">
        <v>69943</v>
      </c>
    </row>
    <row r="116" spans="1:3" x14ac:dyDescent="0.3">
      <c r="A116" s="2" t="s">
        <v>247</v>
      </c>
      <c r="B116" s="2" t="s">
        <v>131</v>
      </c>
      <c r="C116" s="25">
        <v>355</v>
      </c>
    </row>
    <row r="117" spans="1:3" x14ac:dyDescent="0.3">
      <c r="A117" s="2" t="s">
        <v>248</v>
      </c>
      <c r="B117" s="2" t="s">
        <v>131</v>
      </c>
      <c r="C117" s="25">
        <v>2724</v>
      </c>
    </row>
    <row r="118" spans="1:3" x14ac:dyDescent="0.3">
      <c r="A118" s="2" t="s">
        <v>249</v>
      </c>
      <c r="B118" s="2" t="s">
        <v>131</v>
      </c>
      <c r="C118" s="25">
        <v>53194</v>
      </c>
    </row>
    <row r="119" spans="1:3" x14ac:dyDescent="0.3">
      <c r="A119" s="2" t="s">
        <v>250</v>
      </c>
      <c r="B119" s="2" t="s">
        <v>131</v>
      </c>
      <c r="C119" s="25">
        <v>62648</v>
      </c>
    </row>
    <row r="120" spans="1:3" x14ac:dyDescent="0.3">
      <c r="A120" s="2" t="s">
        <v>251</v>
      </c>
      <c r="B120" s="2" t="s">
        <v>131</v>
      </c>
      <c r="C120" s="25">
        <v>72538</v>
      </c>
    </row>
    <row r="121" spans="1:3" x14ac:dyDescent="0.3">
      <c r="A121" s="2" t="s">
        <v>252</v>
      </c>
      <c r="B121" s="2" t="s">
        <v>131</v>
      </c>
      <c r="C121" s="25">
        <v>280</v>
      </c>
    </row>
    <row r="122" spans="1:3" x14ac:dyDescent="0.3">
      <c r="A122" s="2" t="s">
        <v>253</v>
      </c>
      <c r="B122" s="2" t="s">
        <v>147</v>
      </c>
      <c r="C122" s="20">
        <v>24900</v>
      </c>
    </row>
    <row r="123" spans="1:3" x14ac:dyDescent="0.3">
      <c r="A123" s="2" t="s">
        <v>254</v>
      </c>
      <c r="B123" s="2" t="s">
        <v>131</v>
      </c>
      <c r="C123" s="25">
        <v>72317</v>
      </c>
    </row>
    <row r="124" spans="1:3" x14ac:dyDescent="0.3">
      <c r="A124" s="2" t="s">
        <v>255</v>
      </c>
      <c r="B124" s="2" t="s">
        <v>131</v>
      </c>
      <c r="C124" s="25">
        <v>79052</v>
      </c>
    </row>
    <row r="125" spans="1:3" x14ac:dyDescent="0.3">
      <c r="A125" s="2" t="s">
        <v>256</v>
      </c>
      <c r="B125" s="2" t="s">
        <v>131</v>
      </c>
      <c r="C125" s="25">
        <v>83829</v>
      </c>
    </row>
    <row r="126" spans="1:3" x14ac:dyDescent="0.3">
      <c r="A126" s="2" t="s">
        <v>257</v>
      </c>
      <c r="B126" s="2" t="s">
        <v>131</v>
      </c>
      <c r="C126" s="25">
        <v>86327</v>
      </c>
    </row>
    <row r="127" spans="1:3" x14ac:dyDescent="0.3">
      <c r="A127" s="2" t="s">
        <v>258</v>
      </c>
      <c r="B127" s="2" t="s">
        <v>131</v>
      </c>
      <c r="C127" s="25">
        <v>87399</v>
      </c>
    </row>
    <row r="128" spans="1:3" x14ac:dyDescent="0.3">
      <c r="A128" s="2" t="s">
        <v>259</v>
      </c>
      <c r="B128" s="2" t="s">
        <v>131</v>
      </c>
      <c r="C128" s="25">
        <v>33311</v>
      </c>
    </row>
    <row r="129" spans="1:3" x14ac:dyDescent="0.3">
      <c r="A129" s="2" t="s">
        <v>260</v>
      </c>
      <c r="B129" s="2" t="s">
        <v>131</v>
      </c>
      <c r="C129" s="25">
        <v>65264</v>
      </c>
    </row>
    <row r="130" spans="1:3" x14ac:dyDescent="0.3">
      <c r="A130" s="2" t="s">
        <v>261</v>
      </c>
      <c r="B130" s="2" t="s">
        <v>131</v>
      </c>
      <c r="C130" s="25">
        <v>69638</v>
      </c>
    </row>
    <row r="131" spans="1:3" x14ac:dyDescent="0.3">
      <c r="A131" s="2" t="s">
        <v>262</v>
      </c>
      <c r="B131" s="2" t="s">
        <v>131</v>
      </c>
      <c r="C131" s="25">
        <v>75961</v>
      </c>
    </row>
    <row r="132" spans="1:3" x14ac:dyDescent="0.3">
      <c r="A132" s="2" t="s">
        <v>263</v>
      </c>
      <c r="B132" s="2" t="s">
        <v>131</v>
      </c>
      <c r="C132" s="25">
        <v>75961</v>
      </c>
    </row>
    <row r="133" spans="1:3" x14ac:dyDescent="0.3">
      <c r="A133" s="2" t="s">
        <v>264</v>
      </c>
      <c r="B133" s="2" t="s">
        <v>131</v>
      </c>
      <c r="C133" s="25">
        <v>35981</v>
      </c>
    </row>
    <row r="134" spans="1:3" x14ac:dyDescent="0.3">
      <c r="A134" s="2" t="s">
        <v>265</v>
      </c>
      <c r="B134" s="2" t="s">
        <v>131</v>
      </c>
      <c r="C134" s="25">
        <v>31292</v>
      </c>
    </row>
    <row r="135" spans="1:3" x14ac:dyDescent="0.3">
      <c r="A135" s="2" t="s">
        <v>266</v>
      </c>
      <c r="B135" s="2" t="s">
        <v>131</v>
      </c>
      <c r="C135" s="25">
        <v>22819</v>
      </c>
    </row>
    <row r="136" spans="1:3" x14ac:dyDescent="0.3">
      <c r="A136" s="2" t="s">
        <v>267</v>
      </c>
      <c r="B136" s="2" t="s">
        <v>131</v>
      </c>
      <c r="C136" s="25">
        <v>37123</v>
      </c>
    </row>
    <row r="137" spans="1:3" x14ac:dyDescent="0.3">
      <c r="A137" s="2" t="s">
        <v>268</v>
      </c>
      <c r="B137" s="2" t="s">
        <v>131</v>
      </c>
      <c r="C137" s="25">
        <v>34048</v>
      </c>
    </row>
    <row r="138" spans="1:3" x14ac:dyDescent="0.3">
      <c r="A138" s="2" t="s">
        <v>269</v>
      </c>
      <c r="B138" s="2" t="s">
        <v>131</v>
      </c>
      <c r="C138" s="25">
        <v>14969</v>
      </c>
    </row>
    <row r="139" spans="1:3" x14ac:dyDescent="0.3">
      <c r="A139" s="2" t="s">
        <v>270</v>
      </c>
      <c r="B139" s="2" t="s">
        <v>131</v>
      </c>
      <c r="C139" s="25">
        <v>16123</v>
      </c>
    </row>
    <row r="140" spans="1:3" x14ac:dyDescent="0.3">
      <c r="A140" s="2" t="s">
        <v>271</v>
      </c>
      <c r="B140" s="2" t="s">
        <v>131</v>
      </c>
      <c r="C140" s="25">
        <v>29365</v>
      </c>
    </row>
    <row r="141" spans="1:3" x14ac:dyDescent="0.3">
      <c r="A141" s="2" t="s">
        <v>272</v>
      </c>
      <c r="B141" s="2" t="s">
        <v>131</v>
      </c>
      <c r="C141" s="25">
        <v>32880</v>
      </c>
    </row>
    <row r="142" spans="1:3" x14ac:dyDescent="0.3">
      <c r="A142" s="2" t="s">
        <v>273</v>
      </c>
      <c r="B142" s="2" t="s">
        <v>131</v>
      </c>
      <c r="C142" s="25">
        <v>15983</v>
      </c>
    </row>
    <row r="143" spans="1:3" x14ac:dyDescent="0.3">
      <c r="A143" s="2" t="s">
        <v>274</v>
      </c>
      <c r="B143" s="2" t="s">
        <v>131</v>
      </c>
      <c r="C143" s="25">
        <v>22386</v>
      </c>
    </row>
    <row r="144" spans="1:3" x14ac:dyDescent="0.3">
      <c r="A144" s="2" t="s">
        <v>275</v>
      </c>
      <c r="B144" s="2" t="s">
        <v>131</v>
      </c>
      <c r="C144" s="25">
        <v>24119</v>
      </c>
    </row>
    <row r="145" spans="1:3" x14ac:dyDescent="0.3">
      <c r="A145" s="2" t="s">
        <v>276</v>
      </c>
      <c r="B145" s="2" t="s">
        <v>131</v>
      </c>
      <c r="C145" s="25">
        <v>23059</v>
      </c>
    </row>
    <row r="146" spans="1:3" x14ac:dyDescent="0.3">
      <c r="A146" s="2" t="s">
        <v>277</v>
      </c>
      <c r="B146" s="2" t="s">
        <v>138</v>
      </c>
      <c r="C146" s="20">
        <v>49403</v>
      </c>
    </row>
    <row r="147" spans="1:3" x14ac:dyDescent="0.3">
      <c r="A147" s="2" t="s">
        <v>278</v>
      </c>
      <c r="B147" s="2" t="s">
        <v>131</v>
      </c>
      <c r="C147" s="25">
        <v>15289</v>
      </c>
    </row>
    <row r="148" spans="1:3" x14ac:dyDescent="0.3">
      <c r="A148" s="2" t="s">
        <v>279</v>
      </c>
      <c r="B148" s="2" t="s">
        <v>131</v>
      </c>
      <c r="C148" s="25">
        <v>39452</v>
      </c>
    </row>
    <row r="149" spans="1:3" x14ac:dyDescent="0.3">
      <c r="A149" s="2" t="s">
        <v>280</v>
      </c>
      <c r="B149" s="2" t="s">
        <v>131</v>
      </c>
      <c r="C149" s="25">
        <v>65664</v>
      </c>
    </row>
    <row r="150" spans="1:3" x14ac:dyDescent="0.3">
      <c r="A150" s="2" t="s">
        <v>281</v>
      </c>
      <c r="B150" s="2" t="s">
        <v>131</v>
      </c>
      <c r="C150" s="25">
        <v>48045</v>
      </c>
    </row>
    <row r="151" spans="1:3" x14ac:dyDescent="0.3">
      <c r="A151" s="2" t="s">
        <v>282</v>
      </c>
      <c r="B151" s="2" t="s">
        <v>131</v>
      </c>
      <c r="C151" s="25">
        <v>34048</v>
      </c>
    </row>
    <row r="152" spans="1:3" x14ac:dyDescent="0.3">
      <c r="A152" s="2" t="s">
        <v>283</v>
      </c>
      <c r="B152" s="2" t="s">
        <v>131</v>
      </c>
      <c r="C152" s="25">
        <v>48063</v>
      </c>
    </row>
    <row r="153" spans="1:3" x14ac:dyDescent="0.3">
      <c r="A153" s="2" t="s">
        <v>284</v>
      </c>
      <c r="B153" s="2" t="s">
        <v>131</v>
      </c>
      <c r="C153" s="25">
        <v>43186</v>
      </c>
    </row>
    <row r="154" spans="1:3" x14ac:dyDescent="0.3">
      <c r="A154" s="2" t="s">
        <v>285</v>
      </c>
      <c r="B154" s="2" t="s">
        <v>131</v>
      </c>
      <c r="C154" s="25">
        <v>28996</v>
      </c>
    </row>
    <row r="155" spans="1:3" x14ac:dyDescent="0.3">
      <c r="A155" s="2" t="s">
        <v>286</v>
      </c>
      <c r="B155" s="2" t="s">
        <v>131</v>
      </c>
      <c r="C155" s="25">
        <v>36346</v>
      </c>
    </row>
    <row r="156" spans="1:3" x14ac:dyDescent="0.3">
      <c r="A156" s="2" t="s">
        <v>287</v>
      </c>
      <c r="B156" s="2" t="s">
        <v>131</v>
      </c>
      <c r="C156" s="25">
        <v>24021</v>
      </c>
    </row>
    <row r="157" spans="1:3" x14ac:dyDescent="0.3">
      <c r="A157" s="2" t="s">
        <v>288</v>
      </c>
      <c r="B157" s="2" t="s">
        <v>131</v>
      </c>
      <c r="C157" s="25">
        <v>19539</v>
      </c>
    </row>
    <row r="158" spans="1:3" x14ac:dyDescent="0.3">
      <c r="A158" s="2" t="s">
        <v>289</v>
      </c>
      <c r="B158" s="2" t="s">
        <v>131</v>
      </c>
      <c r="C158" s="25">
        <v>19738</v>
      </c>
    </row>
    <row r="159" spans="1:3" x14ac:dyDescent="0.3">
      <c r="A159" s="2" t="s">
        <v>290</v>
      </c>
      <c r="B159" s="2" t="s">
        <v>131</v>
      </c>
      <c r="C159" s="25">
        <v>19738</v>
      </c>
    </row>
    <row r="160" spans="1:3" x14ac:dyDescent="0.3">
      <c r="A160" s="2" t="s">
        <v>291</v>
      </c>
      <c r="B160" s="2" t="s">
        <v>131</v>
      </c>
      <c r="C160" s="25">
        <v>69756</v>
      </c>
    </row>
    <row r="161" spans="1:3" x14ac:dyDescent="0.3">
      <c r="A161" s="2" t="s">
        <v>292</v>
      </c>
      <c r="B161" s="2" t="s">
        <v>131</v>
      </c>
      <c r="C161" s="25">
        <v>87797</v>
      </c>
    </row>
    <row r="162" spans="1:3" x14ac:dyDescent="0.3">
      <c r="A162" s="2" t="s">
        <v>293</v>
      </c>
      <c r="B162" s="2" t="s">
        <v>131</v>
      </c>
      <c r="C162" s="25">
        <v>32868</v>
      </c>
    </row>
    <row r="163" spans="1:3" x14ac:dyDescent="0.3">
      <c r="A163" s="2" t="s">
        <v>294</v>
      </c>
      <c r="B163" s="2" t="s">
        <v>131</v>
      </c>
      <c r="C163" s="25">
        <v>21137</v>
      </c>
    </row>
    <row r="164" spans="1:3" x14ac:dyDescent="0.3">
      <c r="A164" s="2" t="s">
        <v>295</v>
      </c>
      <c r="B164" s="2" t="s">
        <v>131</v>
      </c>
      <c r="C164" s="25">
        <v>26333</v>
      </c>
    </row>
    <row r="165" spans="1:3" x14ac:dyDescent="0.3">
      <c r="A165" s="2" t="s">
        <v>296</v>
      </c>
      <c r="B165" s="2" t="s">
        <v>131</v>
      </c>
      <c r="C165" s="25">
        <v>47082</v>
      </c>
    </row>
    <row r="166" spans="1:3" x14ac:dyDescent="0.3">
      <c r="A166" s="2" t="s">
        <v>297</v>
      </c>
      <c r="B166" s="2" t="s">
        <v>131</v>
      </c>
      <c r="C166" s="25">
        <v>47082</v>
      </c>
    </row>
    <row r="167" spans="1:3" x14ac:dyDescent="0.3">
      <c r="A167" s="2" t="s">
        <v>298</v>
      </c>
      <c r="B167" s="2" t="s">
        <v>131</v>
      </c>
      <c r="C167" s="25">
        <v>48829</v>
      </c>
    </row>
    <row r="168" spans="1:3" x14ac:dyDescent="0.3">
      <c r="A168" s="2" t="s">
        <v>299</v>
      </c>
      <c r="B168" s="2" t="s">
        <v>131</v>
      </c>
      <c r="C168" s="25">
        <v>45975</v>
      </c>
    </row>
    <row r="169" spans="1:3" x14ac:dyDescent="0.3">
      <c r="A169" s="2" t="s">
        <v>300</v>
      </c>
      <c r="B169" s="2" t="s">
        <v>131</v>
      </c>
      <c r="C169" s="25">
        <v>45975</v>
      </c>
    </row>
    <row r="170" spans="1:3" x14ac:dyDescent="0.3">
      <c r="A170" s="2" t="s">
        <v>301</v>
      </c>
      <c r="B170" s="2" t="s">
        <v>131</v>
      </c>
      <c r="C170" s="25">
        <v>3274</v>
      </c>
    </row>
    <row r="171" spans="1:3" x14ac:dyDescent="0.3">
      <c r="A171" s="2" t="s">
        <v>302</v>
      </c>
      <c r="B171" s="2" t="s">
        <v>131</v>
      </c>
      <c r="C171" s="25">
        <v>3274</v>
      </c>
    </row>
    <row r="172" spans="1:3" x14ac:dyDescent="0.3">
      <c r="A172" s="2" t="s">
        <v>303</v>
      </c>
      <c r="B172" s="2" t="s">
        <v>131</v>
      </c>
      <c r="C172" s="25">
        <v>1575</v>
      </c>
    </row>
    <row r="173" spans="1:3" x14ac:dyDescent="0.3">
      <c r="A173" s="2" t="s">
        <v>304</v>
      </c>
      <c r="B173" s="2" t="s">
        <v>131</v>
      </c>
      <c r="C173" s="25">
        <v>1334</v>
      </c>
    </row>
    <row r="174" spans="1:3" x14ac:dyDescent="0.3">
      <c r="A174" s="2" t="s">
        <v>305</v>
      </c>
      <c r="B174" s="2" t="s">
        <v>131</v>
      </c>
      <c r="C174" s="25">
        <v>1977</v>
      </c>
    </row>
    <row r="175" spans="1:3" x14ac:dyDescent="0.3">
      <c r="A175" s="2" t="s">
        <v>306</v>
      </c>
      <c r="B175" s="2" t="s">
        <v>131</v>
      </c>
      <c r="C175" s="25">
        <v>1977</v>
      </c>
    </row>
    <row r="176" spans="1:3" x14ac:dyDescent="0.3">
      <c r="A176" s="2" t="s">
        <v>307</v>
      </c>
      <c r="B176" s="2" t="s">
        <v>131</v>
      </c>
      <c r="C176" s="25">
        <v>1974</v>
      </c>
    </row>
    <row r="177" spans="1:3" x14ac:dyDescent="0.3">
      <c r="A177" s="2" t="s">
        <v>308</v>
      </c>
      <c r="B177" s="2" t="s">
        <v>131</v>
      </c>
      <c r="C177" s="25">
        <v>2021</v>
      </c>
    </row>
    <row r="178" spans="1:3" x14ac:dyDescent="0.3">
      <c r="A178" s="2" t="s">
        <v>309</v>
      </c>
      <c r="B178" s="2" t="s">
        <v>131</v>
      </c>
      <c r="C178" s="25">
        <v>3954</v>
      </c>
    </row>
    <row r="179" spans="1:3" x14ac:dyDescent="0.3">
      <c r="A179" s="2" t="s">
        <v>310</v>
      </c>
      <c r="B179" s="2" t="s">
        <v>131</v>
      </c>
      <c r="C179" s="25">
        <v>3373</v>
      </c>
    </row>
    <row r="180" spans="1:3" x14ac:dyDescent="0.3">
      <c r="A180" s="2" t="s">
        <v>311</v>
      </c>
      <c r="B180" s="2" t="s">
        <v>131</v>
      </c>
      <c r="C180" s="25">
        <v>4140</v>
      </c>
    </row>
    <row r="181" spans="1:3" x14ac:dyDescent="0.3">
      <c r="A181" s="2" t="s">
        <v>312</v>
      </c>
      <c r="B181" s="2" t="s">
        <v>131</v>
      </c>
      <c r="C181" s="25">
        <v>1977</v>
      </c>
    </row>
    <row r="182" spans="1:3" x14ac:dyDescent="0.3">
      <c r="A182" s="2" t="s">
        <v>313</v>
      </c>
      <c r="B182" s="2" t="s">
        <v>131</v>
      </c>
      <c r="C182" s="25">
        <v>1977</v>
      </c>
    </row>
    <row r="183" spans="1:3" x14ac:dyDescent="0.3">
      <c r="A183" s="2" t="s">
        <v>314</v>
      </c>
      <c r="B183" s="2" t="s">
        <v>131</v>
      </c>
      <c r="C183" s="25">
        <v>963</v>
      </c>
    </row>
    <row r="184" spans="1:3" x14ac:dyDescent="0.3">
      <c r="A184" s="2" t="s">
        <v>315</v>
      </c>
      <c r="B184" s="2" t="s">
        <v>131</v>
      </c>
      <c r="C184" s="25">
        <v>4200</v>
      </c>
    </row>
    <row r="185" spans="1:3" x14ac:dyDescent="0.3">
      <c r="A185" s="2" t="s">
        <v>316</v>
      </c>
      <c r="B185" s="2" t="s">
        <v>131</v>
      </c>
      <c r="C185" s="25">
        <v>2631</v>
      </c>
    </row>
    <row r="186" spans="1:3" x14ac:dyDescent="0.3">
      <c r="A186" s="2" t="s">
        <v>317</v>
      </c>
      <c r="B186" s="2" t="s">
        <v>131</v>
      </c>
      <c r="C186" s="25">
        <v>2857</v>
      </c>
    </row>
    <row r="187" spans="1:3" x14ac:dyDescent="0.3">
      <c r="A187" s="2" t="s">
        <v>318</v>
      </c>
      <c r="B187" s="2" t="s">
        <v>131</v>
      </c>
      <c r="C187" s="25">
        <v>1977</v>
      </c>
    </row>
    <row r="188" spans="1:3" x14ac:dyDescent="0.3">
      <c r="A188" s="2" t="s">
        <v>319</v>
      </c>
      <c r="B188" s="2" t="s">
        <v>131</v>
      </c>
      <c r="C188" s="25">
        <v>1977</v>
      </c>
    </row>
    <row r="189" spans="1:3" x14ac:dyDescent="0.3">
      <c r="A189" s="2" t="s">
        <v>320</v>
      </c>
      <c r="B189" s="2" t="s">
        <v>131</v>
      </c>
      <c r="C189" s="25">
        <v>1829</v>
      </c>
    </row>
    <row r="190" spans="1:3" x14ac:dyDescent="0.3">
      <c r="A190" s="2" t="s">
        <v>321</v>
      </c>
      <c r="B190" s="2" t="s">
        <v>131</v>
      </c>
      <c r="C190" s="25">
        <v>21000</v>
      </c>
    </row>
    <row r="191" spans="1:3" x14ac:dyDescent="0.3">
      <c r="A191" s="2" t="s">
        <v>322</v>
      </c>
      <c r="B191" s="2" t="s">
        <v>131</v>
      </c>
      <c r="C191" s="25">
        <v>21000</v>
      </c>
    </row>
    <row r="192" spans="1:3" x14ac:dyDescent="0.3">
      <c r="A192" s="2" t="s">
        <v>323</v>
      </c>
      <c r="B192" s="2" t="s">
        <v>131</v>
      </c>
      <c r="C192" s="25">
        <v>7000</v>
      </c>
    </row>
    <row r="193" spans="1:3" x14ac:dyDescent="0.3">
      <c r="A193" s="2" t="s">
        <v>324</v>
      </c>
      <c r="B193" s="2" t="s">
        <v>131</v>
      </c>
      <c r="C193" s="25">
        <v>11159</v>
      </c>
    </row>
    <row r="194" spans="1:3" x14ac:dyDescent="0.3">
      <c r="A194" s="2" t="s">
        <v>325</v>
      </c>
      <c r="B194" s="2" t="s">
        <v>131</v>
      </c>
      <c r="C194" s="25">
        <v>19493</v>
      </c>
    </row>
    <row r="195" spans="1:3" x14ac:dyDescent="0.3">
      <c r="A195" s="2" t="s">
        <v>326</v>
      </c>
      <c r="B195" s="2" t="s">
        <v>131</v>
      </c>
      <c r="C195" s="25">
        <v>15615</v>
      </c>
    </row>
    <row r="196" spans="1:3" x14ac:dyDescent="0.3">
      <c r="A196" s="2" t="s">
        <v>327</v>
      </c>
      <c r="B196" s="2" t="s">
        <v>131</v>
      </c>
      <c r="C196" s="25">
        <v>19427</v>
      </c>
    </row>
    <row r="197" spans="1:3" x14ac:dyDescent="0.3">
      <c r="A197" s="2" t="s">
        <v>328</v>
      </c>
      <c r="B197" s="2" t="s">
        <v>131</v>
      </c>
      <c r="C197" s="25">
        <v>72192</v>
      </c>
    </row>
    <row r="198" spans="1:3" x14ac:dyDescent="0.3">
      <c r="A198" s="2" t="s">
        <v>329</v>
      </c>
      <c r="B198" s="2" t="s">
        <v>131</v>
      </c>
      <c r="C198" s="25">
        <v>72192</v>
      </c>
    </row>
    <row r="199" spans="1:3" x14ac:dyDescent="0.3">
      <c r="A199" s="2" t="s">
        <v>330</v>
      </c>
      <c r="B199" s="2" t="s">
        <v>131</v>
      </c>
      <c r="C199" s="25">
        <v>75912</v>
      </c>
    </row>
    <row r="200" spans="1:3" x14ac:dyDescent="0.3">
      <c r="A200" s="2" t="s">
        <v>331</v>
      </c>
      <c r="B200" s="2" t="s">
        <v>131</v>
      </c>
      <c r="C200" s="25">
        <v>75912</v>
      </c>
    </row>
    <row r="201" spans="1:3" x14ac:dyDescent="0.3">
      <c r="A201" s="2" t="s">
        <v>332</v>
      </c>
      <c r="B201" s="2" t="s">
        <v>131</v>
      </c>
      <c r="C201" s="25">
        <v>77011</v>
      </c>
    </row>
    <row r="202" spans="1:3" x14ac:dyDescent="0.3">
      <c r="A202" s="2" t="s">
        <v>333</v>
      </c>
      <c r="B202" s="2" t="s">
        <v>131</v>
      </c>
      <c r="C202" s="25">
        <v>3466</v>
      </c>
    </row>
    <row r="203" spans="1:3" x14ac:dyDescent="0.3">
      <c r="A203" s="2" t="s">
        <v>334</v>
      </c>
      <c r="B203" s="2" t="s">
        <v>131</v>
      </c>
      <c r="C203" s="25">
        <v>3033</v>
      </c>
    </row>
    <row r="204" spans="1:3" x14ac:dyDescent="0.3">
      <c r="A204" s="2" t="s">
        <v>335</v>
      </c>
      <c r="B204" s="2" t="s">
        <v>131</v>
      </c>
      <c r="C204" s="25">
        <v>4718</v>
      </c>
    </row>
    <row r="205" spans="1:3" x14ac:dyDescent="0.3">
      <c r="A205" s="21" t="s">
        <v>336</v>
      </c>
      <c r="B205" s="2" t="s">
        <v>131</v>
      </c>
      <c r="C205" s="25">
        <v>343</v>
      </c>
    </row>
    <row r="206" spans="1:3" x14ac:dyDescent="0.3">
      <c r="A206" s="2" t="s">
        <v>337</v>
      </c>
      <c r="B206" s="2" t="s">
        <v>131</v>
      </c>
      <c r="C206" s="25">
        <v>500</v>
      </c>
    </row>
    <row r="207" spans="1:3" x14ac:dyDescent="0.3">
      <c r="A207" s="2" t="s">
        <v>338</v>
      </c>
      <c r="B207" s="2" t="s">
        <v>131</v>
      </c>
      <c r="C207" s="25">
        <v>35</v>
      </c>
    </row>
    <row r="208" spans="1:3" x14ac:dyDescent="0.3">
      <c r="A208" s="2" t="s">
        <v>339</v>
      </c>
      <c r="B208" s="2" t="s">
        <v>131</v>
      </c>
      <c r="C208" s="25">
        <v>43</v>
      </c>
    </row>
    <row r="209" spans="1:3" x14ac:dyDescent="0.3">
      <c r="A209" s="2" t="s">
        <v>340</v>
      </c>
      <c r="B209" s="2" t="s">
        <v>131</v>
      </c>
      <c r="C209" s="25">
        <v>35</v>
      </c>
    </row>
    <row r="210" spans="1:3" x14ac:dyDescent="0.3">
      <c r="A210" s="2" t="s">
        <v>341</v>
      </c>
      <c r="B210" s="2" t="s">
        <v>131</v>
      </c>
      <c r="C210" s="25">
        <v>36800</v>
      </c>
    </row>
    <row r="211" spans="1:3" x14ac:dyDescent="0.3">
      <c r="A211" s="2" t="s">
        <v>342</v>
      </c>
      <c r="B211" s="2" t="s">
        <v>131</v>
      </c>
      <c r="C211" s="25">
        <v>8691</v>
      </c>
    </row>
    <row r="212" spans="1:3" x14ac:dyDescent="0.3">
      <c r="A212" s="2" t="s">
        <v>343</v>
      </c>
      <c r="B212" s="2" t="s">
        <v>131</v>
      </c>
      <c r="C212" s="25">
        <v>1877</v>
      </c>
    </row>
    <row r="213" spans="1:3" x14ac:dyDescent="0.3">
      <c r="A213" s="2" t="s">
        <v>344</v>
      </c>
      <c r="B213" s="2" t="s">
        <v>131</v>
      </c>
      <c r="C213" s="25">
        <v>1877</v>
      </c>
    </row>
    <row r="214" spans="1:3" x14ac:dyDescent="0.3">
      <c r="A214" s="2" t="s">
        <v>345</v>
      </c>
      <c r="B214" s="2" t="s">
        <v>131</v>
      </c>
      <c r="C214" s="25">
        <v>1877</v>
      </c>
    </row>
    <row r="215" spans="1:3" x14ac:dyDescent="0.3">
      <c r="A215" s="2" t="s">
        <v>346</v>
      </c>
      <c r="B215" s="2" t="s">
        <v>131</v>
      </c>
      <c r="C215" s="25">
        <v>15658</v>
      </c>
    </row>
    <row r="216" spans="1:3" x14ac:dyDescent="0.3">
      <c r="A216" s="2" t="s">
        <v>347</v>
      </c>
      <c r="B216" s="2" t="s">
        <v>131</v>
      </c>
      <c r="C216" s="25">
        <v>3501</v>
      </c>
    </row>
    <row r="217" spans="1:3" x14ac:dyDescent="0.3">
      <c r="A217" s="2" t="s">
        <v>348</v>
      </c>
      <c r="B217" s="2" t="s">
        <v>131</v>
      </c>
      <c r="C217" s="25">
        <v>12558</v>
      </c>
    </row>
    <row r="218" spans="1:3" x14ac:dyDescent="0.3">
      <c r="A218" s="2" t="s">
        <v>349</v>
      </c>
      <c r="B218" s="2" t="s">
        <v>131</v>
      </c>
      <c r="C218" s="25">
        <v>12923</v>
      </c>
    </row>
    <row r="219" spans="1:3" x14ac:dyDescent="0.3">
      <c r="A219" s="2" t="s">
        <v>350</v>
      </c>
      <c r="B219" s="2" t="s">
        <v>131</v>
      </c>
      <c r="C219" s="25">
        <v>42250</v>
      </c>
    </row>
    <row r="220" spans="1:3" x14ac:dyDescent="0.3">
      <c r="A220" s="2" t="s">
        <v>351</v>
      </c>
      <c r="B220" s="2" t="s">
        <v>131</v>
      </c>
      <c r="C220" s="25">
        <v>42250</v>
      </c>
    </row>
  </sheetData>
  <autoFilter ref="A1:C1" xr:uid="{7E7B8645-B76E-41A1-AA99-1FE30ACD75E9}"/>
  <sortState xmlns:xlrd2="http://schemas.microsoft.com/office/spreadsheetml/2017/richdata2" ref="A2:C220">
    <sortCondition ref="A1:A220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83DEA1-BAB3-4F15-A34D-9A8BD79A0EB2}">
  <sheetPr codeName="Hoja7"/>
  <dimension ref="A1:K28"/>
  <sheetViews>
    <sheetView workbookViewId="0">
      <selection activeCell="B19" sqref="B19"/>
    </sheetView>
  </sheetViews>
  <sheetFormatPr baseColWidth="10" defaultColWidth="11.44140625" defaultRowHeight="14.4" x14ac:dyDescent="0.3"/>
  <cols>
    <col min="1" max="1" width="19.88671875" customWidth="1"/>
    <col min="2" max="2" width="12" bestFit="1" customWidth="1"/>
    <col min="3" max="3" width="16.109375" customWidth="1"/>
    <col min="4" max="4" width="16.5546875" customWidth="1"/>
  </cols>
  <sheetData>
    <row r="1" spans="1:11" x14ac:dyDescent="0.3">
      <c r="A1" t="s">
        <v>352</v>
      </c>
      <c r="B1">
        <v>4</v>
      </c>
      <c r="C1" s="32">
        <f t="shared" ref="C1:C10" si="0">$A$3/K1</f>
        <v>223.9541341933172</v>
      </c>
      <c r="D1" s="31">
        <f>$B$14/C1</f>
        <v>1317.2340000000002</v>
      </c>
      <c r="G1">
        <v>4</v>
      </c>
      <c r="H1">
        <v>1.83</v>
      </c>
      <c r="I1">
        <v>2.44</v>
      </c>
      <c r="J1">
        <f>G1/1000</f>
        <v>4.0000000000000001E-3</v>
      </c>
      <c r="K1">
        <f>I1*J1*H1</f>
        <v>1.78608E-2</v>
      </c>
    </row>
    <row r="2" spans="1:11" x14ac:dyDescent="0.3">
      <c r="A2" t="s">
        <v>353</v>
      </c>
      <c r="B2">
        <v>5.5</v>
      </c>
      <c r="C2" s="32">
        <f t="shared" si="0"/>
        <v>162.87573395877615</v>
      </c>
      <c r="D2" s="31">
        <f>$B$14/C2</f>
        <v>1811.1967500000001</v>
      </c>
      <c r="G2">
        <v>5.5</v>
      </c>
      <c r="H2">
        <v>1.83</v>
      </c>
      <c r="I2">
        <v>2.44</v>
      </c>
      <c r="J2">
        <f>G2/1000</f>
        <v>5.4999999999999997E-3</v>
      </c>
      <c r="K2">
        <f>I2*J2*H2</f>
        <v>2.45586E-2</v>
      </c>
    </row>
    <row r="3" spans="1:11" x14ac:dyDescent="0.3">
      <c r="A3">
        <v>4</v>
      </c>
      <c r="B3">
        <v>6</v>
      </c>
      <c r="C3" s="32">
        <f t="shared" si="0"/>
        <v>149.30275612887814</v>
      </c>
      <c r="D3" s="31">
        <f t="shared" ref="D3:D9" si="1">$B$14/C3</f>
        <v>1975.8509999999999</v>
      </c>
      <c r="G3">
        <v>6</v>
      </c>
      <c r="H3">
        <v>1.83</v>
      </c>
      <c r="I3">
        <v>2.44</v>
      </c>
      <c r="J3">
        <f>G3/1000</f>
        <v>6.0000000000000001E-3</v>
      </c>
      <c r="K3">
        <f t="shared" ref="K3:K10" si="2">I3*J3*H3</f>
        <v>2.6791200000000001E-2</v>
      </c>
    </row>
    <row r="4" spans="1:11" x14ac:dyDescent="0.3">
      <c r="B4">
        <v>9</v>
      </c>
      <c r="C4" s="32">
        <f t="shared" si="0"/>
        <v>99.535170752585444</v>
      </c>
      <c r="D4" s="31">
        <f t="shared" si="1"/>
        <v>2963.7764999999995</v>
      </c>
      <c r="G4">
        <v>9</v>
      </c>
      <c r="H4">
        <v>1.83</v>
      </c>
      <c r="I4">
        <v>2.44</v>
      </c>
      <c r="J4">
        <f t="shared" ref="J4:J10" si="3">G4/1000</f>
        <v>8.9999999999999993E-3</v>
      </c>
      <c r="K4">
        <f t="shared" si="2"/>
        <v>4.0186799999999995E-2</v>
      </c>
    </row>
    <row r="5" spans="1:11" x14ac:dyDescent="0.3">
      <c r="B5">
        <v>12</v>
      </c>
      <c r="C5" s="32">
        <f t="shared" si="0"/>
        <v>74.651378064439072</v>
      </c>
      <c r="D5" s="31">
        <f t="shared" si="1"/>
        <v>3951.7019999999998</v>
      </c>
      <c r="G5">
        <v>12</v>
      </c>
      <c r="H5">
        <v>1.83</v>
      </c>
      <c r="I5">
        <v>2.44</v>
      </c>
      <c r="J5">
        <f t="shared" si="3"/>
        <v>1.2E-2</v>
      </c>
      <c r="K5">
        <f t="shared" si="2"/>
        <v>5.3582400000000002E-2</v>
      </c>
    </row>
    <row r="6" spans="1:11" x14ac:dyDescent="0.3">
      <c r="B6">
        <v>15</v>
      </c>
      <c r="C6" s="32">
        <f t="shared" si="0"/>
        <v>59.721102451551246</v>
      </c>
      <c r="D6" s="31">
        <f t="shared" si="1"/>
        <v>4939.6275000000005</v>
      </c>
      <c r="G6">
        <v>15</v>
      </c>
      <c r="H6">
        <v>1.83</v>
      </c>
      <c r="I6">
        <v>2.44</v>
      </c>
      <c r="J6">
        <f t="shared" si="3"/>
        <v>1.4999999999999999E-2</v>
      </c>
      <c r="K6">
        <f t="shared" si="2"/>
        <v>6.697800000000001E-2</v>
      </c>
    </row>
    <row r="7" spans="1:11" x14ac:dyDescent="0.3">
      <c r="B7">
        <v>18</v>
      </c>
      <c r="C7" s="32">
        <f t="shared" si="0"/>
        <v>49.767585376292722</v>
      </c>
      <c r="D7" s="31">
        <f t="shared" si="1"/>
        <v>5927.552999999999</v>
      </c>
      <c r="G7">
        <v>18</v>
      </c>
      <c r="H7">
        <v>1.83</v>
      </c>
      <c r="I7">
        <v>2.44</v>
      </c>
      <c r="J7">
        <f t="shared" si="3"/>
        <v>1.7999999999999999E-2</v>
      </c>
      <c r="K7">
        <f t="shared" si="2"/>
        <v>8.0373599999999989E-2</v>
      </c>
    </row>
    <row r="8" spans="1:11" x14ac:dyDescent="0.3">
      <c r="B8">
        <v>25</v>
      </c>
      <c r="C8" s="32">
        <f t="shared" si="0"/>
        <v>35.832661470930752</v>
      </c>
      <c r="D8" s="31">
        <f t="shared" si="1"/>
        <v>8232.7124999999996</v>
      </c>
      <c r="G8">
        <v>25</v>
      </c>
      <c r="H8">
        <v>1.83</v>
      </c>
      <c r="I8">
        <v>2.44</v>
      </c>
      <c r="J8">
        <f t="shared" si="3"/>
        <v>2.5000000000000001E-2</v>
      </c>
      <c r="K8">
        <f t="shared" si="2"/>
        <v>0.11163000000000001</v>
      </c>
    </row>
    <row r="9" spans="1:11" x14ac:dyDescent="0.3">
      <c r="B9">
        <v>30</v>
      </c>
      <c r="C9" s="32">
        <f t="shared" si="0"/>
        <v>29.860551225775623</v>
      </c>
      <c r="D9" s="31">
        <f t="shared" si="1"/>
        <v>9879.255000000001</v>
      </c>
      <c r="G9">
        <v>30</v>
      </c>
      <c r="H9">
        <v>1.83</v>
      </c>
      <c r="I9">
        <v>2.44</v>
      </c>
      <c r="J9">
        <f t="shared" si="3"/>
        <v>0.03</v>
      </c>
      <c r="K9">
        <f t="shared" si="2"/>
        <v>0.13395600000000002</v>
      </c>
    </row>
    <row r="10" spans="1:11" x14ac:dyDescent="0.3">
      <c r="B10">
        <v>36</v>
      </c>
      <c r="C10" s="32">
        <f t="shared" si="0"/>
        <v>24.883792688146361</v>
      </c>
      <c r="D10" s="31">
        <f>$B$14/C10</f>
        <v>11855.105999999998</v>
      </c>
      <c r="G10">
        <v>36</v>
      </c>
      <c r="H10">
        <v>1.83</v>
      </c>
      <c r="I10">
        <v>2.44</v>
      </c>
      <c r="J10">
        <f t="shared" si="3"/>
        <v>3.5999999999999997E-2</v>
      </c>
      <c r="K10">
        <f t="shared" si="2"/>
        <v>0.16074719999999998</v>
      </c>
    </row>
    <row r="12" spans="1:11" x14ac:dyDescent="0.3">
      <c r="A12" t="s">
        <v>354</v>
      </c>
      <c r="B12" s="33">
        <v>175000</v>
      </c>
    </row>
    <row r="13" spans="1:11" x14ac:dyDescent="0.3">
      <c r="A13" t="s">
        <v>77</v>
      </c>
      <c r="B13" s="33">
        <v>120000</v>
      </c>
    </row>
    <row r="14" spans="1:11" x14ac:dyDescent="0.3">
      <c r="A14" t="s">
        <v>355</v>
      </c>
      <c r="B14" s="34">
        <f>SUM(B12:B13)</f>
        <v>295000</v>
      </c>
    </row>
    <row r="17" spans="1:4" x14ac:dyDescent="0.3">
      <c r="A17" s="125" t="s">
        <v>81</v>
      </c>
      <c r="B17" s="126"/>
      <c r="C17" s="126"/>
      <c r="D17" s="127"/>
    </row>
    <row r="18" spans="1:4" x14ac:dyDescent="0.3">
      <c r="A18" s="13" t="s">
        <v>91</v>
      </c>
      <c r="B18" s="13" t="s">
        <v>2</v>
      </c>
      <c r="C18" s="13" t="s">
        <v>356</v>
      </c>
      <c r="D18" s="2" t="s">
        <v>357</v>
      </c>
    </row>
    <row r="19" spans="1:4" x14ac:dyDescent="0.3">
      <c r="A19" s="2" cm="1">
        <f t="array" ref="A19">_xlfn._xlws.FILTER(_xlfn.UNIQUE(cotizador!C6:C15), _xlfn.UNIQUE(cotizador!C6:C15)&lt;&gt;0)</f>
        <v>15</v>
      </c>
      <c r="B19" s="2">
        <f>IF(SUMIF(cotizador!C6:C15,  A19, cotizador!D6:D15)=0,"",SUMIF(cotizador!C6:C15,  A19, cotizador!D6:D15))</f>
        <v>2</v>
      </c>
      <c r="C19" s="25">
        <f t="shared" ref="C19:C27" si="4">IF(SUMIF($B$1:$B$10,  A19, $D$1:$D$10)=0,"",SUMIF($B$1:$B$10,  A19, $D$1:$D$10))</f>
        <v>4939.6275000000005</v>
      </c>
      <c r="D19" s="30">
        <f>IFERROR(B19*C19,"")</f>
        <v>9879.255000000001</v>
      </c>
    </row>
    <row r="20" spans="1:4" x14ac:dyDescent="0.3">
      <c r="A20" s="2"/>
      <c r="B20" s="2" t="str">
        <f>IF(SUMIF(cotizador!C7:C16,  A20, cotizador!D7:D16)=0,"",SUMIF(cotizador!C7:C16,  A20, cotizador!D7:D16))</f>
        <v/>
      </c>
      <c r="C20" s="25" t="str">
        <f t="shared" si="4"/>
        <v/>
      </c>
      <c r="D20" s="30" t="str">
        <f t="shared" ref="D20:D27" si="5">IFERROR(B20*C20,"")</f>
        <v/>
      </c>
    </row>
    <row r="21" spans="1:4" x14ac:dyDescent="0.3">
      <c r="A21" s="2"/>
      <c r="B21" s="2" t="str">
        <f>IF(SUMIF(cotizador!C8:C17,  A21, cotizador!D8:D17)=0,"",SUMIF(cotizador!C8:C17,  A21, cotizador!D8:D17))</f>
        <v/>
      </c>
      <c r="C21" s="25" t="str">
        <f t="shared" si="4"/>
        <v/>
      </c>
      <c r="D21" s="30" t="str">
        <f t="shared" si="5"/>
        <v/>
      </c>
    </row>
    <row r="22" spans="1:4" x14ac:dyDescent="0.3">
      <c r="A22" s="2"/>
      <c r="B22" s="2" t="str">
        <f>IF(SUMIF(cotizador!C9:C18,  A22, cotizador!D9:D18)=0,"",SUMIF(cotizador!C9:C18,  A22, cotizador!D9:D18))</f>
        <v/>
      </c>
      <c r="C22" s="25" t="str">
        <f t="shared" si="4"/>
        <v/>
      </c>
      <c r="D22" s="30" t="str">
        <f t="shared" si="5"/>
        <v/>
      </c>
    </row>
    <row r="23" spans="1:4" x14ac:dyDescent="0.3">
      <c r="A23" s="2"/>
      <c r="B23" s="2" t="str">
        <f>IF(SUMIF(cotizador!C10:C19,  A23, cotizador!D10:D19)=0,"",SUMIF(cotizador!C10:C19,  A23, cotizador!D10:D19))</f>
        <v/>
      </c>
      <c r="C23" s="25" t="str">
        <f t="shared" si="4"/>
        <v/>
      </c>
      <c r="D23" s="30" t="str">
        <f t="shared" si="5"/>
        <v/>
      </c>
    </row>
    <row r="24" spans="1:4" x14ac:dyDescent="0.3">
      <c r="A24" s="2"/>
      <c r="B24" s="2" t="str">
        <f>IF(SUMIF(cotizador!C11:C20,  A24, cotizador!D11:D20)=0,"",SUMIF(cotizador!C11:C20,  A24, cotizador!D11:D20))</f>
        <v/>
      </c>
      <c r="C24" s="25" t="str">
        <f t="shared" si="4"/>
        <v/>
      </c>
      <c r="D24" s="30" t="str">
        <f t="shared" si="5"/>
        <v/>
      </c>
    </row>
    <row r="25" spans="1:4" x14ac:dyDescent="0.3">
      <c r="A25" s="2"/>
      <c r="B25" s="2" t="str">
        <f>IF(SUMIF(cotizador!C12:C21,  A25, cotizador!D12:D21)=0,"",SUMIF(cotizador!C12:C21,  A25, cotizador!D12:D21))</f>
        <v/>
      </c>
      <c r="C25" s="25" t="str">
        <f t="shared" si="4"/>
        <v/>
      </c>
      <c r="D25" s="30" t="str">
        <f t="shared" si="5"/>
        <v/>
      </c>
    </row>
    <row r="26" spans="1:4" x14ac:dyDescent="0.3">
      <c r="A26" s="2"/>
      <c r="B26" s="2" t="str">
        <f>IF(SUMIF(cotizador!C13:C22,  A26, cotizador!D13:D22)=0,"",SUMIF(cotizador!C13:C22,  A26, cotizador!D13:D22))</f>
        <v/>
      </c>
      <c r="C26" s="25" t="str">
        <f t="shared" si="4"/>
        <v/>
      </c>
      <c r="D26" s="30" t="str">
        <f t="shared" si="5"/>
        <v/>
      </c>
    </row>
    <row r="27" spans="1:4" x14ac:dyDescent="0.3">
      <c r="A27" s="2"/>
      <c r="B27" s="2" t="str">
        <f>IF(SUMIF(cotizador!C14:C23,  A27, cotizador!D14:D23)=0,"",SUMIF(cotizador!C14:C23,  A27, cotizador!D14:D23))</f>
        <v/>
      </c>
      <c r="C27" s="25" t="str">
        <f t="shared" si="4"/>
        <v/>
      </c>
      <c r="D27" s="30" t="str">
        <f t="shared" si="5"/>
        <v/>
      </c>
    </row>
    <row r="28" spans="1:4" x14ac:dyDescent="0.3">
      <c r="A28" s="2"/>
      <c r="B28" s="2" t="str">
        <f>IF(SUMIF(cotizador!D15:D24,  A28, cotizador!E15:E24)=0,"",SUMIF(cotizador!D15:D24,  A28, cotizador!E15:E24))</f>
        <v/>
      </c>
      <c r="C28" s="2" t="s">
        <v>29</v>
      </c>
      <c r="D28" s="30">
        <f>SUM(D19:D27)</f>
        <v>9879.255000000001</v>
      </c>
    </row>
  </sheetData>
  <mergeCells count="1">
    <mergeCell ref="A17:D1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E139EA-3985-4024-9B8F-C552DA20BC25}">
  <sheetPr codeName="Hoja8"/>
  <dimension ref="A1:B11"/>
  <sheetViews>
    <sheetView workbookViewId="0">
      <selection activeCell="A12" sqref="A12"/>
    </sheetView>
  </sheetViews>
  <sheetFormatPr baseColWidth="10" defaultColWidth="11.44140625" defaultRowHeight="14.4" x14ac:dyDescent="0.3"/>
  <cols>
    <col min="1" max="1" width="23" customWidth="1"/>
    <col min="2" max="2" width="13" bestFit="1" customWidth="1"/>
  </cols>
  <sheetData>
    <row r="1" spans="1:2" x14ac:dyDescent="0.3">
      <c r="A1" t="s">
        <v>352</v>
      </c>
    </row>
    <row r="2" spans="1:2" x14ac:dyDescent="0.3">
      <c r="A2" t="s">
        <v>358</v>
      </c>
    </row>
    <row r="3" spans="1:2" x14ac:dyDescent="0.3">
      <c r="A3">
        <v>1600</v>
      </c>
    </row>
    <row r="5" spans="1:2" x14ac:dyDescent="0.3">
      <c r="A5" t="s">
        <v>359</v>
      </c>
      <c r="B5" s="35">
        <v>175000</v>
      </c>
    </row>
    <row r="6" spans="1:2" x14ac:dyDescent="0.3">
      <c r="A6" t="s">
        <v>77</v>
      </c>
      <c r="B6" s="33">
        <v>120000</v>
      </c>
    </row>
    <row r="7" spans="1:2" x14ac:dyDescent="0.3">
      <c r="A7" t="s">
        <v>355</v>
      </c>
      <c r="B7" s="34">
        <f>SUM(B5:B6)</f>
        <v>295000</v>
      </c>
    </row>
    <row r="9" spans="1:2" x14ac:dyDescent="0.3">
      <c r="A9" s="120" t="s">
        <v>81</v>
      </c>
      <c r="B9" s="120"/>
    </row>
    <row r="10" spans="1:2" x14ac:dyDescent="0.3">
      <c r="A10" s="13" t="s">
        <v>2</v>
      </c>
      <c r="B10" s="2" t="s">
        <v>357</v>
      </c>
    </row>
    <row r="11" spans="1:2" x14ac:dyDescent="0.3">
      <c r="A11" s="2">
        <f>SUM(cotizador!E18:E27)</f>
        <v>52724</v>
      </c>
      <c r="B11" s="30">
        <f>(B7/A3)*A11</f>
        <v>9720987.5</v>
      </c>
    </row>
  </sheetData>
  <mergeCells count="1">
    <mergeCell ref="A9:B9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AB443C-A4B2-406B-A242-2AADEF0668E9}">
  <sheetPr codeName="Hoja9"/>
  <dimension ref="A1:N86"/>
  <sheetViews>
    <sheetView topLeftCell="A60" workbookViewId="0">
      <selection activeCell="A19" sqref="A19"/>
    </sheetView>
  </sheetViews>
  <sheetFormatPr baseColWidth="10" defaultColWidth="11.44140625" defaultRowHeight="14.4" x14ac:dyDescent="0.3"/>
  <cols>
    <col min="1" max="1" width="24.33203125" customWidth="1"/>
    <col min="2" max="2" width="15" customWidth="1"/>
    <col min="9" max="9" width="18.88671875" customWidth="1"/>
    <col min="13" max="13" width="15.33203125" customWidth="1"/>
    <col min="14" max="14" width="15" customWidth="1"/>
  </cols>
  <sheetData>
    <row r="1" spans="1:14" ht="15" thickBot="1" x14ac:dyDescent="0.35">
      <c r="A1" s="57" t="s">
        <v>360</v>
      </c>
      <c r="B1" s="58"/>
      <c r="C1" s="58"/>
      <c r="D1" s="59">
        <v>100</v>
      </c>
      <c r="E1" s="59">
        <v>560</v>
      </c>
      <c r="F1" s="59">
        <v>280</v>
      </c>
      <c r="G1" s="59">
        <v>325</v>
      </c>
      <c r="H1" s="60">
        <v>325</v>
      </c>
      <c r="I1" s="2"/>
      <c r="K1" s="125" t="s">
        <v>81</v>
      </c>
      <c r="L1" s="126"/>
      <c r="M1" s="126"/>
      <c r="N1" s="127"/>
    </row>
    <row r="2" spans="1:14" ht="27.6" x14ac:dyDescent="0.3">
      <c r="A2" s="36" t="s">
        <v>361</v>
      </c>
      <c r="B2" s="37" t="s">
        <v>362</v>
      </c>
      <c r="C2" s="37" t="s">
        <v>32</v>
      </c>
      <c r="D2" s="38" t="s">
        <v>363</v>
      </c>
      <c r="E2" s="38" t="s">
        <v>364</v>
      </c>
      <c r="F2" s="38" t="s">
        <v>365</v>
      </c>
      <c r="G2" s="37" t="s">
        <v>366</v>
      </c>
      <c r="H2" s="61" t="s">
        <v>367</v>
      </c>
      <c r="I2" s="67" t="s">
        <v>368</v>
      </c>
      <c r="K2" s="106" t="s">
        <v>83</v>
      </c>
      <c r="L2" s="2" t="s">
        <v>2</v>
      </c>
      <c r="M2" s="2" t="s">
        <v>84</v>
      </c>
      <c r="N2" s="2" t="s">
        <v>85</v>
      </c>
    </row>
    <row r="3" spans="1:14" x14ac:dyDescent="0.3">
      <c r="A3" s="39" t="s">
        <v>6</v>
      </c>
      <c r="B3" s="40">
        <v>1</v>
      </c>
      <c r="C3" s="40">
        <v>0</v>
      </c>
      <c r="D3" s="40">
        <v>0</v>
      </c>
      <c r="E3" s="40">
        <v>0</v>
      </c>
      <c r="F3" s="40">
        <v>0</v>
      </c>
      <c r="G3" s="40">
        <v>0</v>
      </c>
      <c r="H3" s="62">
        <v>0</v>
      </c>
      <c r="I3" s="68">
        <f>($D$1*D3)+(E3*$E$1)+(F3*$F$1)+(G3*$G$1)+(H3*$H$1)</f>
        <v>0</v>
      </c>
      <c r="K3" s="2" t="str" cm="1">
        <f t="array" ref="K3">_xlfn.UNIQUE(_xlfn._xlws.FILTER(Despiece!B:B,COUNTIF(Mecanizado!A:A,Despiece!B:B)&gt;0,""))</f>
        <v/>
      </c>
      <c r="L3" s="2" t="str">
        <f>IF(SUMIF(Despiece!B:B,  Mecanizado!K3,Despiece!C:C)=0,"",SUMIF(Despiece!B:B,  Mecanizado!K3,Despiece!C:C))</f>
        <v/>
      </c>
      <c r="M3" s="25" t="str">
        <f t="shared" ref="M3:M33" si="0">IF(SUMIF(A3:A86,  K3, I3:I86)=0,"",SUMIF(A3:A86,  K3, I3:I86))</f>
        <v/>
      </c>
      <c r="N3" s="25" t="str">
        <f t="shared" ref="N3:N33" si="1">IFERROR(L3*M3,"")</f>
        <v/>
      </c>
    </row>
    <row r="4" spans="1:14" x14ac:dyDescent="0.3">
      <c r="A4" s="39" t="s">
        <v>8</v>
      </c>
      <c r="B4" s="40">
        <v>1</v>
      </c>
      <c r="C4" s="40">
        <v>2</v>
      </c>
      <c r="D4" s="41">
        <v>4</v>
      </c>
      <c r="E4" s="41">
        <v>0</v>
      </c>
      <c r="F4" s="41">
        <v>0</v>
      </c>
      <c r="G4" s="42">
        <v>0</v>
      </c>
      <c r="H4" s="62">
        <v>0</v>
      </c>
      <c r="I4" s="68">
        <f t="shared" ref="I4:I67" si="2">($D$1*D4)+(E4*$E$1)+(F4*$F$1)+(G4*$G$1)+(H4*$H$1)</f>
        <v>400</v>
      </c>
      <c r="K4" s="2"/>
      <c r="L4" s="2" t="str">
        <f>IF(SUMIF(Despiece!B:B,  Mecanizado!K4,Despiece!C:C)=0,"",SUMIF(Despiece!B:B,  Mecanizado!K4,Despiece!C:C))</f>
        <v/>
      </c>
      <c r="M4" s="25" t="str">
        <f>IF(SUMIF(A4:A87,  K4, I4:I87)=0,"",SUMIF(A4:A87,  K4, I4:I87))</f>
        <v/>
      </c>
      <c r="N4" s="25" t="str">
        <f t="shared" si="1"/>
        <v/>
      </c>
    </row>
    <row r="5" spans="1:14" x14ac:dyDescent="0.3">
      <c r="A5" s="39" t="s">
        <v>369</v>
      </c>
      <c r="B5" s="40">
        <v>1</v>
      </c>
      <c r="C5" s="40">
        <v>0</v>
      </c>
      <c r="D5" s="41">
        <v>4</v>
      </c>
      <c r="E5" s="41">
        <v>0</v>
      </c>
      <c r="F5" s="41">
        <v>0</v>
      </c>
      <c r="G5" s="40">
        <v>0</v>
      </c>
      <c r="H5" s="62">
        <v>0</v>
      </c>
      <c r="I5" s="68">
        <f t="shared" si="2"/>
        <v>400</v>
      </c>
      <c r="K5" s="2"/>
      <c r="L5" s="2" t="str">
        <f>IF(SUMIF(Despiece!B:B,  Mecanizado!K5,Despiece!C:C)=0,"",SUMIF(Despiece!B:B,  Mecanizado!K5,Despiece!C:C))</f>
        <v/>
      </c>
      <c r="M5" s="25" t="str">
        <f t="shared" si="0"/>
        <v/>
      </c>
      <c r="N5" s="25" t="str">
        <f t="shared" si="1"/>
        <v/>
      </c>
    </row>
    <row r="6" spans="1:14" x14ac:dyDescent="0.3">
      <c r="A6" s="43" t="s">
        <v>370</v>
      </c>
      <c r="B6" s="42">
        <v>1</v>
      </c>
      <c r="C6" s="42">
        <v>0</v>
      </c>
      <c r="D6" s="41">
        <v>2</v>
      </c>
      <c r="E6" s="41">
        <v>0</v>
      </c>
      <c r="F6" s="41">
        <v>0</v>
      </c>
      <c r="G6" s="40">
        <v>0</v>
      </c>
      <c r="H6" s="62">
        <v>0</v>
      </c>
      <c r="I6" s="68">
        <f t="shared" si="2"/>
        <v>200</v>
      </c>
      <c r="K6" s="2"/>
      <c r="L6" s="2" t="str">
        <f>IF(SUMIF(Despiece!B:B,  Mecanizado!K6,Despiece!C:C)=0,"",SUMIF(Despiece!B:B,  Mecanizado!K6,Despiece!C:C))</f>
        <v/>
      </c>
      <c r="M6" s="25" t="str">
        <f t="shared" si="0"/>
        <v/>
      </c>
      <c r="N6" s="25" t="str">
        <f t="shared" si="1"/>
        <v/>
      </c>
    </row>
    <row r="7" spans="1:14" x14ac:dyDescent="0.3">
      <c r="A7" s="43" t="s">
        <v>371</v>
      </c>
      <c r="B7" s="42">
        <v>1</v>
      </c>
      <c r="C7" s="42">
        <v>0</v>
      </c>
      <c r="D7" s="41">
        <v>3</v>
      </c>
      <c r="E7" s="41">
        <v>1</v>
      </c>
      <c r="F7" s="41">
        <v>0</v>
      </c>
      <c r="G7" s="40">
        <v>0</v>
      </c>
      <c r="H7" s="62">
        <v>0</v>
      </c>
      <c r="I7" s="68">
        <f t="shared" si="2"/>
        <v>860</v>
      </c>
      <c r="K7" s="2"/>
      <c r="L7" s="2" t="str">
        <f>IF(SUMIF(Despiece!B:B,  Mecanizado!K7,Despiece!C:C)=0,"",SUMIF(Despiece!B:B,  Mecanizado!K7,Despiece!C:C))</f>
        <v/>
      </c>
      <c r="M7" s="25" t="str">
        <f t="shared" si="0"/>
        <v/>
      </c>
      <c r="N7" s="25" t="str">
        <f t="shared" si="1"/>
        <v/>
      </c>
    </row>
    <row r="8" spans="1:14" x14ac:dyDescent="0.3">
      <c r="A8" s="43" t="s">
        <v>372</v>
      </c>
      <c r="B8" s="42">
        <v>2</v>
      </c>
      <c r="C8" s="42">
        <v>0</v>
      </c>
      <c r="D8" s="42">
        <v>2</v>
      </c>
      <c r="E8" s="42">
        <v>0</v>
      </c>
      <c r="F8" s="42">
        <v>0</v>
      </c>
      <c r="G8" s="42">
        <v>0</v>
      </c>
      <c r="H8" s="62">
        <v>0</v>
      </c>
      <c r="I8" s="68">
        <f t="shared" si="2"/>
        <v>200</v>
      </c>
      <c r="K8" s="2"/>
      <c r="L8" s="2" t="str">
        <f>IF(SUMIF(Despiece!B:B,  Mecanizado!K8,Despiece!C:C)=0,"",SUMIF(Despiece!B:B,  Mecanizado!K8,Despiece!C:C))</f>
        <v/>
      </c>
      <c r="M8" s="25" t="str">
        <f t="shared" si="0"/>
        <v/>
      </c>
      <c r="N8" s="25" t="str">
        <f t="shared" si="1"/>
        <v/>
      </c>
    </row>
    <row r="9" spans="1:14" x14ac:dyDescent="0.3">
      <c r="A9" s="44" t="s">
        <v>373</v>
      </c>
      <c r="B9" s="40">
        <v>1</v>
      </c>
      <c r="C9" s="40">
        <v>2</v>
      </c>
      <c r="D9" s="40">
        <v>10</v>
      </c>
      <c r="E9" s="40">
        <v>2</v>
      </c>
      <c r="F9" s="40">
        <v>1</v>
      </c>
      <c r="G9" s="40">
        <v>0</v>
      </c>
      <c r="H9" s="62">
        <v>0</v>
      </c>
      <c r="I9" s="68">
        <f t="shared" si="2"/>
        <v>2400</v>
      </c>
      <c r="K9" s="2"/>
      <c r="L9" s="2" t="str">
        <f>IF(SUMIF(Despiece!B:B,  Mecanizado!K9,Despiece!C:C)=0,"",SUMIF(Despiece!B:B,  Mecanizado!K9,Despiece!C:C))</f>
        <v/>
      </c>
      <c r="M9" s="25" t="str">
        <f t="shared" si="0"/>
        <v/>
      </c>
      <c r="N9" s="25" t="str">
        <f t="shared" si="1"/>
        <v/>
      </c>
    </row>
    <row r="10" spans="1:14" x14ac:dyDescent="0.3">
      <c r="A10" s="44" t="s">
        <v>374</v>
      </c>
      <c r="B10" s="40">
        <v>1</v>
      </c>
      <c r="C10" s="40">
        <v>2</v>
      </c>
      <c r="D10" s="40">
        <v>10</v>
      </c>
      <c r="E10" s="40">
        <v>2</v>
      </c>
      <c r="F10" s="40">
        <v>0</v>
      </c>
      <c r="G10" s="40">
        <v>0</v>
      </c>
      <c r="H10" s="62">
        <v>0</v>
      </c>
      <c r="I10" s="68">
        <f t="shared" si="2"/>
        <v>2120</v>
      </c>
      <c r="K10" s="2"/>
      <c r="L10" s="2" t="str">
        <f>IF(SUMIF(Despiece!B:B,  Mecanizado!K10,Despiece!C:C)=0,"",SUMIF(Despiece!B:B,  Mecanizado!K10,Despiece!C:C))</f>
        <v/>
      </c>
      <c r="M10" s="25" t="str">
        <f t="shared" si="0"/>
        <v/>
      </c>
      <c r="N10" s="25" t="str">
        <f t="shared" si="1"/>
        <v/>
      </c>
    </row>
    <row r="11" spans="1:14" x14ac:dyDescent="0.3">
      <c r="A11" s="43" t="s">
        <v>375</v>
      </c>
      <c r="B11" s="42">
        <v>1</v>
      </c>
      <c r="C11" s="42">
        <v>2</v>
      </c>
      <c r="D11" s="42">
        <v>6</v>
      </c>
      <c r="E11" s="42">
        <v>0</v>
      </c>
      <c r="F11" s="42">
        <v>1</v>
      </c>
      <c r="G11" s="42">
        <v>0</v>
      </c>
      <c r="H11" s="63">
        <v>0</v>
      </c>
      <c r="I11" s="68">
        <f t="shared" si="2"/>
        <v>880</v>
      </c>
      <c r="K11" s="2"/>
      <c r="L11" s="2" t="str">
        <f>IF(SUMIF(Despiece!B:B,  Mecanizado!K11,Despiece!C:C)=0,"",SUMIF(Despiece!B:B,  Mecanizado!K11,Despiece!C:C))</f>
        <v/>
      </c>
      <c r="M11" s="25" t="str">
        <f t="shared" si="0"/>
        <v/>
      </c>
      <c r="N11" s="25" t="str">
        <f t="shared" si="1"/>
        <v/>
      </c>
    </row>
    <row r="12" spans="1:14" x14ac:dyDescent="0.3">
      <c r="A12" s="43" t="s">
        <v>376</v>
      </c>
      <c r="B12" s="42">
        <v>1</v>
      </c>
      <c r="C12" s="42">
        <v>2</v>
      </c>
      <c r="D12" s="42">
        <v>6</v>
      </c>
      <c r="E12" s="42">
        <v>0</v>
      </c>
      <c r="F12" s="42">
        <v>0</v>
      </c>
      <c r="G12" s="42">
        <v>0</v>
      </c>
      <c r="H12" s="63">
        <v>0</v>
      </c>
      <c r="I12" s="68">
        <f t="shared" si="2"/>
        <v>600</v>
      </c>
      <c r="K12" s="2"/>
      <c r="L12" s="2" t="str">
        <f>IF(SUMIF(Despiece!B:B,  Mecanizado!K12,Despiece!C:C)=0,"",SUMIF(Despiece!B:B,  Mecanizado!K12,Despiece!C:C))</f>
        <v/>
      </c>
      <c r="M12" s="25" t="str">
        <f t="shared" si="0"/>
        <v/>
      </c>
      <c r="N12" s="25" t="str">
        <f t="shared" si="1"/>
        <v/>
      </c>
    </row>
    <row r="13" spans="1:14" x14ac:dyDescent="0.3">
      <c r="A13" s="39" t="s">
        <v>377</v>
      </c>
      <c r="B13" s="40">
        <v>1</v>
      </c>
      <c r="C13" s="40">
        <v>2</v>
      </c>
      <c r="D13" s="40">
        <v>8</v>
      </c>
      <c r="E13" s="40">
        <v>2</v>
      </c>
      <c r="F13" s="40">
        <v>0</v>
      </c>
      <c r="G13" s="40">
        <v>0</v>
      </c>
      <c r="H13" s="62">
        <v>0</v>
      </c>
      <c r="I13" s="68">
        <f t="shared" si="2"/>
        <v>1920</v>
      </c>
      <c r="K13" s="2"/>
      <c r="L13" s="2" t="str">
        <f>IF(SUMIF(Despiece!B:B,  Mecanizado!K13,Despiece!C:C)=0,"",SUMIF(Despiece!B:B,  Mecanizado!K13,Despiece!C:C))</f>
        <v/>
      </c>
      <c r="M13" s="25" t="str">
        <f t="shared" si="0"/>
        <v/>
      </c>
      <c r="N13" s="25" t="str">
        <f t="shared" si="1"/>
        <v/>
      </c>
    </row>
    <row r="14" spans="1:14" x14ac:dyDescent="0.3">
      <c r="A14" s="39" t="s">
        <v>378</v>
      </c>
      <c r="B14" s="40">
        <v>1</v>
      </c>
      <c r="C14" s="40">
        <v>2</v>
      </c>
      <c r="D14" s="40">
        <v>8</v>
      </c>
      <c r="E14" s="40">
        <v>0</v>
      </c>
      <c r="F14" s="40">
        <v>0</v>
      </c>
      <c r="G14" s="40">
        <v>0</v>
      </c>
      <c r="H14" s="62">
        <v>0</v>
      </c>
      <c r="I14" s="68">
        <f t="shared" si="2"/>
        <v>800</v>
      </c>
      <c r="K14" s="2"/>
      <c r="L14" s="2" t="str">
        <f>IF(SUMIF(Despiece!B:B,  Mecanizado!K14,Despiece!C:C)=0,"",SUMIF(Despiece!B:B,  Mecanizado!K14,Despiece!C:C))</f>
        <v/>
      </c>
      <c r="M14" s="25" t="str">
        <f t="shared" si="0"/>
        <v/>
      </c>
      <c r="N14" s="25" t="str">
        <f t="shared" si="1"/>
        <v/>
      </c>
    </row>
    <row r="15" spans="1:14" x14ac:dyDescent="0.3">
      <c r="A15" s="39" t="s">
        <v>379</v>
      </c>
      <c r="B15" s="40">
        <v>2</v>
      </c>
      <c r="C15" s="40">
        <v>0</v>
      </c>
      <c r="D15" s="40">
        <v>0</v>
      </c>
      <c r="E15" s="40">
        <v>0</v>
      </c>
      <c r="F15" s="40">
        <v>0</v>
      </c>
      <c r="G15" s="40">
        <v>0</v>
      </c>
      <c r="H15" s="62">
        <v>0</v>
      </c>
      <c r="I15" s="68">
        <f t="shared" si="2"/>
        <v>0</v>
      </c>
      <c r="K15" s="2"/>
      <c r="L15" s="2" t="str">
        <f>IF(SUMIF(Despiece!B:B,  Mecanizado!K15,Despiece!C:C)=0,"",SUMIF(Despiece!B:B,  Mecanizado!K15,Despiece!C:C))</f>
        <v/>
      </c>
      <c r="M15" s="25" t="str">
        <f t="shared" si="0"/>
        <v/>
      </c>
      <c r="N15" s="25" t="str">
        <f t="shared" si="1"/>
        <v/>
      </c>
    </row>
    <row r="16" spans="1:14" x14ac:dyDescent="0.3">
      <c r="A16" s="39" t="s">
        <v>380</v>
      </c>
      <c r="B16" s="40">
        <v>0</v>
      </c>
      <c r="C16" s="40">
        <v>0</v>
      </c>
      <c r="D16" s="40">
        <v>0</v>
      </c>
      <c r="E16" s="40">
        <v>0</v>
      </c>
      <c r="F16" s="40">
        <v>0</v>
      </c>
      <c r="G16" s="40">
        <v>0</v>
      </c>
      <c r="H16" s="62">
        <v>0</v>
      </c>
      <c r="I16" s="68">
        <f t="shared" si="2"/>
        <v>0</v>
      </c>
      <c r="K16" s="2"/>
      <c r="L16" s="2" t="str">
        <f>IF(SUMIF(Despiece!B:B,  Mecanizado!K16,Despiece!C:C)=0,"",SUMIF(Despiece!B:B,  Mecanizado!K16,Despiece!C:C))</f>
        <v/>
      </c>
      <c r="M16" s="25" t="str">
        <f t="shared" si="0"/>
        <v/>
      </c>
      <c r="N16" s="25" t="str">
        <f t="shared" si="1"/>
        <v/>
      </c>
    </row>
    <row r="17" spans="1:14" x14ac:dyDescent="0.3">
      <c r="A17" s="45" t="s">
        <v>381</v>
      </c>
      <c r="B17" s="40">
        <v>1</v>
      </c>
      <c r="C17" s="40">
        <v>0</v>
      </c>
      <c r="D17" s="40">
        <v>0</v>
      </c>
      <c r="E17" s="40">
        <v>0</v>
      </c>
      <c r="F17" s="40">
        <v>0</v>
      </c>
      <c r="G17" s="40">
        <v>0</v>
      </c>
      <c r="H17" s="62">
        <v>0</v>
      </c>
      <c r="I17" s="68">
        <f t="shared" si="2"/>
        <v>0</v>
      </c>
      <c r="K17" s="2"/>
      <c r="L17" s="2" t="str">
        <f>IF(SUMIF(Despiece!B:B,  Mecanizado!K17,Despiece!C:C)=0,"",SUMIF(Despiece!B:B,  Mecanizado!K17,Despiece!C:C))</f>
        <v/>
      </c>
      <c r="M17" s="25" t="str">
        <f t="shared" si="0"/>
        <v/>
      </c>
      <c r="N17" s="25" t="str">
        <f t="shared" si="1"/>
        <v/>
      </c>
    </row>
    <row r="18" spans="1:14" x14ac:dyDescent="0.3">
      <c r="A18" s="43" t="s">
        <v>382</v>
      </c>
      <c r="B18" s="42">
        <v>1</v>
      </c>
      <c r="C18" s="42">
        <v>0</v>
      </c>
      <c r="D18" s="42">
        <v>11</v>
      </c>
      <c r="E18" s="46">
        <v>2</v>
      </c>
      <c r="F18" s="42">
        <v>0</v>
      </c>
      <c r="G18" s="42">
        <v>0</v>
      </c>
      <c r="H18" s="62">
        <v>0</v>
      </c>
      <c r="I18" s="68">
        <f t="shared" si="2"/>
        <v>2220</v>
      </c>
      <c r="K18" s="2"/>
      <c r="L18" s="2" t="str">
        <f>IF(SUMIF(Despiece!B:B,  Mecanizado!K18,Despiece!C:C)=0,"",SUMIF(Despiece!B:B,  Mecanizado!K18,Despiece!C:C))</f>
        <v/>
      </c>
      <c r="M18" s="25" t="str">
        <f t="shared" si="0"/>
        <v/>
      </c>
      <c r="N18" s="25" t="str">
        <f t="shared" si="1"/>
        <v/>
      </c>
    </row>
    <row r="19" spans="1:14" x14ac:dyDescent="0.3">
      <c r="A19" s="43" t="s">
        <v>383</v>
      </c>
      <c r="B19" s="42">
        <v>2</v>
      </c>
      <c r="C19" s="42">
        <v>0</v>
      </c>
      <c r="D19" s="42">
        <v>11</v>
      </c>
      <c r="E19" s="42">
        <v>2</v>
      </c>
      <c r="F19" s="41">
        <v>0</v>
      </c>
      <c r="G19" s="40">
        <v>0</v>
      </c>
      <c r="H19" s="62">
        <v>0</v>
      </c>
      <c r="I19" s="68">
        <f t="shared" si="2"/>
        <v>2220</v>
      </c>
      <c r="K19" s="2"/>
      <c r="L19" s="2" t="str">
        <f>IF(SUMIF(Despiece!B:B,  Mecanizado!K19,Despiece!C:C)=0,"",SUMIF(Despiece!B:B,  Mecanizado!K19,Despiece!C:C))</f>
        <v/>
      </c>
      <c r="M19" s="25" t="str">
        <f t="shared" si="0"/>
        <v/>
      </c>
      <c r="N19" s="25" t="str">
        <f t="shared" si="1"/>
        <v/>
      </c>
    </row>
    <row r="20" spans="1:14" x14ac:dyDescent="0.3">
      <c r="A20" s="43" t="s">
        <v>384</v>
      </c>
      <c r="B20" s="42">
        <v>1</v>
      </c>
      <c r="C20" s="42">
        <v>0</v>
      </c>
      <c r="D20" s="41">
        <v>0</v>
      </c>
      <c r="E20" s="41">
        <v>0</v>
      </c>
      <c r="F20" s="41">
        <v>0</v>
      </c>
      <c r="G20" s="40">
        <v>0</v>
      </c>
      <c r="H20" s="62">
        <v>0</v>
      </c>
      <c r="I20" s="68">
        <f t="shared" si="2"/>
        <v>0</v>
      </c>
      <c r="K20" s="2"/>
      <c r="L20" s="2" t="str">
        <f>IF(SUMIF(Despiece!B:B,  Mecanizado!K20,Despiece!C:C)=0,"",SUMIF(Despiece!B:B,  Mecanizado!K20,Despiece!C:C))</f>
        <v/>
      </c>
      <c r="M20" s="25" t="str">
        <f t="shared" si="0"/>
        <v/>
      </c>
      <c r="N20" s="25" t="str">
        <f t="shared" si="1"/>
        <v/>
      </c>
    </row>
    <row r="21" spans="1:14" x14ac:dyDescent="0.3">
      <c r="A21" s="43" t="s">
        <v>385</v>
      </c>
      <c r="B21" s="42">
        <v>1</v>
      </c>
      <c r="C21" s="42">
        <v>0</v>
      </c>
      <c r="D21" s="42">
        <v>12</v>
      </c>
      <c r="E21" s="42">
        <v>0</v>
      </c>
      <c r="F21" s="42">
        <v>1</v>
      </c>
      <c r="G21" s="42">
        <v>0</v>
      </c>
      <c r="H21" s="63">
        <v>0</v>
      </c>
      <c r="I21" s="68">
        <f t="shared" si="2"/>
        <v>1480</v>
      </c>
      <c r="K21" s="2"/>
      <c r="L21" s="2" t="str">
        <f>IF(SUMIF(Despiece!B:B,  Mecanizado!K21,Despiece!C:C)=0,"",SUMIF(Despiece!B:B,  Mecanizado!K21,Despiece!C:C))</f>
        <v/>
      </c>
      <c r="M21" s="25" t="str">
        <f t="shared" si="0"/>
        <v/>
      </c>
      <c r="N21" s="25" t="str">
        <f t="shared" si="1"/>
        <v/>
      </c>
    </row>
    <row r="22" spans="1:14" x14ac:dyDescent="0.3">
      <c r="A22" s="43" t="s">
        <v>386</v>
      </c>
      <c r="B22" s="42">
        <v>1</v>
      </c>
      <c r="C22" s="42">
        <v>0</v>
      </c>
      <c r="D22" s="42">
        <v>12</v>
      </c>
      <c r="E22" s="42">
        <v>0</v>
      </c>
      <c r="F22" s="42">
        <v>0</v>
      </c>
      <c r="G22" s="42">
        <v>0</v>
      </c>
      <c r="H22" s="63">
        <v>0</v>
      </c>
      <c r="I22" s="68">
        <f t="shared" si="2"/>
        <v>1200</v>
      </c>
      <c r="K22" s="2"/>
      <c r="L22" s="2" t="str">
        <f>IF(SUMIF(Despiece!B:B,  Mecanizado!K22,Despiece!C:C)=0,"",SUMIF(Despiece!B:B,  Mecanizado!K22,Despiece!C:C))</f>
        <v/>
      </c>
      <c r="M22" s="25" t="str">
        <f t="shared" si="0"/>
        <v/>
      </c>
      <c r="N22" s="25" t="str">
        <f t="shared" si="1"/>
        <v/>
      </c>
    </row>
    <row r="23" spans="1:14" x14ac:dyDescent="0.3">
      <c r="A23" s="39" t="s">
        <v>387</v>
      </c>
      <c r="B23" s="40">
        <v>1</v>
      </c>
      <c r="C23" s="40">
        <v>0</v>
      </c>
      <c r="D23" s="40">
        <v>3</v>
      </c>
      <c r="E23" s="40">
        <v>0</v>
      </c>
      <c r="F23" s="40">
        <v>0</v>
      </c>
      <c r="G23" s="40">
        <v>0</v>
      </c>
      <c r="H23" s="62">
        <v>0</v>
      </c>
      <c r="I23" s="68">
        <f t="shared" si="2"/>
        <v>300</v>
      </c>
      <c r="K23" s="2"/>
      <c r="L23" s="2" t="str">
        <f>IF(SUMIF(Despiece!B:B,  Mecanizado!K23,Despiece!C:C)=0,"",SUMIF(Despiece!B:B,  Mecanizado!K23,Despiece!C:C))</f>
        <v/>
      </c>
      <c r="M23" s="25" t="str">
        <f t="shared" si="0"/>
        <v/>
      </c>
      <c r="N23" s="25" t="str">
        <f t="shared" si="1"/>
        <v/>
      </c>
    </row>
    <row r="24" spans="1:14" x14ac:dyDescent="0.3">
      <c r="A24" s="44" t="s">
        <v>388</v>
      </c>
      <c r="B24" s="40">
        <v>1</v>
      </c>
      <c r="C24" s="40">
        <v>0</v>
      </c>
      <c r="D24" s="40">
        <v>6</v>
      </c>
      <c r="E24" s="40">
        <v>0</v>
      </c>
      <c r="F24" s="40">
        <v>0</v>
      </c>
      <c r="G24" s="40">
        <v>0</v>
      </c>
      <c r="H24" s="62">
        <v>0</v>
      </c>
      <c r="I24" s="68">
        <f t="shared" si="2"/>
        <v>600</v>
      </c>
      <c r="K24" s="2"/>
      <c r="L24" s="2" t="str">
        <f>IF(SUMIF(Despiece!B:B,  Mecanizado!K24,Despiece!C:C)=0,"",SUMIF(Despiece!B:B,  Mecanizado!K24,Despiece!C:C))</f>
        <v/>
      </c>
      <c r="M24" s="25" t="str">
        <f t="shared" si="0"/>
        <v/>
      </c>
      <c r="N24" s="25" t="str">
        <f t="shared" si="1"/>
        <v/>
      </c>
    </row>
    <row r="25" spans="1:14" x14ac:dyDescent="0.3">
      <c r="A25" s="47" t="s">
        <v>389</v>
      </c>
      <c r="B25" s="48">
        <v>1</v>
      </c>
      <c r="C25" s="48">
        <v>0</v>
      </c>
      <c r="D25" s="48">
        <v>6</v>
      </c>
      <c r="E25" s="48">
        <v>0</v>
      </c>
      <c r="F25" s="48">
        <v>0</v>
      </c>
      <c r="G25" s="48">
        <v>0</v>
      </c>
      <c r="H25" s="64">
        <v>1</v>
      </c>
      <c r="I25" s="68">
        <f t="shared" si="2"/>
        <v>925</v>
      </c>
      <c r="K25" s="2"/>
      <c r="L25" s="2" t="str">
        <f>IF(SUMIF(Despiece!B:B,  Mecanizado!K25,Despiece!C:C)=0,"",SUMIF(Despiece!B:B,  Mecanizado!K25,Despiece!C:C))</f>
        <v/>
      </c>
      <c r="M25" s="25" t="str">
        <f t="shared" si="0"/>
        <v/>
      </c>
      <c r="N25" s="25" t="str">
        <f t="shared" si="1"/>
        <v/>
      </c>
    </row>
    <row r="26" spans="1:14" x14ac:dyDescent="0.3">
      <c r="A26" s="39" t="s">
        <v>390</v>
      </c>
      <c r="B26" s="40">
        <v>0</v>
      </c>
      <c r="C26" s="40">
        <v>0</v>
      </c>
      <c r="D26" s="40">
        <v>0</v>
      </c>
      <c r="E26" s="40">
        <v>0</v>
      </c>
      <c r="F26" s="40">
        <v>0</v>
      </c>
      <c r="G26" s="40">
        <v>0</v>
      </c>
      <c r="H26" s="62">
        <v>0</v>
      </c>
      <c r="I26" s="68">
        <f t="shared" si="2"/>
        <v>0</v>
      </c>
      <c r="K26" s="2"/>
      <c r="L26" s="2" t="str">
        <f>IF(SUMIF(Despiece!B:B,  Mecanizado!K26,Despiece!C:C)=0,"",SUMIF(Despiece!B:B,  Mecanizado!K26,Despiece!C:C))</f>
        <v/>
      </c>
      <c r="M26" s="25" t="str">
        <f t="shared" si="0"/>
        <v/>
      </c>
      <c r="N26" s="25" t="str">
        <f t="shared" si="1"/>
        <v/>
      </c>
    </row>
    <row r="27" spans="1:14" x14ac:dyDescent="0.3">
      <c r="A27" s="39" t="s">
        <v>391</v>
      </c>
      <c r="B27" s="40">
        <v>1</v>
      </c>
      <c r="C27" s="40">
        <v>0</v>
      </c>
      <c r="D27" s="40">
        <v>0</v>
      </c>
      <c r="E27" s="40">
        <v>0</v>
      </c>
      <c r="F27" s="40">
        <v>0</v>
      </c>
      <c r="G27" s="40">
        <v>0</v>
      </c>
      <c r="H27" s="62">
        <v>0</v>
      </c>
      <c r="I27" s="68">
        <f t="shared" si="2"/>
        <v>0</v>
      </c>
      <c r="K27" s="2"/>
      <c r="L27" s="2" t="str">
        <f>IF(SUMIF(Despiece!B:B,  Mecanizado!K27,Despiece!C:C)=0,"",SUMIF(Despiece!B:B,  Mecanizado!K27,Despiece!C:C))</f>
        <v/>
      </c>
      <c r="M27" s="25" t="str">
        <f t="shared" si="0"/>
        <v/>
      </c>
      <c r="N27" s="25" t="str">
        <f t="shared" si="1"/>
        <v/>
      </c>
    </row>
    <row r="28" spans="1:14" x14ac:dyDescent="0.3">
      <c r="A28" s="39" t="s">
        <v>392</v>
      </c>
      <c r="B28" s="40">
        <v>2</v>
      </c>
      <c r="C28" s="40">
        <v>0</v>
      </c>
      <c r="D28" s="40">
        <v>0</v>
      </c>
      <c r="E28" s="40">
        <v>0</v>
      </c>
      <c r="F28" s="40">
        <v>0</v>
      </c>
      <c r="G28" s="40">
        <v>0</v>
      </c>
      <c r="H28" s="62">
        <v>0</v>
      </c>
      <c r="I28" s="68">
        <f t="shared" si="2"/>
        <v>0</v>
      </c>
      <c r="K28" s="2"/>
      <c r="L28" s="2" t="str">
        <f>IF(SUMIF(Despiece!B:B,  Mecanizado!K28,Despiece!C:C)=0,"",SUMIF(Despiece!B:B,  Mecanizado!K28,Despiece!C:C))</f>
        <v/>
      </c>
      <c r="M28" s="25" t="str">
        <f t="shared" si="0"/>
        <v/>
      </c>
      <c r="N28" s="25" t="str">
        <f t="shared" si="1"/>
        <v/>
      </c>
    </row>
    <row r="29" spans="1:14" x14ac:dyDescent="0.3">
      <c r="A29" s="49" t="s">
        <v>393</v>
      </c>
      <c r="B29" s="42">
        <v>1</v>
      </c>
      <c r="C29" s="42">
        <v>0</v>
      </c>
      <c r="D29" s="40">
        <v>0</v>
      </c>
      <c r="E29" s="40">
        <v>0</v>
      </c>
      <c r="F29" s="40">
        <v>0</v>
      </c>
      <c r="G29" s="40">
        <v>0</v>
      </c>
      <c r="H29" s="62">
        <v>0</v>
      </c>
      <c r="I29" s="68">
        <f t="shared" si="2"/>
        <v>0</v>
      </c>
      <c r="K29" s="2"/>
      <c r="L29" s="2" t="str">
        <f>IF(SUMIF(Despiece!B:B,  Mecanizado!K29,Despiece!C:C)=0,"",SUMIF(Despiece!B:B,  Mecanizado!K29,Despiece!C:C))</f>
        <v/>
      </c>
      <c r="M29" s="25" t="str">
        <f t="shared" si="0"/>
        <v/>
      </c>
      <c r="N29" s="25" t="str">
        <f t="shared" si="1"/>
        <v/>
      </c>
    </row>
    <row r="30" spans="1:14" x14ac:dyDescent="0.3">
      <c r="A30" s="43" t="s">
        <v>394</v>
      </c>
      <c r="B30" s="42">
        <v>1</v>
      </c>
      <c r="C30" s="42">
        <v>0</v>
      </c>
      <c r="D30" s="50">
        <v>0</v>
      </c>
      <c r="E30" s="50">
        <v>0</v>
      </c>
      <c r="F30" s="50">
        <v>0</v>
      </c>
      <c r="G30" s="42">
        <v>0</v>
      </c>
      <c r="H30" s="63">
        <v>0</v>
      </c>
      <c r="I30" s="68">
        <f t="shared" si="2"/>
        <v>0</v>
      </c>
      <c r="K30" s="2"/>
      <c r="L30" s="2" t="str">
        <f>IF(SUMIF(Despiece!B:B,  Mecanizado!K30,Despiece!C:C)=0,"",SUMIF(Despiece!B:B,  Mecanizado!K30,Despiece!C:C))</f>
        <v/>
      </c>
      <c r="M30" s="25" t="str">
        <f t="shared" si="0"/>
        <v/>
      </c>
      <c r="N30" s="25" t="str">
        <f t="shared" si="1"/>
        <v/>
      </c>
    </row>
    <row r="31" spans="1:14" x14ac:dyDescent="0.3">
      <c r="A31" s="43" t="s">
        <v>395</v>
      </c>
      <c r="B31" s="42">
        <v>1</v>
      </c>
      <c r="C31" s="42">
        <v>0</v>
      </c>
      <c r="D31" s="42">
        <v>15</v>
      </c>
      <c r="E31" s="42">
        <v>0</v>
      </c>
      <c r="F31" s="42">
        <v>1</v>
      </c>
      <c r="G31" s="42">
        <v>0</v>
      </c>
      <c r="H31" s="63">
        <v>0</v>
      </c>
      <c r="I31" s="68">
        <f t="shared" si="2"/>
        <v>1780</v>
      </c>
      <c r="K31" s="2"/>
      <c r="L31" s="2" t="str">
        <f>IF(SUMIF(Despiece!B:B,  Mecanizado!K31,Despiece!C:C)=0,"",SUMIF(Despiece!B:B,  Mecanizado!K31,Despiece!C:C))</f>
        <v/>
      </c>
      <c r="M31" s="25" t="str">
        <f t="shared" si="0"/>
        <v/>
      </c>
      <c r="N31" s="25" t="str">
        <f t="shared" si="1"/>
        <v/>
      </c>
    </row>
    <row r="32" spans="1:14" x14ac:dyDescent="0.3">
      <c r="A32" s="44" t="s">
        <v>396</v>
      </c>
      <c r="B32" s="40">
        <v>1</v>
      </c>
      <c r="C32" s="40">
        <v>0</v>
      </c>
      <c r="D32" s="40">
        <v>15</v>
      </c>
      <c r="E32" s="40">
        <v>0</v>
      </c>
      <c r="F32" s="40">
        <v>0</v>
      </c>
      <c r="G32" s="40">
        <v>0</v>
      </c>
      <c r="H32" s="62">
        <v>0</v>
      </c>
      <c r="I32" s="68">
        <f t="shared" si="2"/>
        <v>1500</v>
      </c>
      <c r="K32" s="2"/>
      <c r="L32" s="2" t="str">
        <f>IF(SUMIF(Despiece!B:B,  Mecanizado!K32,Despiece!C:C)=0,"",SUMIF(Despiece!B:B,  Mecanizado!K32,Despiece!C:C))</f>
        <v/>
      </c>
      <c r="M32" s="25" t="str">
        <f t="shared" si="0"/>
        <v/>
      </c>
      <c r="N32" s="25" t="str">
        <f t="shared" si="1"/>
        <v/>
      </c>
    </row>
    <row r="33" spans="1:14" x14ac:dyDescent="0.3">
      <c r="A33" s="39" t="s">
        <v>397</v>
      </c>
      <c r="B33" s="40">
        <v>1</v>
      </c>
      <c r="C33" s="40">
        <v>0</v>
      </c>
      <c r="D33" s="40">
        <v>3</v>
      </c>
      <c r="E33" s="40">
        <v>1</v>
      </c>
      <c r="F33" s="40">
        <v>0</v>
      </c>
      <c r="G33" s="40">
        <v>0</v>
      </c>
      <c r="H33" s="62">
        <v>0</v>
      </c>
      <c r="I33" s="68">
        <f t="shared" si="2"/>
        <v>860</v>
      </c>
      <c r="K33" s="2"/>
      <c r="L33" s="2" t="str">
        <f>IF(SUMIF(Despiece!B:B,  Mecanizado!K33,Despiece!C:C)=0,"",SUMIF(Despiece!B:B,  Mecanizado!K33,Despiece!C:C))</f>
        <v/>
      </c>
      <c r="M33" s="25" t="str">
        <f t="shared" si="0"/>
        <v/>
      </c>
      <c r="N33" s="25" t="str">
        <f t="shared" si="1"/>
        <v/>
      </c>
    </row>
    <row r="34" spans="1:14" x14ac:dyDescent="0.3">
      <c r="A34" s="44" t="s">
        <v>398</v>
      </c>
      <c r="B34" s="40">
        <v>1</v>
      </c>
      <c r="C34" s="40">
        <v>0</v>
      </c>
      <c r="D34" s="40">
        <v>6</v>
      </c>
      <c r="E34" s="40">
        <v>1</v>
      </c>
      <c r="F34" s="40">
        <v>0</v>
      </c>
      <c r="G34" s="40">
        <v>0</v>
      </c>
      <c r="H34" s="62">
        <v>0</v>
      </c>
      <c r="I34" s="68">
        <f t="shared" si="2"/>
        <v>1160</v>
      </c>
      <c r="K34" s="138" t="s">
        <v>29</v>
      </c>
      <c r="L34" s="139"/>
      <c r="M34" s="140"/>
      <c r="N34" s="25">
        <f>SUM(N3:N33)</f>
        <v>0</v>
      </c>
    </row>
    <row r="35" spans="1:14" x14ac:dyDescent="0.3">
      <c r="A35" s="39" t="s">
        <v>399</v>
      </c>
      <c r="B35" s="42">
        <v>2</v>
      </c>
      <c r="C35" s="42">
        <v>0</v>
      </c>
      <c r="D35" s="42">
        <v>4</v>
      </c>
      <c r="E35" s="42">
        <v>0</v>
      </c>
      <c r="F35" s="42">
        <v>0</v>
      </c>
      <c r="G35" s="42">
        <v>0</v>
      </c>
      <c r="H35" s="62">
        <v>0</v>
      </c>
      <c r="I35" s="68">
        <f t="shared" si="2"/>
        <v>400</v>
      </c>
    </row>
    <row r="36" spans="1:14" x14ac:dyDescent="0.3">
      <c r="A36" s="49" t="s">
        <v>400</v>
      </c>
      <c r="B36" s="42">
        <v>2</v>
      </c>
      <c r="C36" s="42">
        <v>0</v>
      </c>
      <c r="D36" s="42">
        <v>0</v>
      </c>
      <c r="E36" s="42">
        <v>1</v>
      </c>
      <c r="F36" s="42">
        <v>0</v>
      </c>
      <c r="G36" s="42">
        <v>0</v>
      </c>
      <c r="H36" s="63">
        <v>0</v>
      </c>
      <c r="I36" s="68">
        <f t="shared" si="2"/>
        <v>560</v>
      </c>
    </row>
    <row r="37" spans="1:14" x14ac:dyDescent="0.3">
      <c r="A37" s="44" t="s">
        <v>401</v>
      </c>
      <c r="B37" s="42">
        <v>2</v>
      </c>
      <c r="C37" s="42">
        <v>0</v>
      </c>
      <c r="D37" s="42">
        <v>2</v>
      </c>
      <c r="E37" s="42">
        <v>0</v>
      </c>
      <c r="F37" s="42">
        <v>0</v>
      </c>
      <c r="G37" s="42">
        <v>0</v>
      </c>
      <c r="H37" s="63">
        <v>0</v>
      </c>
      <c r="I37" s="68">
        <f t="shared" si="2"/>
        <v>200</v>
      </c>
    </row>
    <row r="38" spans="1:14" x14ac:dyDescent="0.3">
      <c r="A38" s="44" t="s">
        <v>402</v>
      </c>
      <c r="B38" s="40">
        <v>2</v>
      </c>
      <c r="C38" s="40">
        <v>0</v>
      </c>
      <c r="D38" s="40">
        <v>2</v>
      </c>
      <c r="E38" s="40">
        <v>0</v>
      </c>
      <c r="F38" s="40">
        <v>0</v>
      </c>
      <c r="G38" s="40">
        <v>0</v>
      </c>
      <c r="H38" s="62">
        <v>0</v>
      </c>
      <c r="I38" s="68">
        <f t="shared" si="2"/>
        <v>200</v>
      </c>
    </row>
    <row r="39" spans="1:14" x14ac:dyDescent="0.3">
      <c r="A39" s="45" t="s">
        <v>403</v>
      </c>
      <c r="B39" s="42">
        <v>1</v>
      </c>
      <c r="C39" s="42">
        <v>0</v>
      </c>
      <c r="D39" s="42">
        <v>0</v>
      </c>
      <c r="E39" s="42">
        <v>0</v>
      </c>
      <c r="F39" s="42">
        <v>2</v>
      </c>
      <c r="G39" s="42">
        <v>0</v>
      </c>
      <c r="H39" s="62">
        <v>0</v>
      </c>
      <c r="I39" s="68">
        <f t="shared" si="2"/>
        <v>560</v>
      </c>
    </row>
    <row r="40" spans="1:14" x14ac:dyDescent="0.3">
      <c r="A40" s="45" t="s">
        <v>404</v>
      </c>
      <c r="B40" s="42">
        <v>1</v>
      </c>
      <c r="C40" s="42">
        <v>2</v>
      </c>
      <c r="D40" s="42">
        <v>4</v>
      </c>
      <c r="E40" s="42">
        <v>0</v>
      </c>
      <c r="F40" s="42">
        <v>0</v>
      </c>
      <c r="G40" s="42">
        <v>0</v>
      </c>
      <c r="H40" s="62">
        <v>0</v>
      </c>
      <c r="I40" s="68">
        <f t="shared" si="2"/>
        <v>400</v>
      </c>
    </row>
    <row r="41" spans="1:14" x14ac:dyDescent="0.3">
      <c r="A41" s="45" t="s">
        <v>405</v>
      </c>
      <c r="B41" s="40">
        <v>1</v>
      </c>
      <c r="C41" s="40">
        <v>2</v>
      </c>
      <c r="D41" s="40">
        <v>0</v>
      </c>
      <c r="E41" s="40">
        <v>0</v>
      </c>
      <c r="F41" s="40">
        <v>2</v>
      </c>
      <c r="G41" s="40">
        <v>0</v>
      </c>
      <c r="H41" s="62">
        <v>0</v>
      </c>
      <c r="I41" s="68">
        <f t="shared" si="2"/>
        <v>560</v>
      </c>
    </row>
    <row r="42" spans="1:14" x14ac:dyDescent="0.3">
      <c r="A42" s="45" t="s">
        <v>406</v>
      </c>
      <c r="B42" s="40">
        <v>2</v>
      </c>
      <c r="C42" s="40">
        <v>0</v>
      </c>
      <c r="D42" s="40">
        <v>0</v>
      </c>
      <c r="E42" s="40">
        <v>0</v>
      </c>
      <c r="F42" s="40">
        <v>1</v>
      </c>
      <c r="G42" s="40">
        <v>0</v>
      </c>
      <c r="H42" s="62">
        <v>0</v>
      </c>
      <c r="I42" s="68">
        <f t="shared" si="2"/>
        <v>280</v>
      </c>
    </row>
    <row r="43" spans="1:14" x14ac:dyDescent="0.3">
      <c r="A43" s="44" t="s">
        <v>407</v>
      </c>
      <c r="B43" s="40">
        <v>1</v>
      </c>
      <c r="C43" s="40">
        <v>0</v>
      </c>
      <c r="D43" s="40">
        <v>10</v>
      </c>
      <c r="E43" s="40">
        <v>0</v>
      </c>
      <c r="F43" s="40">
        <v>0</v>
      </c>
      <c r="G43" s="40">
        <v>0</v>
      </c>
      <c r="H43" s="62">
        <v>0</v>
      </c>
      <c r="I43" s="68">
        <f t="shared" si="2"/>
        <v>1000</v>
      </c>
    </row>
    <row r="44" spans="1:14" x14ac:dyDescent="0.3">
      <c r="A44" s="45" t="s">
        <v>408</v>
      </c>
      <c r="B44" s="42">
        <v>1</v>
      </c>
      <c r="C44" s="42">
        <v>2</v>
      </c>
      <c r="D44" s="42">
        <v>0</v>
      </c>
      <c r="E44" s="42">
        <v>0</v>
      </c>
      <c r="F44" s="42">
        <v>0</v>
      </c>
      <c r="G44" s="42">
        <v>0</v>
      </c>
      <c r="H44" s="62">
        <v>0</v>
      </c>
      <c r="I44" s="68">
        <f t="shared" si="2"/>
        <v>0</v>
      </c>
    </row>
    <row r="45" spans="1:14" x14ac:dyDescent="0.3">
      <c r="A45" s="45" t="s">
        <v>409</v>
      </c>
      <c r="B45" s="42">
        <v>1</v>
      </c>
      <c r="C45" s="42">
        <v>0</v>
      </c>
      <c r="D45" s="42">
        <v>0</v>
      </c>
      <c r="E45" s="42">
        <v>0</v>
      </c>
      <c r="F45" s="42">
        <v>0</v>
      </c>
      <c r="G45" s="42">
        <v>0</v>
      </c>
      <c r="H45" s="62">
        <v>0</v>
      </c>
      <c r="I45" s="68">
        <f t="shared" si="2"/>
        <v>0</v>
      </c>
    </row>
    <row r="46" spans="1:14" x14ac:dyDescent="0.3">
      <c r="A46" s="45" t="s">
        <v>410</v>
      </c>
      <c r="B46" s="40">
        <v>1</v>
      </c>
      <c r="C46" s="40">
        <v>0</v>
      </c>
      <c r="D46" s="40">
        <v>0</v>
      </c>
      <c r="E46" s="40">
        <v>0</v>
      </c>
      <c r="F46" s="40">
        <v>2</v>
      </c>
      <c r="G46" s="40">
        <v>0</v>
      </c>
      <c r="H46" s="62">
        <v>0</v>
      </c>
      <c r="I46" s="68">
        <f t="shared" si="2"/>
        <v>560</v>
      </c>
    </row>
    <row r="47" spans="1:14" x14ac:dyDescent="0.3">
      <c r="A47" s="39" t="s">
        <v>411</v>
      </c>
      <c r="B47" s="40">
        <v>0</v>
      </c>
      <c r="C47" s="40">
        <v>0</v>
      </c>
      <c r="D47" s="40">
        <v>0</v>
      </c>
      <c r="E47" s="40">
        <v>0</v>
      </c>
      <c r="F47" s="40">
        <v>2</v>
      </c>
      <c r="G47" s="40">
        <v>0</v>
      </c>
      <c r="H47" s="62">
        <v>0</v>
      </c>
      <c r="I47" s="68">
        <f t="shared" si="2"/>
        <v>560</v>
      </c>
    </row>
    <row r="48" spans="1:14" x14ac:dyDescent="0.3">
      <c r="A48" s="39" t="s">
        <v>412</v>
      </c>
      <c r="B48" s="40">
        <v>2</v>
      </c>
      <c r="C48" s="40">
        <v>2</v>
      </c>
      <c r="D48" s="40">
        <v>12</v>
      </c>
      <c r="E48" s="40">
        <v>0</v>
      </c>
      <c r="F48" s="40">
        <v>0</v>
      </c>
      <c r="G48" s="40">
        <v>0</v>
      </c>
      <c r="H48" s="62">
        <v>0</v>
      </c>
      <c r="I48" s="68">
        <f t="shared" si="2"/>
        <v>1200</v>
      </c>
    </row>
    <row r="49" spans="1:9" x14ac:dyDescent="0.3">
      <c r="A49" s="39" t="s">
        <v>413</v>
      </c>
      <c r="B49" s="40">
        <v>0</v>
      </c>
      <c r="C49" s="40">
        <v>0</v>
      </c>
      <c r="D49" s="40">
        <v>0</v>
      </c>
      <c r="E49" s="40">
        <v>0</v>
      </c>
      <c r="F49" s="40">
        <v>0</v>
      </c>
      <c r="G49" s="40">
        <v>0</v>
      </c>
      <c r="H49" s="62">
        <v>0</v>
      </c>
      <c r="I49" s="68">
        <f t="shared" si="2"/>
        <v>0</v>
      </c>
    </row>
    <row r="50" spans="1:9" x14ac:dyDescent="0.3">
      <c r="A50" s="39" t="s">
        <v>414</v>
      </c>
      <c r="B50" s="40">
        <v>2</v>
      </c>
      <c r="C50" s="40">
        <v>2</v>
      </c>
      <c r="D50" s="40">
        <v>0</v>
      </c>
      <c r="E50" s="40">
        <v>0</v>
      </c>
      <c r="F50" s="40">
        <v>0</v>
      </c>
      <c r="G50" s="40">
        <v>0</v>
      </c>
      <c r="H50" s="62">
        <v>0</v>
      </c>
      <c r="I50" s="68">
        <f t="shared" si="2"/>
        <v>0</v>
      </c>
    </row>
    <row r="51" spans="1:9" x14ac:dyDescent="0.3">
      <c r="A51" s="39" t="s">
        <v>415</v>
      </c>
      <c r="B51" s="40">
        <v>2</v>
      </c>
      <c r="C51" s="40">
        <v>2</v>
      </c>
      <c r="D51" s="40">
        <v>0</v>
      </c>
      <c r="E51" s="40">
        <v>1</v>
      </c>
      <c r="F51" s="40">
        <v>0</v>
      </c>
      <c r="G51" s="40">
        <v>0</v>
      </c>
      <c r="H51" s="62">
        <v>0</v>
      </c>
      <c r="I51" s="68">
        <f t="shared" si="2"/>
        <v>560</v>
      </c>
    </row>
    <row r="52" spans="1:9" x14ac:dyDescent="0.3">
      <c r="A52" s="39" t="s">
        <v>416</v>
      </c>
      <c r="B52" s="40">
        <v>2</v>
      </c>
      <c r="C52" s="40">
        <v>2</v>
      </c>
      <c r="D52" s="40">
        <v>0</v>
      </c>
      <c r="E52" s="40">
        <v>0</v>
      </c>
      <c r="F52" s="40">
        <v>0</v>
      </c>
      <c r="G52" s="40">
        <v>0</v>
      </c>
      <c r="H52" s="62">
        <v>0</v>
      </c>
      <c r="I52" s="68">
        <f t="shared" si="2"/>
        <v>0</v>
      </c>
    </row>
    <row r="53" spans="1:9" x14ac:dyDescent="0.3">
      <c r="A53" s="39" t="s">
        <v>417</v>
      </c>
      <c r="B53" s="40">
        <v>2</v>
      </c>
      <c r="C53" s="40">
        <v>2</v>
      </c>
      <c r="D53" s="40">
        <v>0</v>
      </c>
      <c r="E53" s="40">
        <v>0</v>
      </c>
      <c r="F53" s="40">
        <v>0</v>
      </c>
      <c r="G53" s="40">
        <v>0</v>
      </c>
      <c r="H53" s="62">
        <v>0</v>
      </c>
      <c r="I53" s="68">
        <f t="shared" si="2"/>
        <v>0</v>
      </c>
    </row>
    <row r="54" spans="1:9" x14ac:dyDescent="0.3">
      <c r="A54" s="45" t="s">
        <v>418</v>
      </c>
      <c r="B54" s="40">
        <v>1</v>
      </c>
      <c r="C54" s="40">
        <v>0</v>
      </c>
      <c r="D54" s="40">
        <v>0</v>
      </c>
      <c r="E54" s="40">
        <v>0</v>
      </c>
      <c r="F54" s="40">
        <v>0</v>
      </c>
      <c r="G54" s="40">
        <v>0</v>
      </c>
      <c r="H54" s="62">
        <v>0</v>
      </c>
      <c r="I54" s="68">
        <f t="shared" si="2"/>
        <v>0</v>
      </c>
    </row>
    <row r="55" spans="1:9" x14ac:dyDescent="0.3">
      <c r="A55" s="39" t="s">
        <v>419</v>
      </c>
      <c r="B55" s="40">
        <v>1</v>
      </c>
      <c r="C55" s="40">
        <v>0</v>
      </c>
      <c r="D55" s="40">
        <v>0</v>
      </c>
      <c r="E55" s="40">
        <v>0</v>
      </c>
      <c r="F55" s="40">
        <v>0</v>
      </c>
      <c r="G55" s="40">
        <v>0</v>
      </c>
      <c r="H55" s="62">
        <v>0</v>
      </c>
      <c r="I55" s="68">
        <f t="shared" si="2"/>
        <v>0</v>
      </c>
    </row>
    <row r="56" spans="1:9" x14ac:dyDescent="0.3">
      <c r="A56" s="39" t="s">
        <v>420</v>
      </c>
      <c r="B56" s="40">
        <v>2</v>
      </c>
      <c r="C56" s="40">
        <v>0</v>
      </c>
      <c r="D56" s="40">
        <v>0</v>
      </c>
      <c r="E56" s="40">
        <v>0</v>
      </c>
      <c r="F56" s="40">
        <v>0</v>
      </c>
      <c r="G56" s="40">
        <v>0</v>
      </c>
      <c r="H56" s="62">
        <v>0</v>
      </c>
      <c r="I56" s="68">
        <f t="shared" si="2"/>
        <v>0</v>
      </c>
    </row>
    <row r="57" spans="1:9" x14ac:dyDescent="0.3">
      <c r="A57" s="39" t="s">
        <v>421</v>
      </c>
      <c r="B57" s="40">
        <v>2</v>
      </c>
      <c r="C57" s="40">
        <v>0</v>
      </c>
      <c r="D57" s="40">
        <v>0</v>
      </c>
      <c r="E57" s="40">
        <v>0</v>
      </c>
      <c r="F57" s="40">
        <v>0</v>
      </c>
      <c r="G57" s="40">
        <v>0</v>
      </c>
      <c r="H57" s="62">
        <v>0</v>
      </c>
      <c r="I57" s="68">
        <f t="shared" si="2"/>
        <v>0</v>
      </c>
    </row>
    <row r="58" spans="1:9" x14ac:dyDescent="0.3">
      <c r="A58" s="51" t="s">
        <v>422</v>
      </c>
      <c r="B58" s="42">
        <v>1</v>
      </c>
      <c r="C58" s="42">
        <v>0</v>
      </c>
      <c r="D58" s="42">
        <v>0</v>
      </c>
      <c r="E58" s="42">
        <v>0</v>
      </c>
      <c r="F58" s="42">
        <v>2</v>
      </c>
      <c r="G58" s="42">
        <v>0</v>
      </c>
      <c r="H58" s="62">
        <v>0</v>
      </c>
      <c r="I58" s="68">
        <f t="shared" si="2"/>
        <v>560</v>
      </c>
    </row>
    <row r="59" spans="1:9" x14ac:dyDescent="0.3">
      <c r="A59" s="51" t="s">
        <v>423</v>
      </c>
      <c r="B59" s="42">
        <v>1</v>
      </c>
      <c r="C59" s="42">
        <v>0</v>
      </c>
      <c r="D59" s="42">
        <v>0</v>
      </c>
      <c r="E59" s="42">
        <v>0</v>
      </c>
      <c r="F59" s="42">
        <v>0</v>
      </c>
      <c r="G59" s="42">
        <v>0</v>
      </c>
      <c r="H59" s="62">
        <v>0</v>
      </c>
      <c r="I59" s="68">
        <f t="shared" si="2"/>
        <v>0</v>
      </c>
    </row>
    <row r="60" spans="1:9" x14ac:dyDescent="0.3">
      <c r="A60" s="51" t="s">
        <v>424</v>
      </c>
      <c r="B60" s="40">
        <v>1</v>
      </c>
      <c r="C60" s="40">
        <v>0</v>
      </c>
      <c r="D60" s="40">
        <v>0</v>
      </c>
      <c r="E60" s="40">
        <v>0</v>
      </c>
      <c r="F60" s="40">
        <v>2</v>
      </c>
      <c r="G60" s="40">
        <v>0</v>
      </c>
      <c r="H60" s="62">
        <v>0</v>
      </c>
      <c r="I60" s="68">
        <f t="shared" si="2"/>
        <v>560</v>
      </c>
    </row>
    <row r="61" spans="1:9" x14ac:dyDescent="0.3">
      <c r="A61" s="44" t="s">
        <v>425</v>
      </c>
      <c r="B61" s="40">
        <v>1</v>
      </c>
      <c r="C61" s="40">
        <v>0</v>
      </c>
      <c r="D61" s="40">
        <v>2</v>
      </c>
      <c r="E61" s="40">
        <v>0</v>
      </c>
      <c r="F61" s="40">
        <v>0</v>
      </c>
      <c r="G61" s="40">
        <v>0</v>
      </c>
      <c r="H61" s="62">
        <v>0</v>
      </c>
      <c r="I61" s="68">
        <f t="shared" si="2"/>
        <v>200</v>
      </c>
    </row>
    <row r="62" spans="1:9" x14ac:dyDescent="0.3">
      <c r="A62" s="44" t="s">
        <v>426</v>
      </c>
      <c r="B62" s="40">
        <v>2</v>
      </c>
      <c r="C62" s="40">
        <v>2</v>
      </c>
      <c r="D62" s="40">
        <v>0</v>
      </c>
      <c r="E62" s="40">
        <v>0</v>
      </c>
      <c r="F62" s="40">
        <v>0</v>
      </c>
      <c r="G62" s="40">
        <v>2</v>
      </c>
      <c r="H62" s="62">
        <v>0</v>
      </c>
      <c r="I62" s="68">
        <f t="shared" si="2"/>
        <v>650</v>
      </c>
    </row>
    <row r="63" spans="1:9" x14ac:dyDescent="0.3">
      <c r="A63" s="43" t="s">
        <v>427</v>
      </c>
      <c r="B63" s="42">
        <v>2</v>
      </c>
      <c r="C63" s="42">
        <v>2</v>
      </c>
      <c r="D63" s="42">
        <v>0</v>
      </c>
      <c r="E63" s="42">
        <v>1</v>
      </c>
      <c r="F63" s="42">
        <v>0</v>
      </c>
      <c r="G63" s="42">
        <v>2</v>
      </c>
      <c r="H63" s="63">
        <v>0</v>
      </c>
      <c r="I63" s="68">
        <f t="shared" si="2"/>
        <v>1210</v>
      </c>
    </row>
    <row r="64" spans="1:9" x14ac:dyDescent="0.3">
      <c r="A64" s="43" t="s">
        <v>428</v>
      </c>
      <c r="B64" s="42">
        <v>2</v>
      </c>
      <c r="C64" s="42">
        <v>2</v>
      </c>
      <c r="D64" s="42">
        <v>0</v>
      </c>
      <c r="E64" s="42">
        <v>1</v>
      </c>
      <c r="F64" s="42">
        <v>0</v>
      </c>
      <c r="G64" s="42">
        <v>0</v>
      </c>
      <c r="H64" s="63">
        <v>0</v>
      </c>
      <c r="I64" s="68">
        <f t="shared" si="2"/>
        <v>560</v>
      </c>
    </row>
    <row r="65" spans="1:9" x14ac:dyDescent="0.3">
      <c r="A65" s="43" t="s">
        <v>429</v>
      </c>
      <c r="B65" s="42">
        <v>2</v>
      </c>
      <c r="C65" s="42">
        <v>2</v>
      </c>
      <c r="D65" s="42">
        <v>0</v>
      </c>
      <c r="E65" s="42">
        <v>1</v>
      </c>
      <c r="F65" s="42">
        <v>0</v>
      </c>
      <c r="G65" s="42">
        <v>0</v>
      </c>
      <c r="H65" s="63">
        <v>1</v>
      </c>
      <c r="I65" s="68">
        <f t="shared" si="2"/>
        <v>885</v>
      </c>
    </row>
    <row r="66" spans="1:9" x14ac:dyDescent="0.3">
      <c r="A66" s="43" t="s">
        <v>430</v>
      </c>
      <c r="B66" s="42">
        <v>2</v>
      </c>
      <c r="C66" s="42">
        <v>2</v>
      </c>
      <c r="D66" s="42">
        <v>0</v>
      </c>
      <c r="E66" s="42">
        <v>1</v>
      </c>
      <c r="F66" s="42">
        <v>0</v>
      </c>
      <c r="G66" s="42">
        <v>0</v>
      </c>
      <c r="H66" s="63">
        <v>2</v>
      </c>
      <c r="I66" s="68">
        <f t="shared" si="2"/>
        <v>1210</v>
      </c>
    </row>
    <row r="67" spans="1:9" x14ac:dyDescent="0.3">
      <c r="A67" s="43" t="s">
        <v>431</v>
      </c>
      <c r="B67" s="42">
        <v>2</v>
      </c>
      <c r="C67" s="42">
        <v>2</v>
      </c>
      <c r="D67" s="42">
        <v>0</v>
      </c>
      <c r="E67" s="42">
        <v>1</v>
      </c>
      <c r="F67" s="42">
        <v>0</v>
      </c>
      <c r="G67" s="42">
        <v>0</v>
      </c>
      <c r="H67" s="63">
        <v>2</v>
      </c>
      <c r="I67" s="68">
        <f t="shared" si="2"/>
        <v>1210</v>
      </c>
    </row>
    <row r="68" spans="1:9" x14ac:dyDescent="0.3">
      <c r="A68" s="43" t="s">
        <v>432</v>
      </c>
      <c r="B68" s="42">
        <v>2</v>
      </c>
      <c r="C68" s="42">
        <v>2</v>
      </c>
      <c r="D68" s="42">
        <v>0</v>
      </c>
      <c r="E68" s="42">
        <v>1</v>
      </c>
      <c r="F68" s="42">
        <v>0</v>
      </c>
      <c r="G68" s="42">
        <v>0</v>
      </c>
      <c r="H68" s="63">
        <v>3</v>
      </c>
      <c r="I68" s="68">
        <f t="shared" ref="I68:I86" si="3">($D$1*D68)+(E68*$E$1)+(F68*$F$1)+(G68*$G$1)+(H68*$H$1)</f>
        <v>1535</v>
      </c>
    </row>
    <row r="69" spans="1:9" x14ac:dyDescent="0.3">
      <c r="A69" s="44" t="s">
        <v>433</v>
      </c>
      <c r="B69" s="40">
        <v>2</v>
      </c>
      <c r="C69" s="40">
        <v>2</v>
      </c>
      <c r="D69" s="40">
        <v>0</v>
      </c>
      <c r="E69" s="40">
        <v>1</v>
      </c>
      <c r="F69" s="40">
        <v>0</v>
      </c>
      <c r="G69" s="40">
        <v>0</v>
      </c>
      <c r="H69" s="62">
        <v>4</v>
      </c>
      <c r="I69" s="68">
        <f t="shared" si="3"/>
        <v>1860</v>
      </c>
    </row>
    <row r="70" spans="1:9" x14ac:dyDescent="0.3">
      <c r="A70" s="39" t="s">
        <v>434</v>
      </c>
      <c r="B70" s="40">
        <v>2</v>
      </c>
      <c r="C70" s="40">
        <v>2</v>
      </c>
      <c r="D70" s="40">
        <v>0</v>
      </c>
      <c r="E70" s="40">
        <v>0</v>
      </c>
      <c r="F70" s="40">
        <v>0</v>
      </c>
      <c r="G70" s="40">
        <v>4</v>
      </c>
      <c r="H70" s="62">
        <v>0</v>
      </c>
      <c r="I70" s="68">
        <f t="shared" si="3"/>
        <v>1300</v>
      </c>
    </row>
    <row r="71" spans="1:9" x14ac:dyDescent="0.3">
      <c r="A71" s="44" t="s">
        <v>435</v>
      </c>
      <c r="B71" s="40">
        <v>2</v>
      </c>
      <c r="C71" s="40">
        <v>2</v>
      </c>
      <c r="D71" s="40">
        <v>0</v>
      </c>
      <c r="E71" s="40">
        <v>0</v>
      </c>
      <c r="F71" s="40">
        <v>0</v>
      </c>
      <c r="G71" s="40">
        <v>4</v>
      </c>
      <c r="H71" s="62">
        <v>1</v>
      </c>
      <c r="I71" s="68">
        <f t="shared" si="3"/>
        <v>1625</v>
      </c>
    </row>
    <row r="72" spans="1:9" x14ac:dyDescent="0.3">
      <c r="A72" s="39" t="s">
        <v>436</v>
      </c>
      <c r="B72" s="40">
        <v>2</v>
      </c>
      <c r="C72" s="40">
        <v>2</v>
      </c>
      <c r="D72" s="40">
        <v>0</v>
      </c>
      <c r="E72" s="40">
        <v>0</v>
      </c>
      <c r="F72" s="40">
        <v>0</v>
      </c>
      <c r="G72" s="40">
        <v>4</v>
      </c>
      <c r="H72" s="63">
        <v>2</v>
      </c>
      <c r="I72" s="68">
        <f t="shared" si="3"/>
        <v>1950</v>
      </c>
    </row>
    <row r="73" spans="1:9" x14ac:dyDescent="0.3">
      <c r="A73" s="44" t="s">
        <v>437</v>
      </c>
      <c r="B73" s="40">
        <v>2</v>
      </c>
      <c r="C73" s="40">
        <v>2</v>
      </c>
      <c r="D73" s="40">
        <v>0</v>
      </c>
      <c r="E73" s="40">
        <v>0</v>
      </c>
      <c r="F73" s="40">
        <v>0</v>
      </c>
      <c r="G73" s="40">
        <v>4</v>
      </c>
      <c r="H73" s="62">
        <v>2</v>
      </c>
      <c r="I73" s="68">
        <f t="shared" si="3"/>
        <v>1950</v>
      </c>
    </row>
    <row r="74" spans="1:9" x14ac:dyDescent="0.3">
      <c r="A74" s="39" t="s">
        <v>438</v>
      </c>
      <c r="B74" s="40">
        <v>2</v>
      </c>
      <c r="C74" s="40">
        <v>2</v>
      </c>
      <c r="D74" s="40">
        <v>0</v>
      </c>
      <c r="E74" s="40">
        <v>0</v>
      </c>
      <c r="F74" s="40">
        <v>0</v>
      </c>
      <c r="G74" s="40">
        <v>4</v>
      </c>
      <c r="H74" s="63">
        <v>3</v>
      </c>
      <c r="I74" s="68">
        <f t="shared" si="3"/>
        <v>2275</v>
      </c>
    </row>
    <row r="75" spans="1:9" x14ac:dyDescent="0.3">
      <c r="A75" s="39" t="s">
        <v>439</v>
      </c>
      <c r="B75" s="40">
        <v>2</v>
      </c>
      <c r="C75" s="40">
        <v>2</v>
      </c>
      <c r="D75" s="40">
        <v>0</v>
      </c>
      <c r="E75" s="40">
        <v>0</v>
      </c>
      <c r="F75" s="40">
        <v>0</v>
      </c>
      <c r="G75" s="40">
        <v>4</v>
      </c>
      <c r="H75" s="63">
        <v>4</v>
      </c>
      <c r="I75" s="68">
        <f t="shared" si="3"/>
        <v>2600</v>
      </c>
    </row>
    <row r="76" spans="1:9" x14ac:dyDescent="0.3">
      <c r="A76" s="39" t="s">
        <v>440</v>
      </c>
      <c r="B76" s="40">
        <v>1</v>
      </c>
      <c r="C76" s="40">
        <v>0</v>
      </c>
      <c r="D76" s="40">
        <v>0</v>
      </c>
      <c r="E76" s="40">
        <v>0</v>
      </c>
      <c r="F76" s="40">
        <v>0</v>
      </c>
      <c r="G76" s="40">
        <v>0</v>
      </c>
      <c r="H76" s="62">
        <v>0</v>
      </c>
      <c r="I76" s="68">
        <f t="shared" si="3"/>
        <v>0</v>
      </c>
    </row>
    <row r="77" spans="1:9" x14ac:dyDescent="0.3">
      <c r="A77" s="39" t="s">
        <v>441</v>
      </c>
      <c r="B77" s="40">
        <v>1</v>
      </c>
      <c r="C77" s="40">
        <v>0</v>
      </c>
      <c r="D77" s="40">
        <v>6</v>
      </c>
      <c r="E77" s="40">
        <v>1</v>
      </c>
      <c r="F77" s="40">
        <v>0</v>
      </c>
      <c r="G77" s="40">
        <v>0</v>
      </c>
      <c r="H77" s="62">
        <v>0</v>
      </c>
      <c r="I77" s="68">
        <f t="shared" si="3"/>
        <v>1160</v>
      </c>
    </row>
    <row r="78" spans="1:9" x14ac:dyDescent="0.3">
      <c r="A78" s="39" t="s">
        <v>442</v>
      </c>
      <c r="B78" s="40">
        <v>0</v>
      </c>
      <c r="C78" s="40">
        <v>0</v>
      </c>
      <c r="D78" s="40">
        <v>0</v>
      </c>
      <c r="E78" s="40">
        <v>0</v>
      </c>
      <c r="F78" s="40">
        <v>0</v>
      </c>
      <c r="G78" s="40">
        <v>0</v>
      </c>
      <c r="H78" s="62">
        <v>0</v>
      </c>
      <c r="I78" s="68">
        <f t="shared" si="3"/>
        <v>0</v>
      </c>
    </row>
    <row r="79" spans="1:9" x14ac:dyDescent="0.3">
      <c r="A79" s="44" t="s">
        <v>443</v>
      </c>
      <c r="B79" s="40">
        <v>1</v>
      </c>
      <c r="C79" s="40">
        <v>2</v>
      </c>
      <c r="D79" s="40">
        <v>8</v>
      </c>
      <c r="E79" s="40">
        <v>0</v>
      </c>
      <c r="F79" s="40">
        <v>0</v>
      </c>
      <c r="G79" s="40">
        <v>0</v>
      </c>
      <c r="H79" s="62">
        <v>0</v>
      </c>
      <c r="I79" s="68">
        <f t="shared" si="3"/>
        <v>800</v>
      </c>
    </row>
    <row r="80" spans="1:9" x14ac:dyDescent="0.3">
      <c r="A80" s="44" t="s">
        <v>444</v>
      </c>
      <c r="B80" s="40">
        <v>1</v>
      </c>
      <c r="C80" s="40">
        <v>2</v>
      </c>
      <c r="D80" s="40">
        <v>6</v>
      </c>
      <c r="E80" s="40">
        <v>0</v>
      </c>
      <c r="F80" s="40">
        <v>0</v>
      </c>
      <c r="G80" s="40">
        <v>0</v>
      </c>
      <c r="H80" s="62">
        <v>0</v>
      </c>
      <c r="I80" s="68">
        <f t="shared" si="3"/>
        <v>600</v>
      </c>
    </row>
    <row r="81" spans="1:9" x14ac:dyDescent="0.3">
      <c r="A81" s="43" t="s">
        <v>445</v>
      </c>
      <c r="B81" s="42">
        <v>1</v>
      </c>
      <c r="C81" s="42">
        <v>2</v>
      </c>
      <c r="D81" s="42">
        <v>4</v>
      </c>
      <c r="E81" s="42">
        <v>0</v>
      </c>
      <c r="F81" s="42">
        <v>1</v>
      </c>
      <c r="G81" s="42">
        <v>0</v>
      </c>
      <c r="H81" s="62">
        <v>0</v>
      </c>
      <c r="I81" s="68">
        <f t="shared" si="3"/>
        <v>680</v>
      </c>
    </row>
    <row r="82" spans="1:9" x14ac:dyDescent="0.3">
      <c r="A82" s="43" t="s">
        <v>446</v>
      </c>
      <c r="B82" s="42">
        <v>1</v>
      </c>
      <c r="C82" s="42">
        <v>2</v>
      </c>
      <c r="D82" s="42">
        <v>4</v>
      </c>
      <c r="E82" s="42">
        <v>0</v>
      </c>
      <c r="F82" s="42">
        <v>0</v>
      </c>
      <c r="G82" s="42">
        <v>0</v>
      </c>
      <c r="H82" s="63">
        <v>0</v>
      </c>
      <c r="I82" s="68">
        <f t="shared" si="3"/>
        <v>400</v>
      </c>
    </row>
    <row r="83" spans="1:9" x14ac:dyDescent="0.3">
      <c r="A83" s="49" t="s">
        <v>447</v>
      </c>
      <c r="B83" s="42">
        <v>1</v>
      </c>
      <c r="C83" s="42">
        <v>0</v>
      </c>
      <c r="D83" s="42">
        <v>0</v>
      </c>
      <c r="E83" s="42">
        <v>0</v>
      </c>
      <c r="F83" s="42">
        <v>0</v>
      </c>
      <c r="G83" s="42">
        <v>0</v>
      </c>
      <c r="H83" s="63">
        <v>0</v>
      </c>
      <c r="I83" s="68">
        <f t="shared" si="3"/>
        <v>0</v>
      </c>
    </row>
    <row r="84" spans="1:9" x14ac:dyDescent="0.3">
      <c r="A84" s="45" t="s">
        <v>448</v>
      </c>
      <c r="B84" s="40">
        <v>1</v>
      </c>
      <c r="C84" s="40">
        <v>0</v>
      </c>
      <c r="D84" s="40">
        <v>0</v>
      </c>
      <c r="E84" s="40">
        <v>0</v>
      </c>
      <c r="F84" s="40">
        <v>0</v>
      </c>
      <c r="G84" s="40">
        <v>0</v>
      </c>
      <c r="H84" s="62">
        <v>0</v>
      </c>
      <c r="I84" s="68">
        <f t="shared" si="3"/>
        <v>0</v>
      </c>
    </row>
    <row r="85" spans="1:9" x14ac:dyDescent="0.3">
      <c r="A85" s="52" t="s">
        <v>449</v>
      </c>
      <c r="B85" s="53">
        <v>1</v>
      </c>
      <c r="C85" s="53">
        <v>0</v>
      </c>
      <c r="D85" s="53">
        <v>0</v>
      </c>
      <c r="E85" s="53">
        <v>0</v>
      </c>
      <c r="F85" s="53">
        <v>0</v>
      </c>
      <c r="G85" s="53">
        <v>0</v>
      </c>
      <c r="H85" s="65">
        <v>0</v>
      </c>
      <c r="I85" s="68">
        <f t="shared" si="3"/>
        <v>0</v>
      </c>
    </row>
    <row r="86" spans="1:9" ht="15" thickBot="1" x14ac:dyDescent="0.35">
      <c r="A86" s="54" t="s">
        <v>450</v>
      </c>
      <c r="B86" s="55">
        <v>1</v>
      </c>
      <c r="C86" s="55">
        <v>0</v>
      </c>
      <c r="D86" s="56">
        <v>4</v>
      </c>
      <c r="E86" s="55">
        <v>0</v>
      </c>
      <c r="F86" s="55">
        <v>0</v>
      </c>
      <c r="G86" s="55">
        <v>0</v>
      </c>
      <c r="H86" s="66">
        <v>0</v>
      </c>
      <c r="I86" s="68">
        <f t="shared" si="3"/>
        <v>400</v>
      </c>
    </row>
  </sheetData>
  <mergeCells count="2">
    <mergeCell ref="K1:N1"/>
    <mergeCell ref="K34:M34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9119B-787A-4F42-B6A1-2975EC74FC0F}">
  <sheetPr codeName="Hoja10"/>
  <dimension ref="A1:I43"/>
  <sheetViews>
    <sheetView workbookViewId="0">
      <selection activeCell="A24" sqref="A24"/>
    </sheetView>
  </sheetViews>
  <sheetFormatPr baseColWidth="10" defaultColWidth="11.44140625" defaultRowHeight="14.4" x14ac:dyDescent="0.3"/>
  <cols>
    <col min="1" max="1" width="47.5546875" customWidth="1"/>
    <col min="3" max="3" width="9.88671875" customWidth="1"/>
    <col min="6" max="6" width="22.33203125" customWidth="1"/>
    <col min="8" max="8" width="12.109375" customWidth="1"/>
    <col min="9" max="9" width="19.6640625" customWidth="1"/>
  </cols>
  <sheetData>
    <row r="1" spans="1:9" ht="15.6" x14ac:dyDescent="0.3">
      <c r="A1" s="69" t="s">
        <v>451</v>
      </c>
      <c r="B1" s="70" t="s">
        <v>452</v>
      </c>
      <c r="C1" s="71" t="s">
        <v>453</v>
      </c>
    </row>
    <row r="2" spans="1:9" x14ac:dyDescent="0.3">
      <c r="A2" s="72" t="s">
        <v>454</v>
      </c>
      <c r="B2" s="73">
        <v>15000</v>
      </c>
      <c r="C2" s="74" t="s">
        <v>455</v>
      </c>
    </row>
    <row r="3" spans="1:9" x14ac:dyDescent="0.3">
      <c r="A3" s="72" t="s">
        <v>456</v>
      </c>
      <c r="B3" s="73">
        <v>11050</v>
      </c>
      <c r="C3" s="74" t="s">
        <v>457</v>
      </c>
    </row>
    <row r="4" spans="1:9" x14ac:dyDescent="0.3">
      <c r="A4" s="72" t="s">
        <v>34</v>
      </c>
      <c r="B4" s="73">
        <v>3500</v>
      </c>
      <c r="C4" s="74" t="s">
        <v>457</v>
      </c>
    </row>
    <row r="5" spans="1:9" x14ac:dyDescent="0.3">
      <c r="A5" s="72" t="s">
        <v>30</v>
      </c>
      <c r="B5" s="73">
        <v>2200</v>
      </c>
      <c r="C5" s="74" t="s">
        <v>458</v>
      </c>
    </row>
    <row r="6" spans="1:9" x14ac:dyDescent="0.3">
      <c r="A6" s="72" t="s">
        <v>459</v>
      </c>
      <c r="B6" s="73">
        <v>1950</v>
      </c>
      <c r="C6" s="74" t="s">
        <v>458</v>
      </c>
    </row>
    <row r="7" spans="1:9" x14ac:dyDescent="0.3">
      <c r="A7" s="75" t="s">
        <v>460</v>
      </c>
      <c r="B7" s="76">
        <v>2800</v>
      </c>
      <c r="C7" s="74" t="s">
        <v>458</v>
      </c>
      <c r="F7" s="125" t="s">
        <v>81</v>
      </c>
      <c r="G7" s="126"/>
      <c r="H7" s="126"/>
      <c r="I7" s="127"/>
    </row>
    <row r="8" spans="1:9" x14ac:dyDescent="0.3">
      <c r="A8" s="75" t="s">
        <v>461</v>
      </c>
      <c r="B8" s="76">
        <v>7100</v>
      </c>
      <c r="C8" s="74" t="s">
        <v>458</v>
      </c>
      <c r="F8" s="106" t="s">
        <v>83</v>
      </c>
      <c r="G8" s="2" t="s">
        <v>2</v>
      </c>
      <c r="H8" s="2" t="s">
        <v>84</v>
      </c>
      <c r="I8" s="2" t="s">
        <v>462</v>
      </c>
    </row>
    <row r="9" spans="1:9" x14ac:dyDescent="0.3">
      <c r="A9" s="75" t="s">
        <v>28</v>
      </c>
      <c r="B9" s="76">
        <v>7300</v>
      </c>
      <c r="C9" s="74" t="s">
        <v>458</v>
      </c>
      <c r="F9" s="2" t="str" cm="1">
        <f t="array" ref="F9:F15">_xlfn.UNIQUE(_xlfn._xlws.FILTER(cotizador!J14:J31,COUNTIF(Armado!A:A,cotizador!J14:J31)&gt;0,""))</f>
        <v>BAÑO SIN ESPALDAR Y SIN CAJÓN - UND</v>
      </c>
      <c r="G9" s="2">
        <f>IF(SUMIF(cotizador!J14:J31, Armado!F9, cotizador!K14:K31)=0,"",SUMIF(cotizador!J14:J31, Armado!F9, cotizador!K14:K31))</f>
        <v>5</v>
      </c>
      <c r="H9" s="25">
        <f>IF(SUMIF($A$2:$A$43,  F9, $B$2:$B$43)=0,"",SUMIF($A$2:$A$43,  F9, $B$2:$B$43))</f>
        <v>7000</v>
      </c>
      <c r="I9" s="25">
        <f>IFERROR(G9*H9,"")</f>
        <v>35000</v>
      </c>
    </row>
    <row r="10" spans="1:9" x14ac:dyDescent="0.3">
      <c r="A10" s="75" t="s">
        <v>463</v>
      </c>
      <c r="B10" s="76">
        <v>10600</v>
      </c>
      <c r="C10" s="74" t="s">
        <v>458</v>
      </c>
      <c r="F10" s="2" t="str">
        <v>ZURRÓN 1 CAJÓN - UND</v>
      </c>
      <c r="G10" s="2">
        <f>IF(SUMIF(cotizador!J15:J32, Armado!F10, cotizador!K15:K32)=0,"",SUMIF(cotizador!J15:J32, Armado!F10, cotizador!K15:K32))</f>
        <v>3</v>
      </c>
      <c r="H10" s="25">
        <f t="shared" ref="H10:H27" si="0">IF(SUMIF($A$2:$A$43,  F10, $B$2:$B$43)=0,"",SUMIF($A$2:$A$43,  F10, $B$2:$B$43))</f>
        <v>7300</v>
      </c>
      <c r="I10" s="25">
        <f t="shared" ref="I10:I27" si="1">IFERROR(G10*H10,"")</f>
        <v>21900</v>
      </c>
    </row>
    <row r="11" spans="1:9" x14ac:dyDescent="0.3">
      <c r="A11" s="75" t="s">
        <v>27</v>
      </c>
      <c r="B11" s="76">
        <v>14100</v>
      </c>
      <c r="C11" s="74" t="s">
        <v>458</v>
      </c>
      <c r="F11" s="2" t="str">
        <v>EMBISAGRADOR W - UND</v>
      </c>
      <c r="G11" s="2">
        <f>IF(SUMIF(cotizador!J16:J33, Armado!F11, cotizador!K16:K33)=0,"",SUMIF(cotizador!J16:J33, Armado!F11, cotizador!K16:K33))</f>
        <v>2</v>
      </c>
      <c r="H11" s="25">
        <f t="shared" si="0"/>
        <v>2200</v>
      </c>
      <c r="I11" s="25">
        <f t="shared" si="1"/>
        <v>4400</v>
      </c>
    </row>
    <row r="12" spans="1:9" x14ac:dyDescent="0.3">
      <c r="A12" s="75" t="s">
        <v>464</v>
      </c>
      <c r="B12" s="76">
        <v>18450</v>
      </c>
      <c r="C12" s="74" t="s">
        <v>458</v>
      </c>
      <c r="F12" s="2" t="str">
        <v>ZURRÓN 3 CAJONES - UND</v>
      </c>
      <c r="G12" s="2">
        <f>IF(SUMIF(cotizador!J17:J34, Armado!F12, cotizador!K17:K34)=0,"",SUMIF(cotizador!J17:J34, Armado!F12, cotizador!K17:K34))</f>
        <v>2</v>
      </c>
      <c r="H12" s="25">
        <f t="shared" si="0"/>
        <v>14100</v>
      </c>
      <c r="I12" s="25">
        <f t="shared" si="1"/>
        <v>28200</v>
      </c>
    </row>
    <row r="13" spans="1:9" x14ac:dyDescent="0.3">
      <c r="A13" s="75" t="s">
        <v>465</v>
      </c>
      <c r="B13" s="76">
        <v>20000</v>
      </c>
      <c r="C13" s="74" t="s">
        <v>458</v>
      </c>
      <c r="F13" s="2" t="str">
        <v>ENTREPAÑO EN L COC - MTL</v>
      </c>
      <c r="G13" s="2">
        <f>IF(SUMIF(cotizador!J18:J35, Armado!F13, cotizador!K18:K35)=0,"",SUMIF(cotizador!J18:J35, Armado!F13, cotizador!K18:K35))</f>
        <v>3</v>
      </c>
      <c r="H13" s="25">
        <f t="shared" si="0"/>
        <v>3500</v>
      </c>
      <c r="I13" s="25">
        <f t="shared" si="1"/>
        <v>10500</v>
      </c>
    </row>
    <row r="14" spans="1:9" x14ac:dyDescent="0.3">
      <c r="A14" s="75" t="s">
        <v>466</v>
      </c>
      <c r="B14" s="76">
        <v>22600</v>
      </c>
      <c r="C14" s="74" t="s">
        <v>458</v>
      </c>
      <c r="F14" s="2" t="str">
        <v>EMBISAGRADOR , DINTEL O BASE - UND</v>
      </c>
      <c r="G14" s="2">
        <f>IF(SUMIF(cotizador!J19:J36, Armado!F14, cotizador!K19:K36)=0,"",SUMIF(cotizador!J19:J36, Armado!F14, cotizador!K19:K36))</f>
        <v>2</v>
      </c>
      <c r="H14" s="25">
        <f t="shared" si="0"/>
        <v>1050</v>
      </c>
      <c r="I14" s="25">
        <f t="shared" si="1"/>
        <v>2100</v>
      </c>
    </row>
    <row r="15" spans="1:9" x14ac:dyDescent="0.3">
      <c r="A15" s="72" t="s">
        <v>467</v>
      </c>
      <c r="B15" s="73">
        <v>1250</v>
      </c>
      <c r="C15" s="74" t="s">
        <v>458</v>
      </c>
      <c r="F15" s="2" t="str">
        <v>MARCO DILATADO SIN CABEZAL Y BATIENTE CENTRADA - UND</v>
      </c>
      <c r="G15" s="2">
        <f>IF(SUMIF(cotizador!J20:J37, Armado!F15, cotizador!K20:K37)=0,"",SUMIF(cotizador!J20:J37, Armado!F15, cotizador!K20:K37))</f>
        <v>10</v>
      </c>
      <c r="H15" s="25">
        <f t="shared" si="0"/>
        <v>4550</v>
      </c>
      <c r="I15" s="25">
        <f t="shared" si="1"/>
        <v>45500</v>
      </c>
    </row>
    <row r="16" spans="1:9" x14ac:dyDescent="0.3">
      <c r="A16" s="72" t="s">
        <v>468</v>
      </c>
      <c r="B16" s="73">
        <v>1350</v>
      </c>
      <c r="C16" s="74" t="s">
        <v>458</v>
      </c>
      <c r="F16" s="2"/>
      <c r="G16" s="2" t="str">
        <f>IF(SUMIF(cotizador!J21:J38, Armado!F16, cotizador!K21:K38)=0,"",SUMIF(cotizador!J21:J38, Armado!F16, cotizador!K21:K38))</f>
        <v/>
      </c>
      <c r="H16" s="25" t="str">
        <f t="shared" si="0"/>
        <v/>
      </c>
      <c r="I16" s="25" t="str">
        <f t="shared" si="1"/>
        <v/>
      </c>
    </row>
    <row r="17" spans="1:9" x14ac:dyDescent="0.3">
      <c r="A17" s="72" t="s">
        <v>469</v>
      </c>
      <c r="B17" s="73">
        <v>1500</v>
      </c>
      <c r="C17" s="74" t="s">
        <v>458</v>
      </c>
      <c r="F17" s="2"/>
      <c r="G17" s="2" t="str">
        <f>IF(SUMIF(cotizador!J22:J39, Armado!F17, cotizador!K22:K39)=0,"",SUMIF(cotizador!J22:J39, Armado!F17, cotizador!K22:K39))</f>
        <v/>
      </c>
      <c r="H17" s="25" t="str">
        <f t="shared" si="0"/>
        <v/>
      </c>
      <c r="I17" s="25" t="str">
        <f t="shared" si="1"/>
        <v/>
      </c>
    </row>
    <row r="18" spans="1:9" x14ac:dyDescent="0.3">
      <c r="A18" s="72" t="s">
        <v>470</v>
      </c>
      <c r="B18" s="73">
        <v>9150</v>
      </c>
      <c r="C18" s="74" t="s">
        <v>458</v>
      </c>
      <c r="F18" s="2"/>
      <c r="G18" s="2" t="str">
        <f>IF(SUMIF(cotizador!J23:J40, Armado!F18, cotizador!K23:K40)=0,"",SUMIF(cotizador!J23:J40, Armado!F18, cotizador!K23:K40))</f>
        <v/>
      </c>
      <c r="H18" s="25" t="str">
        <f t="shared" si="0"/>
        <v/>
      </c>
      <c r="I18" s="25" t="str">
        <f t="shared" si="1"/>
        <v/>
      </c>
    </row>
    <row r="19" spans="1:9" x14ac:dyDescent="0.3">
      <c r="A19" s="72" t="s">
        <v>35</v>
      </c>
      <c r="B19" s="73">
        <v>1050</v>
      </c>
      <c r="C19" s="74" t="s">
        <v>458</v>
      </c>
      <c r="F19" s="2"/>
      <c r="G19" s="2" t="str">
        <f>IF(SUMIF(cotizador!J24:J41, Armado!F19, cotizador!K24:K41)=0,"",SUMIF(cotizador!J24:J41, Armado!F19, cotizador!K24:K41))</f>
        <v/>
      </c>
      <c r="H19" s="25" t="str">
        <f t="shared" si="0"/>
        <v/>
      </c>
      <c r="I19" s="25" t="str">
        <f t="shared" si="1"/>
        <v/>
      </c>
    </row>
    <row r="20" spans="1:9" x14ac:dyDescent="0.3">
      <c r="A20" s="72" t="s">
        <v>471</v>
      </c>
      <c r="B20" s="73">
        <v>1750</v>
      </c>
      <c r="C20" s="74" t="s">
        <v>458</v>
      </c>
      <c r="F20" s="2"/>
      <c r="G20" s="2" t="str">
        <f>IF(SUMIF(cotizador!J25:J42, Armado!F20, cotizador!K25:K42)=0,"",SUMIF(cotizador!J25:J42, Armado!F20, cotizador!K25:K42))</f>
        <v/>
      </c>
      <c r="H20" s="25" t="str">
        <f t="shared" si="0"/>
        <v/>
      </c>
      <c r="I20" s="25" t="str">
        <f t="shared" si="1"/>
        <v/>
      </c>
    </row>
    <row r="21" spans="1:9" x14ac:dyDescent="0.3">
      <c r="A21" s="72" t="s">
        <v>472</v>
      </c>
      <c r="B21" s="73">
        <v>18000</v>
      </c>
      <c r="C21" s="74" t="s">
        <v>455</v>
      </c>
      <c r="F21" s="2"/>
      <c r="G21" s="2" t="str">
        <f>IF(SUMIF(cotizador!J26:J43, Armado!F21, cotizador!K26:K43)=0,"",SUMIF(cotizador!J26:J43, Armado!F21, cotizador!K26:K43))</f>
        <v/>
      </c>
      <c r="H21" s="25" t="str">
        <f t="shared" si="0"/>
        <v/>
      </c>
      <c r="I21" s="25" t="str">
        <f t="shared" si="1"/>
        <v/>
      </c>
    </row>
    <row r="22" spans="1:9" x14ac:dyDescent="0.3">
      <c r="A22" s="72" t="s">
        <v>473</v>
      </c>
      <c r="B22" s="73">
        <v>30000</v>
      </c>
      <c r="C22" s="74" t="s">
        <v>455</v>
      </c>
      <c r="F22" s="2"/>
      <c r="G22" s="2" t="str">
        <f>IF(SUMIF(cotizador!J27:J44, Armado!F22, cotizador!K27:K44)=0,"",SUMIF(cotizador!J27:J44, Armado!F22, cotizador!K27:K44))</f>
        <v/>
      </c>
      <c r="H22" s="25" t="str">
        <f t="shared" si="0"/>
        <v/>
      </c>
      <c r="I22" s="25" t="str">
        <f t="shared" si="1"/>
        <v/>
      </c>
    </row>
    <row r="23" spans="1:9" x14ac:dyDescent="0.3">
      <c r="A23" s="72" t="s">
        <v>474</v>
      </c>
      <c r="B23" s="73">
        <v>16650</v>
      </c>
      <c r="C23" s="74" t="s">
        <v>458</v>
      </c>
      <c r="F23" s="2"/>
      <c r="G23" s="2" t="str">
        <f>IF(SUMIF(cotizador!J28:J45, Armado!F23, cotizador!K28:K45)=0,"",SUMIF(cotizador!J28:J45, Armado!F23, cotizador!K28:K45))</f>
        <v/>
      </c>
      <c r="H23" s="25" t="str">
        <f t="shared" si="0"/>
        <v/>
      </c>
      <c r="I23" s="25" t="str">
        <f t="shared" si="1"/>
        <v/>
      </c>
    </row>
    <row r="24" spans="1:9" x14ac:dyDescent="0.3">
      <c r="A24" s="72" t="s">
        <v>475</v>
      </c>
      <c r="B24" s="73">
        <v>7000</v>
      </c>
      <c r="C24" s="74" t="s">
        <v>458</v>
      </c>
      <c r="F24" s="2"/>
      <c r="G24" s="2" t="str">
        <f>IF(SUMIF(cotizador!J29:J46, Armado!F24, cotizador!K29:K46)=0,"",SUMIF(cotizador!J29:J46, Armado!F24, cotizador!K29:K46))</f>
        <v/>
      </c>
      <c r="H24" s="25" t="str">
        <f t="shared" si="0"/>
        <v/>
      </c>
      <c r="I24" s="25" t="str">
        <f t="shared" si="1"/>
        <v/>
      </c>
    </row>
    <row r="25" spans="1:9" x14ac:dyDescent="0.3">
      <c r="A25" s="72" t="s">
        <v>476</v>
      </c>
      <c r="B25" s="73">
        <v>8800</v>
      </c>
      <c r="C25" s="74" t="s">
        <v>458</v>
      </c>
      <c r="F25" s="2"/>
      <c r="G25" s="2" t="str">
        <f>IF(SUMIF(cotizador!J30:J47, Armado!F25, cotizador!K30:K47)=0,"",SUMIF(cotizador!J30:J47, Armado!F25, cotizador!K30:K47))</f>
        <v/>
      </c>
      <c r="H25" s="25" t="str">
        <f t="shared" si="0"/>
        <v/>
      </c>
      <c r="I25" s="25" t="str">
        <f t="shared" si="1"/>
        <v/>
      </c>
    </row>
    <row r="26" spans="1:9" x14ac:dyDescent="0.3">
      <c r="A26" s="72" t="s">
        <v>477</v>
      </c>
      <c r="B26" s="73">
        <v>12750</v>
      </c>
      <c r="C26" s="74" t="s">
        <v>458</v>
      </c>
      <c r="F26" s="2"/>
      <c r="G26" s="2" t="str">
        <f>IF(SUMIF(cotizador!J31:J48, Armado!F26, cotizador!K31:K48)=0,"",SUMIF(cotizador!J31:J48, Armado!F26, cotizador!K31:K48))</f>
        <v/>
      </c>
      <c r="H26" s="25" t="str">
        <f t="shared" si="0"/>
        <v/>
      </c>
      <c r="I26" s="25" t="str">
        <f t="shared" si="1"/>
        <v/>
      </c>
    </row>
    <row r="27" spans="1:9" x14ac:dyDescent="0.3">
      <c r="A27" s="72" t="s">
        <v>478</v>
      </c>
      <c r="B27" s="73">
        <v>60900</v>
      </c>
      <c r="C27" s="74" t="s">
        <v>458</v>
      </c>
      <c r="F27" s="2"/>
      <c r="G27" s="2" t="str">
        <f>IF(SUMIF(cotizador!J32:J49, Armado!F27, cotizador!K32:K49)=0,"",SUMIF(cotizador!J32:J49, Armado!F27, cotizador!K32:K49))</f>
        <v/>
      </c>
      <c r="H27" s="25" t="str">
        <f t="shared" si="0"/>
        <v/>
      </c>
      <c r="I27" s="25" t="str">
        <f t="shared" si="1"/>
        <v/>
      </c>
    </row>
    <row r="28" spans="1:9" x14ac:dyDescent="0.3">
      <c r="A28" s="72" t="s">
        <v>479</v>
      </c>
      <c r="B28" s="73">
        <v>25500</v>
      </c>
      <c r="C28" s="74" t="s">
        <v>458</v>
      </c>
      <c r="F28" s="141" t="s">
        <v>29</v>
      </c>
      <c r="G28" s="141"/>
      <c r="H28" s="141"/>
      <c r="I28" s="30">
        <f>SUM(I9:I27)</f>
        <v>147600</v>
      </c>
    </row>
    <row r="29" spans="1:9" x14ac:dyDescent="0.3">
      <c r="A29" s="72" t="s">
        <v>480</v>
      </c>
      <c r="B29" s="73">
        <v>27550</v>
      </c>
      <c r="C29" s="74" t="s">
        <v>458</v>
      </c>
    </row>
    <row r="30" spans="1:9" x14ac:dyDescent="0.3">
      <c r="A30" s="72" t="s">
        <v>481</v>
      </c>
      <c r="B30" s="73">
        <v>20950</v>
      </c>
      <c r="C30" s="74" t="s">
        <v>458</v>
      </c>
    </row>
    <row r="31" spans="1:9" x14ac:dyDescent="0.3">
      <c r="A31" s="72" t="s">
        <v>482</v>
      </c>
      <c r="B31" s="73">
        <v>15350</v>
      </c>
      <c r="C31" s="74" t="s">
        <v>458</v>
      </c>
    </row>
    <row r="32" spans="1:9" x14ac:dyDescent="0.3">
      <c r="A32" s="72" t="s">
        <v>483</v>
      </c>
      <c r="B32" s="73">
        <v>19850</v>
      </c>
      <c r="C32" s="74" t="s">
        <v>458</v>
      </c>
    </row>
    <row r="33" spans="1:3" x14ac:dyDescent="0.3">
      <c r="A33" s="72" t="s">
        <v>484</v>
      </c>
      <c r="B33" s="73">
        <v>13150</v>
      </c>
      <c r="C33" s="74" t="s">
        <v>458</v>
      </c>
    </row>
    <row r="34" spans="1:3" x14ac:dyDescent="0.3">
      <c r="A34" s="72" t="s">
        <v>485</v>
      </c>
      <c r="B34" s="73">
        <v>14100</v>
      </c>
      <c r="C34" s="74" t="s">
        <v>458</v>
      </c>
    </row>
    <row r="35" spans="1:3" x14ac:dyDescent="0.3">
      <c r="A35" s="72" t="s">
        <v>486</v>
      </c>
      <c r="B35" s="73">
        <v>7850</v>
      </c>
      <c r="C35" s="74" t="s">
        <v>458</v>
      </c>
    </row>
    <row r="36" spans="1:3" x14ac:dyDescent="0.3">
      <c r="A36" s="72" t="s">
        <v>487</v>
      </c>
      <c r="B36" s="73">
        <v>5250</v>
      </c>
      <c r="C36" s="74" t="s">
        <v>458</v>
      </c>
    </row>
    <row r="37" spans="1:3" x14ac:dyDescent="0.3">
      <c r="A37" s="75" t="s">
        <v>488</v>
      </c>
      <c r="B37" s="76">
        <v>6450</v>
      </c>
      <c r="C37" s="74" t="s">
        <v>458</v>
      </c>
    </row>
    <row r="38" spans="1:3" x14ac:dyDescent="0.3">
      <c r="A38" s="75" t="s">
        <v>489</v>
      </c>
      <c r="B38" s="76">
        <v>4100</v>
      </c>
      <c r="C38" s="74" t="s">
        <v>458</v>
      </c>
    </row>
    <row r="39" spans="1:3" x14ac:dyDescent="0.3">
      <c r="A39" s="72" t="s">
        <v>490</v>
      </c>
      <c r="B39" s="73">
        <v>6200</v>
      </c>
      <c r="C39" s="74" t="s">
        <v>458</v>
      </c>
    </row>
    <row r="40" spans="1:3" x14ac:dyDescent="0.3">
      <c r="A40" s="72" t="s">
        <v>491</v>
      </c>
      <c r="B40" s="73">
        <v>4300</v>
      </c>
      <c r="C40" s="74" t="s">
        <v>458</v>
      </c>
    </row>
    <row r="41" spans="1:3" x14ac:dyDescent="0.3">
      <c r="A41" s="75" t="s">
        <v>492</v>
      </c>
      <c r="B41" s="76">
        <v>4550</v>
      </c>
      <c r="C41" s="74" t="s">
        <v>458</v>
      </c>
    </row>
    <row r="42" spans="1:3" x14ac:dyDescent="0.3">
      <c r="A42" s="75" t="s">
        <v>493</v>
      </c>
      <c r="B42" s="76">
        <v>3050</v>
      </c>
      <c r="C42" s="74" t="s">
        <v>458</v>
      </c>
    </row>
    <row r="43" spans="1:3" ht="15" thickBot="1" x14ac:dyDescent="0.35">
      <c r="A43" s="77" t="s">
        <v>494</v>
      </c>
      <c r="B43" s="78">
        <v>79300</v>
      </c>
      <c r="C43" s="79" t="s">
        <v>455</v>
      </c>
    </row>
  </sheetData>
  <mergeCells count="2">
    <mergeCell ref="F7:I7"/>
    <mergeCell ref="F28:H28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F15781-7AE3-497A-AB51-0C6D2B6F46A3}">
  <sheetPr codeName="Hoja12"/>
  <dimension ref="A1"/>
  <sheetViews>
    <sheetView topLeftCell="A11" workbookViewId="0"/>
  </sheetViews>
  <sheetFormatPr baseColWidth="10" defaultColWidth="11.44140625"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11</vt:i4>
      </vt:variant>
    </vt:vector>
  </HeadingPairs>
  <TitlesOfParts>
    <vt:vector size="11" baseType="lpstr">
      <vt:lpstr>Despiece</vt:lpstr>
      <vt:lpstr>cotizador</vt:lpstr>
      <vt:lpstr>Empaque</vt:lpstr>
      <vt:lpstr>Tableros</vt:lpstr>
      <vt:lpstr>Tapacantos</vt:lpstr>
      <vt:lpstr>Herrajes</vt:lpstr>
      <vt:lpstr>Corte</vt:lpstr>
      <vt:lpstr>Enchape</vt:lpstr>
      <vt:lpstr>Mecanizado</vt:lpstr>
      <vt:lpstr>Armado</vt:lpstr>
      <vt:lpstr>MOD instalacion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Star Bot</dc:creator>
  <cp:keywords/>
  <dc:description/>
  <cp:lastModifiedBy>Equipo Automatización All Star</cp:lastModifiedBy>
  <cp:revision/>
  <dcterms:created xsi:type="dcterms:W3CDTF">2025-06-20T13:05:23Z</dcterms:created>
  <dcterms:modified xsi:type="dcterms:W3CDTF">2025-10-09T19:26:19Z</dcterms:modified>
  <cp:category/>
  <cp:contentStatus/>
</cp:coreProperties>
</file>