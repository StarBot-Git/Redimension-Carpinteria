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475c5cd93efbfa/Carpintería/"/>
    </mc:Choice>
  </mc:AlternateContent>
  <xr:revisionPtr revIDLastSave="1846" documentId="8_{C5CE1CA2-C82A-444D-A3C0-54917A7A8BB2}" xr6:coauthVersionLast="47" xr6:coauthVersionMax="47" xr10:uidLastSave="{7CC1B6BB-9CD7-45D5-8526-1BBF66BABDB1}"/>
  <bookViews>
    <workbookView minimized="1" xWindow="-24570" yWindow="4230" windowWidth="17280" windowHeight="8880" xr2:uid="{D85C986F-F5ED-4017-9E8A-6AA088F17CDC}"/>
  </bookViews>
  <sheets>
    <sheet name="Despiece" sheetId="2" r:id="rId1"/>
    <sheet name="cotizador" sheetId="1" r:id="rId2"/>
    <sheet name="Empaque" sheetId="13" r:id="rId3"/>
    <sheet name="Tableros" sheetId="4" r:id="rId4"/>
    <sheet name="Tapacantos" sheetId="6" r:id="rId5"/>
    <sheet name="Herrajes" sheetId="8" state="hidden" r:id="rId6"/>
    <sheet name="Corte" sheetId="9" r:id="rId7"/>
    <sheet name="Enchape" sheetId="10" state="hidden" r:id="rId8"/>
    <sheet name="Mecanizado" sheetId="11" r:id="rId9"/>
    <sheet name="Armado" sheetId="12" r:id="rId10"/>
    <sheet name="MOD instalacion" sheetId="15" r:id="rId11"/>
  </sheets>
  <definedNames>
    <definedName name="_xlnm._FilterDatabase" localSheetId="5" hidden="1">Herrajes!$A$1:$C$1</definedName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3" l="1"/>
  <c r="F7" i="13" s="1"/>
  <c r="D8" i="13"/>
  <c r="F8" i="13" s="1"/>
  <c r="D9" i="13"/>
  <c r="F9" i="13" s="1"/>
  <c r="D10" i="13"/>
  <c r="F10" i="13" s="1"/>
  <c r="D6" i="13"/>
  <c r="F6" i="13" s="1"/>
  <c r="N39" i="13"/>
  <c r="M39" i="13"/>
  <c r="O39" i="13" s="1"/>
  <c r="N38" i="13"/>
  <c r="M38" i="13"/>
  <c r="O38" i="13" s="1"/>
  <c r="N37" i="13"/>
  <c r="M37" i="13"/>
  <c r="N36" i="13"/>
  <c r="M36" i="13"/>
  <c r="O36" i="13" s="1"/>
  <c r="N35" i="13"/>
  <c r="M35" i="13"/>
  <c r="O35" i="13" s="1"/>
  <c r="N34" i="13"/>
  <c r="M34" i="13"/>
  <c r="O34" i="13" s="1"/>
  <c r="N33" i="13"/>
  <c r="M33" i="13"/>
  <c r="O33" i="13" s="1"/>
  <c r="N32" i="13"/>
  <c r="M32" i="13"/>
  <c r="O32" i="13" s="1"/>
  <c r="N31" i="13"/>
  <c r="M31" i="13"/>
  <c r="O31" i="13" s="1"/>
  <c r="N30" i="13"/>
  <c r="M30" i="13"/>
  <c r="O30" i="13" s="1"/>
  <c r="N29" i="13"/>
  <c r="M29" i="13"/>
  <c r="O29" i="13" s="1"/>
  <c r="N28" i="13"/>
  <c r="M28" i="13"/>
  <c r="O28" i="13" s="1"/>
  <c r="N27" i="13"/>
  <c r="M27" i="13"/>
  <c r="O27" i="13" s="1"/>
  <c r="N26" i="13"/>
  <c r="M26" i="13"/>
  <c r="O26" i="13" s="1"/>
  <c r="N25" i="13"/>
  <c r="M25" i="13"/>
  <c r="O25" i="13" s="1"/>
  <c r="N24" i="13"/>
  <c r="M24" i="13"/>
  <c r="N23" i="13"/>
  <c r="M23" i="13"/>
  <c r="O23" i="13" s="1"/>
  <c r="N22" i="13"/>
  <c r="M22" i="13"/>
  <c r="O22" i="13" s="1"/>
  <c r="N21" i="13"/>
  <c r="M21" i="13"/>
  <c r="N20" i="13"/>
  <c r="M20" i="13"/>
  <c r="O20" i="13" s="1"/>
  <c r="N19" i="13"/>
  <c r="M19" i="13"/>
  <c r="O19" i="13" s="1"/>
  <c r="N18" i="13"/>
  <c r="M18" i="13"/>
  <c r="O18" i="13" s="1"/>
  <c r="N17" i="13"/>
  <c r="M17" i="13"/>
  <c r="O17" i="13" s="1"/>
  <c r="N16" i="13"/>
  <c r="M16" i="13"/>
  <c r="O16" i="13" s="1"/>
  <c r="N15" i="13"/>
  <c r="M15" i="13"/>
  <c r="O15" i="13" s="1"/>
  <c r="N14" i="13"/>
  <c r="M14" i="13"/>
  <c r="O14" i="13" s="1"/>
  <c r="N13" i="13"/>
  <c r="M13" i="13"/>
  <c r="O13" i="13" s="1"/>
  <c r="N12" i="13"/>
  <c r="M12" i="13"/>
  <c r="O12" i="13" s="1"/>
  <c r="N11" i="13"/>
  <c r="M11" i="13"/>
  <c r="O11" i="13" s="1"/>
  <c r="M10" i="13"/>
  <c r="M9" i="13"/>
  <c r="L9" i="13" a="1"/>
  <c r="N10" i="13" s="1"/>
  <c r="O10" i="13" s="1"/>
  <c r="F5" i="13"/>
  <c r="F4" i="13"/>
  <c r="D2" i="9"/>
  <c r="D1" i="9"/>
  <c r="C2" i="9"/>
  <c r="C1" i="9"/>
  <c r="K2" i="9"/>
  <c r="K1" i="9"/>
  <c r="J2" i="9"/>
  <c r="J1" i="9"/>
  <c r="J3" i="9"/>
  <c r="A11" i="10"/>
  <c r="C21" i="9"/>
  <c r="C22" i="9"/>
  <c r="C23" i="9"/>
  <c r="C24" i="9"/>
  <c r="C25" i="9"/>
  <c r="C26" i="9"/>
  <c r="C27" i="9"/>
  <c r="H16" i="12"/>
  <c r="H17" i="12"/>
  <c r="H18" i="12"/>
  <c r="H19" i="12"/>
  <c r="H20" i="12"/>
  <c r="H21" i="12"/>
  <c r="H22" i="12"/>
  <c r="H23" i="12"/>
  <c r="H24" i="12"/>
  <c r="H25" i="12"/>
  <c r="H26" i="12"/>
  <c r="H27" i="12"/>
  <c r="F19" i="1"/>
  <c r="F20" i="1"/>
  <c r="F21" i="1"/>
  <c r="F22" i="1"/>
  <c r="F23" i="1"/>
  <c r="F24" i="1"/>
  <c r="F25" i="1"/>
  <c r="F26" i="1"/>
  <c r="F27" i="1"/>
  <c r="F30" i="1"/>
  <c r="F31" i="1"/>
  <c r="F32" i="1"/>
  <c r="F33" i="1"/>
  <c r="F34" i="1"/>
  <c r="F35" i="1"/>
  <c r="F36" i="1"/>
  <c r="F37" i="1"/>
  <c r="F38" i="1"/>
  <c r="F39" i="1"/>
  <c r="F18" i="1"/>
  <c r="B21" i="9"/>
  <c r="B22" i="9"/>
  <c r="B23" i="9"/>
  <c r="B24" i="9"/>
  <c r="D24" i="9" s="1"/>
  <c r="B25" i="9"/>
  <c r="B26" i="9"/>
  <c r="B27" i="9"/>
  <c r="A19" i="9" a="1"/>
  <c r="A19" i="9" s="1"/>
  <c r="E7" i="1"/>
  <c r="E8" i="1"/>
  <c r="E9" i="1"/>
  <c r="E10" i="1"/>
  <c r="E11" i="1"/>
  <c r="E12" i="1"/>
  <c r="E13" i="1"/>
  <c r="E14" i="1"/>
  <c r="E15" i="1"/>
  <c r="E6" i="1"/>
  <c r="F7" i="1"/>
  <c r="F8" i="1"/>
  <c r="F9" i="1"/>
  <c r="F10" i="1"/>
  <c r="F11" i="1"/>
  <c r="F12" i="1"/>
  <c r="F13" i="1"/>
  <c r="F14" i="1"/>
  <c r="F15" i="1"/>
  <c r="F6" i="1"/>
  <c r="O21" i="13" l="1"/>
  <c r="O24" i="13"/>
  <c r="O37" i="13"/>
  <c r="L9" i="13"/>
  <c r="N9" i="13" s="1"/>
  <c r="O9" i="13" s="1"/>
  <c r="D26" i="9"/>
  <c r="D25" i="9"/>
  <c r="D22" i="9"/>
  <c r="D21" i="9"/>
  <c r="D27" i="9"/>
  <c r="D23" i="9"/>
  <c r="B19" i="9"/>
  <c r="C20" i="9"/>
  <c r="G8" i="1"/>
  <c r="G12" i="1"/>
  <c r="G9" i="1"/>
  <c r="G11" i="1"/>
  <c r="G10" i="1"/>
  <c r="G15" i="1"/>
  <c r="G14" i="1"/>
  <c r="G13" i="1"/>
  <c r="G7" i="1"/>
  <c r="G6" i="1"/>
  <c r="B20" i="9"/>
  <c r="B67" i="1"/>
  <c r="B68" i="1" s="1"/>
  <c r="B70" i="1" s="1"/>
  <c r="B71" i="1" s="1"/>
  <c r="B73" i="1" s="1"/>
  <c r="B74" i="1" s="1"/>
  <c r="B7" i="10"/>
  <c r="O40" i="13" l="1"/>
  <c r="G16" i="1"/>
  <c r="G16" i="12"/>
  <c r="I16" i="12" s="1"/>
  <c r="G17" i="12"/>
  <c r="I17" i="12" s="1"/>
  <c r="G18" i="12"/>
  <c r="I18" i="12" s="1"/>
  <c r="G19" i="12"/>
  <c r="I19" i="12" s="1"/>
  <c r="G20" i="12"/>
  <c r="I20" i="12" s="1"/>
  <c r="G21" i="12"/>
  <c r="I21" i="12" s="1"/>
  <c r="G22" i="12"/>
  <c r="I22" i="12" s="1"/>
  <c r="G23" i="12"/>
  <c r="I23" i="12" s="1"/>
  <c r="G24" i="12"/>
  <c r="I24" i="12" s="1"/>
  <c r="G25" i="12"/>
  <c r="I25" i="12" s="1"/>
  <c r="G26" i="12"/>
  <c r="I26" i="12" s="1"/>
  <c r="G27" i="12"/>
  <c r="I27" i="12" s="1"/>
  <c r="F9" i="12" a="1"/>
  <c r="K3" i="11" a="1"/>
  <c r="H14" i="12" l="1"/>
  <c r="H15" i="12"/>
  <c r="G15" i="12"/>
  <c r="I15" i="12" s="1"/>
  <c r="K3" i="11"/>
  <c r="L4" i="11"/>
  <c r="G14" i="12"/>
  <c r="M4" i="11"/>
  <c r="H10" i="12"/>
  <c r="H11" i="12"/>
  <c r="H12" i="12"/>
  <c r="H13" i="12"/>
  <c r="G13" i="12"/>
  <c r="G12" i="12"/>
  <c r="G11" i="12"/>
  <c r="F9" i="12"/>
  <c r="H9" i="12" s="1"/>
  <c r="G10" i="12"/>
  <c r="L5" i="11"/>
  <c r="L6" i="11"/>
  <c r="L7" i="11"/>
  <c r="L8" i="11"/>
  <c r="N8" i="11" s="1"/>
  <c r="L9" i="11"/>
  <c r="N9" i="11" s="1"/>
  <c r="L10" i="11"/>
  <c r="L11" i="11"/>
  <c r="L12" i="11"/>
  <c r="L13" i="11"/>
  <c r="L14" i="11"/>
  <c r="L15" i="11"/>
  <c r="L16" i="11"/>
  <c r="N16" i="11" s="1"/>
  <c r="L17" i="11"/>
  <c r="L18" i="11"/>
  <c r="L19" i="11"/>
  <c r="L20" i="11"/>
  <c r="L21" i="11"/>
  <c r="L22" i="11"/>
  <c r="L23" i="11"/>
  <c r="L24" i="11"/>
  <c r="N24" i="11" s="1"/>
  <c r="L25" i="11"/>
  <c r="L26" i="11"/>
  <c r="L27" i="11"/>
  <c r="L28" i="11"/>
  <c r="L29" i="11"/>
  <c r="L30" i="11"/>
  <c r="L31" i="11"/>
  <c r="L32" i="11"/>
  <c r="L33" i="11"/>
  <c r="M5" i="11"/>
  <c r="M6" i="11"/>
  <c r="N6" i="11" s="1"/>
  <c r="M7" i="11"/>
  <c r="M8" i="11"/>
  <c r="M9" i="11"/>
  <c r="M10" i="11"/>
  <c r="M11" i="11"/>
  <c r="M12" i="11"/>
  <c r="N12" i="11" s="1"/>
  <c r="M13" i="11"/>
  <c r="M14" i="11"/>
  <c r="M15" i="11"/>
  <c r="M16" i="11"/>
  <c r="M17" i="11"/>
  <c r="M18" i="11"/>
  <c r="M19" i="11"/>
  <c r="M20" i="11"/>
  <c r="N20" i="11" s="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N11" i="11" l="1"/>
  <c r="N22" i="11"/>
  <c r="I14" i="12"/>
  <c r="I11" i="12"/>
  <c r="N21" i="11"/>
  <c r="N5" i="11"/>
  <c r="N28" i="11"/>
  <c r="N10" i="11"/>
  <c r="N33" i="11"/>
  <c r="N17" i="11"/>
  <c r="N31" i="11"/>
  <c r="N15" i="11"/>
  <c r="I13" i="12"/>
  <c r="N18" i="11"/>
  <c r="N19" i="11"/>
  <c r="N32" i="11"/>
  <c r="N25" i="11"/>
  <c r="N30" i="11"/>
  <c r="N14" i="11"/>
  <c r="N29" i="11"/>
  <c r="N13" i="11"/>
  <c r="N27" i="11"/>
  <c r="N26" i="11"/>
  <c r="N23" i="11"/>
  <c r="N7" i="11"/>
  <c r="M3" i="11"/>
  <c r="L3" i="11"/>
  <c r="I12" i="12"/>
  <c r="G9" i="12"/>
  <c r="I9" i="12" s="1"/>
  <c r="I10" i="12"/>
  <c r="N4" i="11"/>
  <c r="I28" i="12" l="1"/>
  <c r="B48" i="1" s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3" i="11"/>
  <c r="B28" i="9"/>
  <c r="B14" i="9"/>
  <c r="C4" i="9"/>
  <c r="J10" i="9"/>
  <c r="K10" i="9" s="1"/>
  <c r="C10" i="9" s="1"/>
  <c r="J9" i="9"/>
  <c r="K9" i="9" s="1"/>
  <c r="C9" i="9" s="1"/>
  <c r="J8" i="9"/>
  <c r="K8" i="9" s="1"/>
  <c r="C8" i="9" s="1"/>
  <c r="J7" i="9"/>
  <c r="K7" i="9" s="1"/>
  <c r="C7" i="9" s="1"/>
  <c r="J6" i="9"/>
  <c r="K6" i="9" s="1"/>
  <c r="C6" i="9" s="1"/>
  <c r="J5" i="9"/>
  <c r="K5" i="9" s="1"/>
  <c r="C5" i="9" s="1"/>
  <c r="J4" i="9"/>
  <c r="K4" i="9" s="1"/>
  <c r="K3" i="9"/>
  <c r="C3" i="9" s="1"/>
  <c r="D20" i="9" l="1"/>
  <c r="D3" i="9"/>
  <c r="D6" i="9"/>
  <c r="D5" i="9"/>
  <c r="D10" i="9"/>
  <c r="D7" i="9"/>
  <c r="B11" i="10"/>
  <c r="B46" i="1" s="1"/>
  <c r="N3" i="11"/>
  <c r="N34" i="11" s="1"/>
  <c r="B47" i="1" s="1"/>
  <c r="D9" i="9"/>
  <c r="C19" i="9" s="1"/>
  <c r="D19" i="9" s="1"/>
  <c r="D8" i="9"/>
  <c r="D4" i="9"/>
  <c r="D28" i="9" l="1"/>
  <c r="B45" i="1" s="1"/>
  <c r="B50" i="1" s="1"/>
  <c r="B53" i="1" l="1"/>
  <c r="G32" i="1"/>
  <c r="G33" i="1"/>
  <c r="G34" i="1"/>
  <c r="G35" i="1"/>
  <c r="G36" i="1"/>
  <c r="G37" i="1"/>
  <c r="G38" i="1"/>
  <c r="G39" i="1"/>
  <c r="G31" i="1"/>
  <c r="D31" i="1"/>
  <c r="D32" i="1"/>
  <c r="D33" i="1"/>
  <c r="D34" i="1"/>
  <c r="D35" i="1"/>
  <c r="D36" i="1"/>
  <c r="D37" i="1"/>
  <c r="D38" i="1"/>
  <c r="D39" i="1"/>
  <c r="D30" i="1"/>
  <c r="G30" i="1"/>
  <c r="G27" i="1"/>
  <c r="G19" i="1"/>
  <c r="G20" i="1"/>
  <c r="G22" i="1"/>
  <c r="G24" i="1"/>
  <c r="G25" i="1"/>
  <c r="G21" i="1"/>
  <c r="G23" i="1"/>
  <c r="G26" i="1"/>
  <c r="G18" i="1"/>
  <c r="G40" i="1" l="1"/>
  <c r="G28" i="1"/>
  <c r="B2" i="1" l="1"/>
  <c r="B41" i="1" l="1"/>
  <c r="B43" i="1" s="1"/>
  <c r="B54" i="1" l="1"/>
  <c r="B57" i="1" s="1"/>
  <c r="B58" i="1" s="1"/>
  <c r="B61" i="1" s="1"/>
  <c r="B62" i="1" s="1"/>
  <c r="B7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<sst xmlns="http://schemas.openxmlformats.org/spreadsheetml/2006/main" count="2335" uniqueCount="789">
  <si>
    <t>No.</t>
  </si>
  <si>
    <t>Designación</t>
  </si>
  <si>
    <t>Cantidad</t>
  </si>
  <si>
    <t>Area - final</t>
  </si>
  <si>
    <t>Tipo</t>
  </si>
  <si>
    <t>Material</t>
  </si>
  <si>
    <t>Etiquetas</t>
  </si>
  <si>
    <t>Longitud del borde 1</t>
  </si>
  <si>
    <t>Longitud del borde 2</t>
  </si>
  <si>
    <t>Ancho del borde 1</t>
  </si>
  <si>
    <t>Ancho de borde 2</t>
  </si>
  <si>
    <t>Frente</t>
  </si>
  <si>
    <t>Dorso</t>
  </si>
  <si>
    <t>A</t>
  </si>
  <si>
    <t>AMARRES</t>
  </si>
  <si>
    <t>Tablero</t>
  </si>
  <si>
    <t>CRUDO PR ST</t>
  </si>
  <si>
    <t>Layer0</t>
  </si>
  <si>
    <t>B</t>
  </si>
  <si>
    <t>C</t>
  </si>
  <si>
    <t>D</t>
  </si>
  <si>
    <t>BAÑO BASE</t>
  </si>
  <si>
    <t>E</t>
  </si>
  <si>
    <t>F</t>
  </si>
  <si>
    <t>0,09 m²</t>
  </si>
  <si>
    <t>G</t>
  </si>
  <si>
    <t>H</t>
  </si>
  <si>
    <t>I</t>
  </si>
  <si>
    <t>J</t>
  </si>
  <si>
    <t>K</t>
  </si>
  <si>
    <t>0,06 m²</t>
  </si>
  <si>
    <t>L</t>
  </si>
  <si>
    <t>M</t>
  </si>
  <si>
    <t>N</t>
  </si>
  <si>
    <t>O</t>
  </si>
  <si>
    <t>0,07 m²</t>
  </si>
  <si>
    <t>P</t>
  </si>
  <si>
    <t>Q</t>
  </si>
  <si>
    <t>R</t>
  </si>
  <si>
    <t>S</t>
  </si>
  <si>
    <t>LATERAL DER#14</t>
  </si>
  <si>
    <t>MDF AR RH</t>
  </si>
  <si>
    <t>LATERAL DER#10</t>
  </si>
  <si>
    <t>0,16 m²</t>
  </si>
  <si>
    <t>LATERAL DER#7</t>
  </si>
  <si>
    <t>LATERAL DER#17</t>
  </si>
  <si>
    <t>LATERAL DER#15</t>
  </si>
  <si>
    <t>LATERAL DER#16</t>
  </si>
  <si>
    <t>Canto</t>
  </si>
  <si>
    <t>FLEXIBLE PV</t>
  </si>
  <si>
    <t>LATERAL DER#10 - Longitud del borde 1</t>
  </si>
  <si>
    <t>LATERAL DER#10 - Longitud del borde 2</t>
  </si>
  <si>
    <t>LATERAL DER#14 - Longitud del borde 1</t>
  </si>
  <si>
    <t>LATERAL DER#14 - Longitud del borde 2</t>
  </si>
  <si>
    <t>SEMI RIGIDO PV</t>
  </si>
  <si>
    <t>LATERAL DER#14 - Ancho de borde 2</t>
  </si>
  <si>
    <t>T</t>
  </si>
  <si>
    <t>LATERAL DER#14 - Ancho del borde 1</t>
  </si>
  <si>
    <t>U</t>
  </si>
  <si>
    <t>V</t>
  </si>
  <si>
    <t>W</t>
  </si>
  <si>
    <t>X</t>
  </si>
  <si>
    <t>LATERAL DER#10 - Ancho de borde 2</t>
  </si>
  <si>
    <t>Y</t>
  </si>
  <si>
    <t>LATERAL DER#10 - Ancho del borde 1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</si>
  <si>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</si>
  <si>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</si>
  <si>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</si>
  <si>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</si>
  <si>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</si>
  <si>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</si>
  <si>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</si>
  <si>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</si>
  <si>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</si>
  <si>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</si>
  <si>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LATERAL DER#7 - Longitud del borde 1</t>
  </si>
  <si>
    <t>LATERAL DER#7 - Longitud del borde 2</t>
  </si>
  <si>
    <t>SEMI RIGIDO SC</t>
  </si>
  <si>
    <t>AJ</t>
  </si>
  <si>
    <t>AK</t>
  </si>
  <si>
    <t>AL</t>
  </si>
  <si>
    <t>AM</t>
  </si>
  <si>
    <t>AN</t>
  </si>
  <si>
    <t>AO</t>
  </si>
  <si>
    <t>AP</t>
  </si>
  <si>
    <t>LATERAL DER#15 - Longitud del borde 1</t>
  </si>
  <si>
    <t>AQ</t>
  </si>
  <si>
    <t>LATERAL DER#15 - Longitud del borde 2</t>
  </si>
  <si>
    <t>AR</t>
  </si>
  <si>
    <t>LATERAL DER#16 - Longitud del borde 1</t>
  </si>
  <si>
    <t>AS</t>
  </si>
  <si>
    <t>LATERAL DER#16 - Longitud del borde 2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</si>
  <si>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</si>
  <si>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</si>
  <si>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</si>
  <si>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</si>
  <si>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</si>
  <si>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</si>
  <si>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</si>
  <si>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</si>
  <si>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</si>
  <si>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</si>
  <si>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</si>
  <si>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</si>
  <si>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</si>
  <si>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</si>
  <si>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</si>
  <si>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</si>
  <si>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Cotizador Oficial ALL STAR</t>
  </si>
  <si>
    <t>Fecha :</t>
  </si>
  <si>
    <t xml:space="preserve">Area de Carpinteria </t>
  </si>
  <si>
    <t>Nombre :</t>
  </si>
  <si>
    <t>Materiales</t>
  </si>
  <si>
    <t>Tableros</t>
  </si>
  <si>
    <t>Formato</t>
  </si>
  <si>
    <t>Calibre</t>
  </si>
  <si>
    <t>Cantidad (#)</t>
  </si>
  <si>
    <t>Cantidad ajust (#)</t>
  </si>
  <si>
    <t>Precio Unidad</t>
  </si>
  <si>
    <t>Precio Total</t>
  </si>
  <si>
    <t>Armado</t>
  </si>
  <si>
    <t>Actividad</t>
  </si>
  <si>
    <t>ZURRÓN 3 CAJONES - UND</t>
  </si>
  <si>
    <t>ZURRÓN 1 CAJÓN - UND</t>
  </si>
  <si>
    <t>Total</t>
  </si>
  <si>
    <t>EMBISAGRADOR W - UND</t>
  </si>
  <si>
    <t>Tapacantos</t>
  </si>
  <si>
    <t>Ancho</t>
  </si>
  <si>
    <t>Cantidad (m)</t>
  </si>
  <si>
    <t>ENTREPAÑO EN L COC - MTL</t>
  </si>
  <si>
    <t>EMBISAGRADOR , DINTEL O BASE - UND</t>
  </si>
  <si>
    <t xml:space="preserve">Herrajes </t>
  </si>
  <si>
    <t>Proveedor</t>
  </si>
  <si>
    <t>ACCESORIO PERFIL CLICK 6014T 50MM. 1 SET</t>
  </si>
  <si>
    <t>ACCESORIO CIERRELENTO ZINC BRAZO N.1 UN</t>
  </si>
  <si>
    <t>Sub Total Material</t>
  </si>
  <si>
    <t>Insumos %</t>
  </si>
  <si>
    <t>Total Material</t>
  </si>
  <si>
    <t>Mano de obra directa</t>
  </si>
  <si>
    <t>Corte</t>
  </si>
  <si>
    <t>Enchape</t>
  </si>
  <si>
    <t>Mecanizado</t>
  </si>
  <si>
    <t>Empaque</t>
  </si>
  <si>
    <t>Total MOD</t>
  </si>
  <si>
    <t>Mano de obra Indirecto</t>
  </si>
  <si>
    <t>% de MOD</t>
  </si>
  <si>
    <t>Acumulado</t>
  </si>
  <si>
    <t>Admin Costos Fijos</t>
  </si>
  <si>
    <t>% Admin CF</t>
  </si>
  <si>
    <t>$ Admin CF</t>
  </si>
  <si>
    <t xml:space="preserve">Utilidad </t>
  </si>
  <si>
    <t xml:space="preserve">% Utilidad </t>
  </si>
  <si>
    <t xml:space="preserve">$ Utilidad </t>
  </si>
  <si>
    <t>Costos totales Sum</t>
  </si>
  <si>
    <t>Con Instalacion</t>
  </si>
  <si>
    <t>MOD</t>
  </si>
  <si>
    <t xml:space="preserve">%MOI </t>
  </si>
  <si>
    <t xml:space="preserve">$MOI </t>
  </si>
  <si>
    <t>MO Total</t>
  </si>
  <si>
    <t>C. Admin  %</t>
  </si>
  <si>
    <t>$ C. Admin</t>
  </si>
  <si>
    <t>Utilidad %</t>
  </si>
  <si>
    <t>Total Instalacion</t>
  </si>
  <si>
    <t>Total Costos con inst</t>
  </si>
  <si>
    <t xml:space="preserve">Costos de empaque por unidad de producto basado en el costo de un auxiliar de empaque. El costo del auxiliar que se presenta es de un turno (día) de 8 horas laboradas. </t>
  </si>
  <si>
    <t>Cantidad paquetes</t>
  </si>
  <si>
    <t>Nombre Producto</t>
  </si>
  <si>
    <t>Tiempo Estándar (s)</t>
  </si>
  <si>
    <t>Capacidad (unidad/hora)</t>
  </si>
  <si>
    <t>Costo por unidad (COP)</t>
  </si>
  <si>
    <t>Costos</t>
  </si>
  <si>
    <t>Armario</t>
  </si>
  <si>
    <t>AUXILIAR</t>
  </si>
  <si>
    <t>Cajonera</t>
  </si>
  <si>
    <t>Closet</t>
  </si>
  <si>
    <t>Vestier</t>
  </si>
  <si>
    <t>Mano de obra directo</t>
  </si>
  <si>
    <t>Mueble alto cocina</t>
  </si>
  <si>
    <t>Pieza</t>
  </si>
  <si>
    <t>Precio unidad</t>
  </si>
  <si>
    <t>Precio conjunto</t>
  </si>
  <si>
    <t>Mueble bajo cocina recto</t>
  </si>
  <si>
    <t xml:space="preserve">Mueble baño </t>
  </si>
  <si>
    <t>Referencia</t>
  </si>
  <si>
    <t>Sustrato</t>
  </si>
  <si>
    <t>Acadado</t>
  </si>
  <si>
    <t xml:space="preserve">Calibre </t>
  </si>
  <si>
    <t>Costo clientes antes de IVA</t>
  </si>
  <si>
    <t>ST</t>
  </si>
  <si>
    <t>No aplica</t>
  </si>
  <si>
    <t>CRUDO PR RH</t>
  </si>
  <si>
    <t>RH</t>
  </si>
  <si>
    <t>ARTICO PR ST</t>
  </si>
  <si>
    <t>Mate</t>
  </si>
  <si>
    <t>ARTICO PR RH</t>
  </si>
  <si>
    <t>MALI PR ST</t>
  </si>
  <si>
    <t>Poro</t>
  </si>
  <si>
    <t>MALI PR RH</t>
  </si>
  <si>
    <t>GLAZÉ PR ST</t>
  </si>
  <si>
    <t>GLAZÉ PR RH</t>
  </si>
  <si>
    <t>MADERADO PR ST</t>
  </si>
  <si>
    <t>Amaz/Luna/Terra/Poro/Mate</t>
  </si>
  <si>
    <t>MADERADO PR RH</t>
  </si>
  <si>
    <t xml:space="preserve"> UNICOLOR PR ST</t>
  </si>
  <si>
    <t xml:space="preserve"> UNICOLOR PR RH</t>
  </si>
  <si>
    <t>PRIMAFORZA PR ST</t>
  </si>
  <si>
    <t>PRIMAFORZA PR RH</t>
  </si>
  <si>
    <t xml:space="preserve">MDF AR ST </t>
  </si>
  <si>
    <t>Arauco</t>
  </si>
  <si>
    <t>MDF AR ST</t>
  </si>
  <si>
    <t>PVCantos</t>
  </si>
  <si>
    <t>RIGIDO PV</t>
  </si>
  <si>
    <t>FLEXIBLE IN</t>
  </si>
  <si>
    <t>INCAPLAS</t>
  </si>
  <si>
    <t>SEMI RIGIDO IN</t>
  </si>
  <si>
    <t>RIGIDO IN</t>
  </si>
  <si>
    <t>FLEXIBLE TE</t>
  </si>
  <si>
    <t>TECE</t>
  </si>
  <si>
    <t>RIGIDO TE</t>
  </si>
  <si>
    <t>FLEXIBLE SC</t>
  </si>
  <si>
    <t>SANTA CRUZ</t>
  </si>
  <si>
    <t>RIGIDO SC</t>
  </si>
  <si>
    <t>FLEXIBLE RE</t>
  </si>
  <si>
    <t>REHAU</t>
  </si>
  <si>
    <t>RIGIDO RE</t>
  </si>
  <si>
    <t>ACCES PERFIL CLICK 6017T/6020T 50 MM. 20 PAR</t>
  </si>
  <si>
    <t>GM</t>
  </si>
  <si>
    <t>BASURERO SENCILLO 9L.6 UN</t>
  </si>
  <si>
    <t>BASURERO*2 GAV SOFTCLOSING GRIS. 1 UN</t>
  </si>
  <si>
    <t>BASURERO*3 GAV SOFTCLOSING GRIS. 1 UN</t>
  </si>
  <si>
    <t>BISAGRA EMBEBIDA SOFT CLOSING.200 UN</t>
  </si>
  <si>
    <t>BISAGRA EMBEBIDA.200 UN</t>
  </si>
  <si>
    <t>BISAGRA OMEGA 4" Acero Inox.</t>
  </si>
  <si>
    <t>Madecentro - Bonuit</t>
  </si>
  <si>
    <t>Bisagra parche cierre lento 110° Acero Inox. 35mm x 11,8mm</t>
  </si>
  <si>
    <t>Bisagra parche cierre lento 165° Acero Inox. 35mm x 11,8mm</t>
  </si>
  <si>
    <t>Bisagra parche cierre lento 45° Acero Inox. 35mm x 11,8mm</t>
  </si>
  <si>
    <t>Bisagra parche cierre lento 90° Acero Inox. 35mm x 11,8mm</t>
  </si>
  <si>
    <t>Bisagra parche cierre lento 95° Acero Inox. 35mm x 11,8mm</t>
  </si>
  <si>
    <t>BISAGRA PARCHE NORMAL.200 UN</t>
  </si>
  <si>
    <t>BISAGRA PARCHE SOFTCLOSING.200 UN</t>
  </si>
  <si>
    <t xml:space="preserve">BISAGRA RESORTE 4" Acero Inox. </t>
  </si>
  <si>
    <t>Homecenter</t>
  </si>
  <si>
    <t>BISAGRA SEMIPARCHE NORMAL.200 UN</t>
  </si>
  <si>
    <t>BISAGRA SEMIPARCHE SOFTCLOSING.200 UN</t>
  </si>
  <si>
    <t>BOETELLO SENCILLO CIERRE NORMAL. 1 UN</t>
  </si>
  <si>
    <t>BOTELLERO LATERAL 2 NIV SOTF 95.5*473*502 DER.1 UN</t>
  </si>
  <si>
    <t>BOTELLERO LATERAL 2 NIV SOTF 95.5*473*502 IZQUI. 1 UN</t>
  </si>
  <si>
    <t>BRAZO ALPHA SOFT CLOSING. 10UN</t>
  </si>
  <si>
    <t>BRAZO DOBLEPUERTA PLEGADIZA 527*190*101.5 MEDIUM.5 UN</t>
  </si>
  <si>
    <t>BRAZO DOBLEPUERTA PLEGADIZA HEAVY - PESADO.5 UN</t>
  </si>
  <si>
    <t>BRAZO ELEVABLE SOFT CLOSING 4KG DERECHO.5 UN</t>
  </si>
  <si>
    <t>BRAZO ELEVABLE SOFT CLOSING 4KG IZQUIERDO.5 UN</t>
  </si>
  <si>
    <t>BRAZO ELEVABLE SOFT CLOSING 6KG DERECHO. 20 UN</t>
  </si>
  <si>
    <t>BRAZO ELEVABLE SOFT CLOSING 6KG IZQUIERDO. 20 UN</t>
  </si>
  <si>
    <t>BRAZO NEUMATICO 100N.100 UN</t>
  </si>
  <si>
    <t>BRAZO NEUMATICO 120N.100 UN</t>
  </si>
  <si>
    <t>BRAZO NEUMATICO 150 N.100 UN</t>
  </si>
  <si>
    <t>BRAZO NEUMATICO 50N.100 UN</t>
  </si>
  <si>
    <t>BRAZO NEUMATICO 60 N MINI.100 UN</t>
  </si>
  <si>
    <t>BRAZO NEUMATICO 60N.100 UN</t>
  </si>
  <si>
    <t>BRAZO NEUMATICO 80N.100 UN</t>
  </si>
  <si>
    <t>Brazo neumatico cierre lento 100nw Acero - plastico. 600mm altura</t>
  </si>
  <si>
    <t>Brazo neumatico cierre lento 120nw Acero - plastico. 600mm altura</t>
  </si>
  <si>
    <t>Brazo neumatico cierre lento 60nw Acero - plastico. 600mm altura</t>
  </si>
  <si>
    <t>Brazo neumatico cierre lento 80nw Acero - plastico. 600mm altura</t>
  </si>
  <si>
    <t>CANTONEIRA 50. 1SET</t>
  </si>
  <si>
    <t>CERRADURA COMB. 4 DIGITOS DERECHA. 64 UN</t>
  </si>
  <si>
    <t>CERRADURA COMB. 4 DIGITOS IZQUIERDA. 64 UN</t>
  </si>
  <si>
    <t>CERRADURA GAB. DIGITAL CON PANEL TACTIL. 1 UN</t>
  </si>
  <si>
    <t>CERRADURA NEGRA FL. 25 UN</t>
  </si>
  <si>
    <t>CERRADURA NEGRA ML. 12 UN</t>
  </si>
  <si>
    <t>CERRADURA ZIN ML. 12 UN</t>
  </si>
  <si>
    <t>CERRADURA ZINC FL. 25 UN</t>
  </si>
  <si>
    <t>Cinta led. 10w - calida. 5m</t>
  </si>
  <si>
    <t>CORRED. GABINETE 14 OVER SIN ALETA.20 JG</t>
  </si>
  <si>
    <t>CORRED.SOFT. INVISIBLE 350MM (14 ) 2D.15 JG</t>
  </si>
  <si>
    <t>CORRED.SOFT. INVISIBLE 350MM (14) 3D.10 JG</t>
  </si>
  <si>
    <t>CORRED.SOFT. INVISIBLE 400MM (14) 3D.10 JG</t>
  </si>
  <si>
    <t>CORRED.SOFT. INVISIBLE 450MM (14) 3D.10 JG</t>
  </si>
  <si>
    <t>CORRED.SOFT. INVISIBLE 500MM (14) 3D.10 JG</t>
  </si>
  <si>
    <t>CORRED.TELES. 250MM (10) 75 LB.15 JG</t>
  </si>
  <si>
    <t>CORRED.TELES. 300MM (12) 100 LB.15 JG</t>
  </si>
  <si>
    <t>CORRED.TELES. 300MM (12) 50 LB.20 JG</t>
  </si>
  <si>
    <t>CORRED.TELES. 300MM (14) 75 LB.15 JG</t>
  </si>
  <si>
    <t>CORRED.TELES. 350MM (14) 50 LB.20 JG</t>
  </si>
  <si>
    <t>CORRED.TELES. 350MM (14) 75 LB.15 JG</t>
  </si>
  <si>
    <t>CORRED.TELES. 350MM (16) 100 LB.15 JG</t>
  </si>
  <si>
    <t>CORRED.TELES. 400MM (16) 100 LB.15 JG</t>
  </si>
  <si>
    <t>CORRED.TELES. 400MM (16) 50 LB.20 JG</t>
  </si>
  <si>
    <t>CORRED.TELES. 400MM (16) 75 LB.15 JG</t>
  </si>
  <si>
    <t>CORRED.TELES. 450MM (18) 100 LB.15 JG</t>
  </si>
  <si>
    <t>CORRED.TELES. 450MM (18) 50 LB.20 JG</t>
  </si>
  <si>
    <t>CORRED.TELES. 450MM (18) 75 LB.15 JG</t>
  </si>
  <si>
    <t>CORRED.TELES. 500MM (20) 100 LB.15 JG</t>
  </si>
  <si>
    <t>CORRED.TELES. 500MM (20) 75 LB.15 JG</t>
  </si>
  <si>
    <t>CORRED.TELES. 550MM (22) 100 LB.15 JG</t>
  </si>
  <si>
    <t>CORRED.TELES. 600MM (24) 100 LB.15 JG</t>
  </si>
  <si>
    <t>CORRED.TELES. 650MM (26) 100 LB.15 JG</t>
  </si>
  <si>
    <t>CORRED.TELES. SOFT CLOSING 300MM (12).15 JG</t>
  </si>
  <si>
    <t>CORRED.TELES. SOFT CLOSING 350MM (14).15 JG</t>
  </si>
  <si>
    <t>CORRED.TELES. SOFT CLOSING 400MM (16).15 JG</t>
  </si>
  <si>
    <t>CORRED.TELES. SOFT CLOSING 450MM (18).15 JG</t>
  </si>
  <si>
    <t>CORRED.TELES. SOFT CLOSING 500MM (20).15 JG</t>
  </si>
  <si>
    <t>CORRED.TELES. TOUCH OPEN 300MM (12).15 JG</t>
  </si>
  <si>
    <t>CORRED.TELES. TOUCH OPEN 350MM (14).15 JG</t>
  </si>
  <si>
    <t>CORRED.TELES. TOUCH OPEN 400MM (16).15 JG</t>
  </si>
  <si>
    <t>CORRED.TELES. TOUCH OPEN 450MM (18).15 JG</t>
  </si>
  <si>
    <t>CORRED.TELES. TOUCH OPEN 500MM (20).15 JG</t>
  </si>
  <si>
    <t>Corredera lateral cierre lento ext. Acero Inox. 30cm</t>
  </si>
  <si>
    <t>Corredera lateral cierre lento ext. Acero Inox. 35cm</t>
  </si>
  <si>
    <t>Corredera lateral cierre lento ext. Acero Inox. 40cm</t>
  </si>
  <si>
    <t>Corredera lateral cierre lento ext. Acero Inox. 45cm</t>
  </si>
  <si>
    <t>Corredera lateral cierre lento ext. Acero Inox. 50cm</t>
  </si>
  <si>
    <t>Corredera lateral cierre lento ext. Acero Inox. 55cm</t>
  </si>
  <si>
    <t>Corredera oculta cierre lento ext. Acero Inox. 30cm</t>
  </si>
  <si>
    <t>Corredera oculta cierre lento ext. Acero Inox. 35cm</t>
  </si>
  <si>
    <t>Corredera oculta cierre lento ext. Acero Inox. 40cm</t>
  </si>
  <si>
    <t>Corredera oculta cierre lento ext. Acero Inox. 45cm</t>
  </si>
  <si>
    <t>Corredera oculta cierre lento ext. Acero Inox. 50cm</t>
  </si>
  <si>
    <t>Corredera oculta cierre lento ext. Acero Inox. 55cm</t>
  </si>
  <si>
    <t>CUBERTERO W420*H50*D473. 20 UN</t>
  </si>
  <si>
    <t>CUBERTERO W520*H50*D473. 20 UN</t>
  </si>
  <si>
    <t>CUBERTERO W620*H50*D473. 20 UN</t>
  </si>
  <si>
    <t>DESPENSA ABATIBLE SOFT *6 GRIS W40*D500*H1820. 1 UN</t>
  </si>
  <si>
    <t>DESPENSA EXTR. SOFT *5 GRIS W345*D490*H(1570-1870). 1 UN</t>
  </si>
  <si>
    <t>Empaque contrafuego</t>
  </si>
  <si>
    <t>Empaque Hafele Acustico. Rollo x 25m</t>
  </si>
  <si>
    <t>Hafele</t>
  </si>
  <si>
    <t>ESQUINA MAGICA DERECHA. 1 UN</t>
  </si>
  <si>
    <t>ESQUINA MAGICA IZQUIERDA. 1 UN</t>
  </si>
  <si>
    <t>Fuente de poder slim. 12v - 36w</t>
  </si>
  <si>
    <t>Ecolite</t>
  </si>
  <si>
    <t>Fuente de poder slim. 24v</t>
  </si>
  <si>
    <t>Fervicom</t>
  </si>
  <si>
    <t>GEMBOX H119 505MM GAL CUAD BLANCO + SIST DIVISION CAJON GEMBOX 04128 500 MM BLANCO. 6 UN</t>
  </si>
  <si>
    <t>GEMBOX H183 456MM GAL CUAD BLANCO + SIST DIVISION CAJON GEMBOX 04128 450 MM BLANCO. 6 UN</t>
  </si>
  <si>
    <t>GEMBOX H183 505MM GAL REDON GRIS OSC + SIST DIVISION CAJON GEMBOX 04128 500 MM BLANCO. 6 UN</t>
  </si>
  <si>
    <t>GEMBOX H183 507MM GAL CUAD BLANCO + SIST DIVISION CAJON GEMBOX 04128 500 MM BLANCO. 6 UN</t>
  </si>
  <si>
    <t>GEMBOX H68 350MM SIN GAL GRIS OSC. 6 UN</t>
  </si>
  <si>
    <t>GEMBOX H68 500MM SIN GAL BLANCO. 6 UN</t>
  </si>
  <si>
    <t>GEMBOX H68 500MM SIN GAL GRIS OSC. 6 UN</t>
  </si>
  <si>
    <t>INCERTO 13MM ROSCA M-6. 1 UN</t>
  </si>
  <si>
    <t>KIT CAVA 01.02.03 ANOD/JATO. 1KIT</t>
  </si>
  <si>
    <t>KIT ESCURREPLATOS DE 60 CM (GE). 1 UN</t>
  </si>
  <si>
    <t>KIT ESCURREPLATOS DE 70CM.1 UN</t>
  </si>
  <si>
    <t>KIT ESCURREPLATOS DE 80CM.1 UN</t>
  </si>
  <si>
    <t>MINI FIX ZINCADO (CAM+COMBI). 4000 UN</t>
  </si>
  <si>
    <t>Mirilla puerta. Acero Inox. 15cm</t>
  </si>
  <si>
    <t>OMEGABOX H151 351MM GRIS OSCURO. 5 UN</t>
  </si>
  <si>
    <t>OMEGABOX H151 451MM BLANCO.5 UN</t>
  </si>
  <si>
    <t>OMEGABOX H151 451MM GRIS OSCURO. 5 UN</t>
  </si>
  <si>
    <t>OMEGABOX H151 501MM BLANCO. 5 UN</t>
  </si>
  <si>
    <t>OMEGABOX H151 501MM GRIS OSCURO. 5 UN</t>
  </si>
  <si>
    <t>OMEGABOX H68 350MM BLANCO. 5 UN</t>
  </si>
  <si>
    <t>OMEGABOX H68 350MM GRIS OSCURO. 5 UN</t>
  </si>
  <si>
    <t>OMEGABOX H68 450MM GRIS OSCURO. 5 UN</t>
  </si>
  <si>
    <t>OMEGABOX H68 500MM BLANCO. 5 UN</t>
  </si>
  <si>
    <t>OMEGABOX H68 500MM GRIS OSCURO. 5 UN</t>
  </si>
  <si>
    <t>PEFIL PUX 4030T INOX ESCOVADO 3.0 MT 18MM. 10 UN</t>
  </si>
  <si>
    <t>PERFIL 1045 INOX ESCOVADO 3MT VIDRIO 4MM. 10 UN</t>
  </si>
  <si>
    <t>PERFIL 1045 JAT ANOD 3MT VIDRIO 4MM. 10 UN</t>
  </si>
  <si>
    <t>PERFIL CLICK PUX 6017T INOX ESCOVADO 18MM. 10 UN</t>
  </si>
  <si>
    <t>PERFIL CLICK PUX 6017T JAT ANOD 3.0 MT 18MM. 10 UN</t>
  </si>
  <si>
    <t>PERFIL CLOSET INF FORM 1052 JAT ANOD 3.0 MT. 10 UN</t>
  </si>
  <si>
    <t>PERFIL CLOSET INF Y SUP 1050 JAT ANOD 3.0 MT. 10 UN</t>
  </si>
  <si>
    <t>PERFIL CLOSET SUP FORM 1055 JAT ANOD 3.0 MT. 10 UN</t>
  </si>
  <si>
    <t>PERFIL CON CLICK 6014T JAT ANOD 3.0 MT 15MM. 10 UN</t>
  </si>
  <si>
    <t>PERFIL FORM 7007T JAT ANOD 3.0 MT 15MM. 10 UN</t>
  </si>
  <si>
    <t>PERFIL FORM 8007T JAT ANOD 3.0 MT 15MM. 10 UN</t>
  </si>
  <si>
    <t>PERFIL FUX 6003 JAT ANOD 2.65 MT 18MM. 10 UN</t>
  </si>
  <si>
    <t>PERFIL FUX 6003 JAT ANOD 2.70 MT 15MM. 10 UN</t>
  </si>
  <si>
    <t>Perfil led de incrustar con difusor Acero - plastico. 3m</t>
  </si>
  <si>
    <t>PERFIL LINEA FORM 2038 JAT ANOD 3.0 MT. 10 UN</t>
  </si>
  <si>
    <t>PERFIL PUX 2028 JAT ANOD 3.0 MT. 10 UN</t>
  </si>
  <si>
    <t>PERFIL PUX 3180T INOX ESCOVADO 3MT VIDRIO 4MM. 10 UN</t>
  </si>
  <si>
    <t>PERFIL PUX 3180T JAT ANOD 3MT VIDRIO 4MM. 10 UN</t>
  </si>
  <si>
    <t>PERFIL PUX 4030T JAT ANOD 3.0 MT 18MM. 10 UN</t>
  </si>
  <si>
    <t>PERFIL PUX 5013T INOX ESCOVADO 3.0 MT 18MM. 10 UN</t>
  </si>
  <si>
    <t>PERFIL PUX 5013T JAT ANOD 3.0 MT 18MM. 10 UN</t>
  </si>
  <si>
    <t>PERFIL PUX 5046T JAT ANOD 3.0 MT 15MM. 10 UN</t>
  </si>
  <si>
    <t>PERFIL PUX 6014T INOX ESCOVADO 3.0 MT 15MM. 10 UN</t>
  </si>
  <si>
    <t>PERFIL PUX AREZZO 1 MM NEGRO 3.0 MT. 10 UN</t>
  </si>
  <si>
    <t>PERFIL PUX AREZZO 18 MM BLANCO FOSCO 3.0 MT. 10 UN</t>
  </si>
  <si>
    <t>PERFIL PUX AREZZO 18MM GRAFITE 3.0 MT PLIBL. 10 UN</t>
  </si>
  <si>
    <t>PERFIL PUX AREZZO 18MM ROSE 30 MT PLIBL. 10 UN</t>
  </si>
  <si>
    <t>PERFIL PUX CAVA 02 INOX ESCOVADO 3.0 MT PLIBL. 10 UN</t>
  </si>
  <si>
    <t>PERFIL PUX CAVA 03 INOX ESCOVADO 3.0 MT PLIBL. 10 UN</t>
  </si>
  <si>
    <t>PERFIL PUX GRAZ JAT ANOD 3.0 MT (MANIJA). 5 UN</t>
  </si>
  <si>
    <t>PERFIL PUX STRETTO JAT ANOD 3.0 MT ( MANIJA). 5 UN</t>
  </si>
  <si>
    <t>PERFIL PUX STRETTO NEGRO 3.0 MT ( MANIJA). 5 UN</t>
  </si>
  <si>
    <t>PERFIL THIN 01 BRONZE (BRONCE) 1001 3.0 MT PLIBL. 10 UN</t>
  </si>
  <si>
    <t>PERFIL THIN 01 PRETO (NEGRO) 3.0 MT PLIBL. 10 UN</t>
  </si>
  <si>
    <t>PERFIL THIN 01 ROSE (ROSA) 3.0 MT PLIBL. 10 UN</t>
  </si>
  <si>
    <t>PERFIL THIN 02 BRONZE (BRONCE) 1001 3.0 MT PLIBL. 10 UN</t>
  </si>
  <si>
    <t>PERFIL THIN 02 PRETO (NEGRO) 3.0 MT PLIBL. 10 UN</t>
  </si>
  <si>
    <t>PUNTEIRA 12 LAT DIR E ESQ AREZZO 18MM GRAFITE. 20 PAR</t>
  </si>
  <si>
    <t>PUNTEIRA 12 LAT DIR E ESQ AREZZO 18MM ROSE. 20 PAR</t>
  </si>
  <si>
    <t>PUNTERA 07 5013 T ANOD (PR). 20 PAR</t>
  </si>
  <si>
    <t>PUNTERA 07 5013T INOX ESCOVADO (PR). 20 PAR</t>
  </si>
  <si>
    <t>PUNTERA 07 ANOD (PR). 20 PAR</t>
  </si>
  <si>
    <t>PUNTERA 10 5046T JAT ANOD. 20 PAR</t>
  </si>
  <si>
    <t>PUNTERA 11 6015T INOX ESC (PR). 20 PAR</t>
  </si>
  <si>
    <t>PUNTERA 11 LAT 15 MM ANOD (PR). 20 PAR</t>
  </si>
  <si>
    <t>PUNTERA 12 LAT DIR E ESQ AREZZO 18 MM ANOD (PR). 20 PAR</t>
  </si>
  <si>
    <t>PUNTERA 12 LAT DIR E ESQ AREZZO 18 MM BLANCA (PR). 20 PAR</t>
  </si>
  <si>
    <t>PUNTERA 12 LAT DIR E ESQ AREZZO 18 MM NEGRA (PR). 20 PAR</t>
  </si>
  <si>
    <t>PUNTERA 15 4030T ANOD (PR). 20 PAR</t>
  </si>
  <si>
    <t>PUNTERA 15 4030T INOX ESCOVADO (PR). 20 PAR</t>
  </si>
  <si>
    <t>PUNTERA 16 7007T ANODIZADO-PAR. 10 UN</t>
  </si>
  <si>
    <t>PUNTERA 17 GRAZ ANODIZADA. 20 UN</t>
  </si>
  <si>
    <t>PUNTERA 19 LAT STRETTO ANODIZADO. 20 UN</t>
  </si>
  <si>
    <t>PUNTERA 19 LAT STRETTO NEGRA. 20 UN</t>
  </si>
  <si>
    <t>PUNTERA 26 4023 INOX ESCOVADO (PR). 20 PAR</t>
  </si>
  <si>
    <t>PUNTERA 26 4023 JAT ANOD (PR). 20 PAR</t>
  </si>
  <si>
    <t>PUNTERA 42 8007T INOX ESCOVADO. 10 UN</t>
  </si>
  <si>
    <t>SIST DIVISION CAJON GEMBOX 04128 450 MM BLANCO. 1 UN</t>
  </si>
  <si>
    <t>SIST DIVISION CAJON GEMBOX 04128 500 MM BLANCO. 1 UN</t>
  </si>
  <si>
    <t>SIST DIVISION CAJON GEMBOX 04196 500 MM GRIS OSCUR. 1 UN</t>
  </si>
  <si>
    <t>SISTEMA AL32 (1 PUERTA). 50UN</t>
  </si>
  <si>
    <t>SISTEMA AL36 SOFT CLSOING (CLOSET SIMPLE). 30UN</t>
  </si>
  <si>
    <t>SISTEMA AL37 SOFT CLSOING (CLOSET SIMPLE). 20UN</t>
  </si>
  <si>
    <t>SISTEMA AL58 CON GUIA AUTO AJUSTABLE GA06. 50UN</t>
  </si>
  <si>
    <t>SISTEMA CAJON INTERNO H68 350MM BLANCO. 6 UN</t>
  </si>
  <si>
    <t>SISTEMA CAJON INTERNO H68 350MM GRIS. 6 UN</t>
  </si>
  <si>
    <t>SISTEMA CAJON INTERNO H68 450MM BLANCO. 6 UN</t>
  </si>
  <si>
    <t>SISTEMA CAJON INTERNO H68 450MM GRIS. 6 UN</t>
  </si>
  <si>
    <t>SISTEMA CAJON INTERNO H68 500MM GRIS. 6 UN</t>
  </si>
  <si>
    <t>SOPORTE DE FIJACIÓN 90º THIN. 10 UN</t>
  </si>
  <si>
    <t>SOPORTE DE FIJACIÓN THIN. 10 UN</t>
  </si>
  <si>
    <t>SOPORTE DE TECHO THIN. 10 UN</t>
  </si>
  <si>
    <t>SOPORTE EN ZAMAC PARA TUBO METALICO DE 15MM. 2000 UN</t>
  </si>
  <si>
    <t>SOPORTE ENTREPAÑO TRANSPARENTE. 1000 UN</t>
  </si>
  <si>
    <t>TAPA MINI FIX ZINCADO EUROPA CAFÉ. 1000 UN</t>
  </si>
  <si>
    <t>TAPA MINI FIX ZINCADO USA BLANCO. 1000 UN</t>
  </si>
  <si>
    <t>TAPA MINI FIX ZINCADO USA GRIS CLARO. 1000 UN</t>
  </si>
  <si>
    <t>TRAMPA DOBLE PUNTO. 100 SET</t>
  </si>
  <si>
    <t>TUBO OVALADO 3MTS. 10 UN</t>
  </si>
  <si>
    <t>TUBO TECHO BRONZE (BRONCE) 35MM THIN. 10 UN</t>
  </si>
  <si>
    <t>TUBO TECHO NEGRO 35MM THIN. 10 UN</t>
  </si>
  <si>
    <t>TUBO TECHO ROSE (ROSA) 35MM THIN. 10 UN</t>
  </si>
  <si>
    <t>VARILLA CON ACCESORIOS 1200 MM FL PIN 8. 100 SET</t>
  </si>
  <si>
    <t>VARILLA CON ACCESORIOS 600MM ML. 120 SET</t>
  </si>
  <si>
    <t>VARILLA CON ACCESORIOS 600MM PIN 13. 100 SET</t>
  </si>
  <si>
    <t>VARILLA CON ACCESORIOS 600MM PIN 8. 100 SET</t>
  </si>
  <si>
    <t>VERTEBRA CUBRECABLE GRIS PLATA. 25 UN</t>
  </si>
  <si>
    <t>VERTEBRA CUBRECABLE NEGRA 75 CM. 25UN</t>
  </si>
  <si>
    <t>Informacion Estandar</t>
  </si>
  <si>
    <t>CAPACIDAD X DIA</t>
  </si>
  <si>
    <t>OPERARIO</t>
  </si>
  <si>
    <t>TOTAL</t>
  </si>
  <si>
    <t>Costo Unidad</t>
  </si>
  <si>
    <t>Costo total</t>
  </si>
  <si>
    <t>CAPACIDAD X DIA (m)</t>
  </si>
  <si>
    <t>Operario</t>
  </si>
  <si>
    <t>PRECIO OPERACIÓN</t>
  </si>
  <si>
    <t>PIEZA</t>
  </si>
  <si>
    <t>Largo</t>
  </si>
  <si>
    <t xml:space="preserve">perforaciones </t>
  </si>
  <si>
    <t xml:space="preserve">fresados </t>
  </si>
  <si>
    <t xml:space="preserve">canal </t>
  </si>
  <si>
    <t>caja bisagra</t>
  </si>
  <si>
    <t>Dilatacion</t>
  </si>
  <si>
    <t>Precio  por pieza</t>
  </si>
  <si>
    <t xml:space="preserve">BAÑO COSTADO </t>
  </si>
  <si>
    <t>BAÑO DINTEL</t>
  </si>
  <si>
    <t xml:space="preserve">BAÑO DIVISIÓN VERTICAL </t>
  </si>
  <si>
    <t>BAÑO EMBISAGRADOR</t>
  </si>
  <si>
    <t>BASE CAMPANA MAC C/E</t>
  </si>
  <si>
    <t>BASE CAMPANA MAC S/E</t>
  </si>
  <si>
    <t>BASE MAC C/E</t>
  </si>
  <si>
    <t>BASE MAC S/E</t>
  </si>
  <si>
    <t>BASE MBC CON HORNO</t>
  </si>
  <si>
    <t>BASE MBC SIN HORNO</t>
  </si>
  <si>
    <t>CABEZAL</t>
  </si>
  <si>
    <t>CACHETERO</t>
  </si>
  <si>
    <t>COSTADO CAJON</t>
  </si>
  <si>
    <t>COSTADO CAJONERA</t>
  </si>
  <si>
    <t>COSTADO RETROCEDIDO</t>
  </si>
  <si>
    <t>COSTADO VISTO</t>
  </si>
  <si>
    <t>COSTADO MAC C/E</t>
  </si>
  <si>
    <t>COSTADO MAC S/E</t>
  </si>
  <si>
    <t>COSTADO MBC</t>
  </si>
  <si>
    <t>COSTADO MUEBLE</t>
  </si>
  <si>
    <t>COSTADO MUEBLE 1Un.</t>
  </si>
  <si>
    <t>CUCHILLAS</t>
  </si>
  <si>
    <t>DILATADOR</t>
  </si>
  <si>
    <t>DINTEL y/o BASE HORIZONTAL</t>
  </si>
  <si>
    <t>DINTEL y/o BASE VERTICAL</t>
  </si>
  <si>
    <t>DIVISION CAJONERA</t>
  </si>
  <si>
    <t>DIVISION MAC C/E</t>
  </si>
  <si>
    <t>DIVISION MAC S/E</t>
  </si>
  <si>
    <t>DIVISIÓN MBC</t>
  </si>
  <si>
    <t>DIVISION MUEBLE</t>
  </si>
  <si>
    <t>EMBISAGRADOR 18mm</t>
  </si>
  <si>
    <t>EMBISAGRADOR 36mm</t>
  </si>
  <si>
    <t>EMBISAGRADOR MAC Y MBC</t>
  </si>
  <si>
    <t>EMBISAGRADOR W</t>
  </si>
  <si>
    <t>ENTREPAÑO CON REFUERZO</t>
  </si>
  <si>
    <t>ENTREPAÑO CON SOPORTE</t>
  </si>
  <si>
    <t>ENTREPAÑO ENTAMBORADO</t>
  </si>
  <si>
    <t>ENTREPAÑO ESQUINERO</t>
  </si>
  <si>
    <t>ENTREPAÑO FIJO MAC</t>
  </si>
  <si>
    <t>ENTREPAÑO MOVIL MAC</t>
  </si>
  <si>
    <t>ENTREPAÑO SIN REFUERZO</t>
  </si>
  <si>
    <t>ENTREPAÑO SOLIDO</t>
  </si>
  <si>
    <t>ESPALDAR</t>
  </si>
  <si>
    <t>ESPALDAR VISTO</t>
  </si>
  <si>
    <t>FONDO DE CAJON</t>
  </si>
  <si>
    <t>FRENTE CAJON</t>
  </si>
  <si>
    <t>FRENTE CAJON 30°</t>
  </si>
  <si>
    <t>FRENTE CONDIMENTERO</t>
  </si>
  <si>
    <t>FRENTE FIJO</t>
  </si>
  <si>
    <t>FRENTERO</t>
  </si>
  <si>
    <t>GUARDAESCOBAS 1 CANTO</t>
  </si>
  <si>
    <t>GUARDAESCOBAS 2 CANTOS</t>
  </si>
  <si>
    <t>LARGUERO</t>
  </si>
  <si>
    <t>MALETERO CON REFUERZO</t>
  </si>
  <si>
    <t>MALETERO SIN REFUERZO</t>
  </si>
  <si>
    <t>MALETERO SOLIDO</t>
  </si>
  <si>
    <t>PUENTES</t>
  </si>
  <si>
    <t>PUERTA</t>
  </si>
  <si>
    <t>PUERTA 30°</t>
  </si>
  <si>
    <t>PUERTA CORREDERA</t>
  </si>
  <si>
    <t>PUERTA CORREDERA 1 ENSAMBLE</t>
  </si>
  <si>
    <t>PUERTA CORREDERA 2 DILA</t>
  </si>
  <si>
    <t>PUERTA CORREDERA 2 ENSAMBLE</t>
  </si>
  <si>
    <t>PUERTA CORREDERA 3 DILA</t>
  </si>
  <si>
    <t>PUERTA CORREDERA 4 DILA</t>
  </si>
  <si>
    <t>PUERTA EMBISAGRADA</t>
  </si>
  <si>
    <t>PUERTA EMBISAGRADA 1 ENSAMBLE</t>
  </si>
  <si>
    <t>PUERTA EMBISAGRADA 2 DILA</t>
  </si>
  <si>
    <t>PUERTA EMBISAGRADA 2 ENSAMBLE</t>
  </si>
  <si>
    <t>PUERTA EMBISAGRADA 3 DILA</t>
  </si>
  <si>
    <t>PUERTA EMBISAGRADA 4 DILA</t>
  </si>
  <si>
    <t>REFUERZO</t>
  </si>
  <si>
    <t>REFUERZO VERTICAL</t>
  </si>
  <si>
    <t>SOPORTE HORNO</t>
  </si>
  <si>
    <t>TAPA BASE MUEBLE</t>
  </si>
  <si>
    <t>TAPA CAJONERA</t>
  </si>
  <si>
    <t>TAPA MAC C/E</t>
  </si>
  <si>
    <t>TAPA MAC S/E</t>
  </si>
  <si>
    <t>TAPA RIEL</t>
  </si>
  <si>
    <t>TESTERO</t>
  </si>
  <si>
    <t>TRAVESAÑO</t>
  </si>
  <si>
    <t>ZÓCALO</t>
  </si>
  <si>
    <t>ACTIVIDAD</t>
  </si>
  <si>
    <t>PRECIO</t>
  </si>
  <si>
    <t>UNIDAD</t>
  </si>
  <si>
    <t>ENCHAPE FORMICA O CHAPILLA - M2</t>
  </si>
  <si>
    <t>M2</t>
  </si>
  <si>
    <t>MUEBLE ALTO COC. - MTL</t>
  </si>
  <si>
    <t>MTL</t>
  </si>
  <si>
    <t>UND</t>
  </si>
  <si>
    <t>BASE ENSAMBLADA - UND</t>
  </si>
  <si>
    <t>PUERTA O FRENTE MANIJA  CORRIDA - UND</t>
  </si>
  <si>
    <t>PUERTA O FRENTE MANIJA  CORRIDA + PERFIL ALUMINIO - UND</t>
  </si>
  <si>
    <t>Precio final</t>
  </si>
  <si>
    <t>ZURRÓN 2 CAJONES - UND</t>
  </si>
  <si>
    <t>ZURRÓN 4 CAJONES - UND</t>
  </si>
  <si>
    <t>ZURRÓN 5 CAJONES - UND</t>
  </si>
  <si>
    <t>ZURRÓN 6 CAJONES - UND</t>
  </si>
  <si>
    <t>ENTREPAÑO 0 - 600 mm - UND</t>
  </si>
  <si>
    <t>ENTREPAÑO 600 - 1200 mm - UND</t>
  </si>
  <si>
    <t>ENTREPAÑO 1200 EN ADELANTE - UND</t>
  </si>
  <si>
    <t>ENTREPAÑO ENTAMBORADO OMBLIGO - UND</t>
  </si>
  <si>
    <t>REENGRUESE TAPAS O COSTADOS - UND</t>
  </si>
  <si>
    <t>CASILLERO SIN PUERTA- M2</t>
  </si>
  <si>
    <t>CASILLERO CON PUERTA- M2</t>
  </si>
  <si>
    <t>BAÑO ESPALDAR Y CAJÓN - UND</t>
  </si>
  <si>
    <t>BAÑO SIN ESPALDAR Y SIN CAJÓN - UND</t>
  </si>
  <si>
    <t>BAÑO CON ESPALDAR Y SIN CAJÓN - UND</t>
  </si>
  <si>
    <t>BAÑO SIN ESPALDAR Y CON CAJÓN - UND</t>
  </si>
  <si>
    <t>BAÑO ESPECIAL CURVO - UND</t>
  </si>
  <si>
    <t>BAÑO ESPECIAL RECTO - UND</t>
  </si>
  <si>
    <t>CUBO 1 CAJÓN</t>
  </si>
  <si>
    <t>CUBO SIN CAJÓN</t>
  </si>
  <si>
    <t>PUERTA ENTAMB. BATIENTE - UND</t>
  </si>
  <si>
    <t>PUERTA ENTAMB. CON MIRILLA O PERSIANA - UND</t>
  </si>
  <si>
    <t>PUERTA SÓLIDA ENSAMBLADA 1 UNIÓN - UND</t>
  </si>
  <si>
    <t>PUERTA SÓLIDA ENSAMBLADA 2 UNIONES - UND</t>
  </si>
  <si>
    <t>MARCO DILATADO CON CABEZAL Y BATIENTE REFILADA - UND</t>
  </si>
  <si>
    <t>MARCO NO DILATADO CON CABEZAL Y BATIENTE REFILADA - UND</t>
  </si>
  <si>
    <t>MARCO DILATADO CON CABEZAL Y BATIENTE CENTRADA - UND</t>
  </si>
  <si>
    <t>MARCO NO DILATADO CON CABEZAL Y BATIENTE CENTRADA - UND</t>
  </si>
  <si>
    <t>MARCO DILATADO SIN CABEZAL Y BATIENTE REFILADA - UND</t>
  </si>
  <si>
    <t>MARCO NO DILATADO SIN CABEZAL Y BATIENTE REFILADA- UND</t>
  </si>
  <si>
    <t>MARCO DILATADO SIN CABEZAL Y BATIENTE CENTRADA - UND</t>
  </si>
  <si>
    <t>MARCO NO DILATADO SIN CABEZAL Y BATIENTE CENTRADA - UND</t>
  </si>
  <si>
    <t>PERSIANA MELAMINICO</t>
  </si>
  <si>
    <t>BASE#62</t>
  </si>
  <si>
    <t>BASE#63</t>
  </si>
  <si>
    <t>0,15 m²</t>
  </si>
  <si>
    <t>BASE#77</t>
  </si>
  <si>
    <t>BASE#80</t>
  </si>
  <si>
    <t>0,08 m²</t>
  </si>
  <si>
    <t>BASE#65</t>
  </si>
  <si>
    <t>BASE#64</t>
  </si>
  <si>
    <t>BASE#61</t>
  </si>
  <si>
    <t>0,14 m²</t>
  </si>
  <si>
    <t>BASE#66</t>
  </si>
  <si>
    <t>BASE#67</t>
  </si>
  <si>
    <t>BASE#68</t>
  </si>
  <si>
    <t>BASE#78</t>
  </si>
  <si>
    <t>BASE#79</t>
  </si>
  <si>
    <t>TECHO#67</t>
  </si>
  <si>
    <t>0,29 m²</t>
  </si>
  <si>
    <t>TECHO#68</t>
  </si>
  <si>
    <t>TECHO#69</t>
  </si>
  <si>
    <t>0,47 m²</t>
  </si>
  <si>
    <t>LATERAL DER#109</t>
  </si>
  <si>
    <t>0,45 m²</t>
  </si>
  <si>
    <t>LATERAL DER#110</t>
  </si>
  <si>
    <t>0,43 m²</t>
  </si>
  <si>
    <t>LATERAL DER#6</t>
  </si>
  <si>
    <t>0,36 m²</t>
  </si>
  <si>
    <t>TECHO#58</t>
  </si>
  <si>
    <t>0,23 m²</t>
  </si>
  <si>
    <t>TECHO#62</t>
  </si>
  <si>
    <t>TECHO#66</t>
  </si>
  <si>
    <t>BASE#62 - Longitud del borde 1</t>
  </si>
  <si>
    <t>BASE#62 - Longitud del borde 2</t>
  </si>
  <si>
    <t>BASE#63 - Longitud del borde 1</t>
  </si>
  <si>
    <t>BASE#63 - Longitud del borde 2</t>
  </si>
  <si>
    <t>BASE#64 - Longitud del borde 1</t>
  </si>
  <si>
    <t>BASE#64 - Longitud del borde 2</t>
  </si>
  <si>
    <t>BASE#65 - Longitud del borde 1</t>
  </si>
  <si>
    <t>BASE#65 - Longitud del borde 2</t>
  </si>
  <si>
    <t>BASE#77 - Longitud del borde 1</t>
  </si>
  <si>
    <t>BASE#77 - Longitud del borde 2</t>
  </si>
  <si>
    <t>BASE#80 - Longitud del borde 1</t>
  </si>
  <si>
    <t>BASE#80 - Longitud del borde 2</t>
  </si>
  <si>
    <t>BASE#61 - Longitud del borde 1</t>
  </si>
  <si>
    <t>BASE#61 - Longitud del borde 2</t>
  </si>
  <si>
    <t>BASE#66 - Longitud del borde 1</t>
  </si>
  <si>
    <t>BASE#66 - Longitud del borde 2</t>
  </si>
  <si>
    <t>BASE#67 - Longitud del borde 1</t>
  </si>
  <si>
    <t>BASE#67 - Longitud del borde 2</t>
  </si>
  <si>
    <t>BASE#68 - Longitud del borde 1</t>
  </si>
  <si>
    <t>BASE#68 - Longitud del borde 2</t>
  </si>
  <si>
    <t>BASE#78 - Longitud del borde 1</t>
  </si>
  <si>
    <t>BASE#78 - Longitud del borde 2</t>
  </si>
  <si>
    <t>BASE#79 - Longitud del borde 1</t>
  </si>
  <si>
    <t>BASE#79 - Longitud del borde 2</t>
  </si>
  <si>
    <t>BASE#61 - Ancho de borde 2</t>
  </si>
  <si>
    <t>BASE#61 - Ancho del borde 1</t>
  </si>
  <si>
    <t>BASE#66 - Ancho de borde 2</t>
  </si>
  <si>
    <t>BASE#66 - Ancho del borde 1</t>
  </si>
  <si>
    <t>BASE#67 - Ancho de borde 2</t>
  </si>
  <si>
    <t>BASE#67 - Ancho del borde 1</t>
  </si>
  <si>
    <t>BASE#68 - Ancho de borde 2</t>
  </si>
  <si>
    <t>BASE#68 - Ancho del borde 1</t>
  </si>
  <si>
    <t>TECHO#67 - Longitud del borde 1</t>
  </si>
  <si>
    <t>TECHO#67 - Longitud del borde 2</t>
  </si>
  <si>
    <t>TECHO#68 - Longitud del borde 1</t>
  </si>
  <si>
    <t>TECHO#68 - Longitud del borde 2</t>
  </si>
  <si>
    <t>TECHO#69 - Longitud del borde 1</t>
  </si>
  <si>
    <t>TECHO#69 - Longitud del borde 2</t>
  </si>
  <si>
    <t>TECHO#67 - Ancho de borde 2</t>
  </si>
  <si>
    <t>TECHO#67 - Ancho del borde 1</t>
  </si>
  <si>
    <t>TECHO#68 - Ancho de borde 2</t>
  </si>
  <si>
    <t>TECHO#68 - Ancho del borde 1</t>
  </si>
  <si>
    <t>TECHO#69 - Ancho de borde 2</t>
  </si>
  <si>
    <t>TECHO#69 - Ancho del borde 1</t>
  </si>
  <si>
    <t>BASE#62 - Ancho de borde 2</t>
  </si>
  <si>
    <t>BASE#62 - Ancho del borde 1</t>
  </si>
  <si>
    <t>BASE#63 - Ancho de borde 2</t>
  </si>
  <si>
    <t>BASE#63 - Ancho del borde 1</t>
  </si>
  <si>
    <t>BASE#77 - Ancho de borde 2</t>
  </si>
  <si>
    <t>BASE#77 - Ancho del borde 1</t>
  </si>
  <si>
    <t>BASE#80 - Ancho de borde 2</t>
  </si>
  <si>
    <t>BASE#80 - Ancho del borde 1</t>
  </si>
  <si>
    <t>BASE#65 - Ancho de borde 2</t>
  </si>
  <si>
    <t>BASE#65 - Ancho del borde 1</t>
  </si>
  <si>
    <t>BASE#78 - Ancho de borde 2</t>
  </si>
  <si>
    <t>BASE#78 - Ancho del borde 1</t>
  </si>
  <si>
    <t>BASE#79 - Ancho de borde 2</t>
  </si>
  <si>
    <t>BASE#79 - Ancho del borde 1</t>
  </si>
  <si>
    <t>BASE#64 - Ancho de borde 2</t>
  </si>
  <si>
    <t>BASE#64 - Ancho del borde 1</t>
  </si>
  <si>
    <t>LATERAL DER#109 - Longitud del borde 1</t>
  </si>
  <si>
    <t>LATERAL DER#109 - Longitud del borde 2</t>
  </si>
  <si>
    <t>LATERAL DER#110 - Longitud del borde 1</t>
  </si>
  <si>
    <t>LATERAL DER#110 - Longitud del borde 2</t>
  </si>
  <si>
    <t>LATERAL DER#17 - Longitud del borde 1</t>
  </si>
  <si>
    <t>LATERAL DER#17 - Longitud del borde 2</t>
  </si>
  <si>
    <t>LATERAL DER#6 - Longitud del borde 1</t>
  </si>
  <si>
    <t>LATERAL DER#6 - Longitud del borde 2</t>
  </si>
  <si>
    <t>TECHO#58 - Longitud del borde 1</t>
  </si>
  <si>
    <t>TECHO#58 - Longitud del borde 2</t>
  </si>
  <si>
    <t>TECHO#62 - Longitud del borde 1</t>
  </si>
  <si>
    <t>TECHO#62 - Longitud del borde 2</t>
  </si>
  <si>
    <t>LATERAL DER#109 - Ancho de borde 2</t>
  </si>
  <si>
    <t>LATERAL DER#109 - Ancho del borde 1</t>
  </si>
  <si>
    <t>LATERAL DER#110 - Ancho de borde 2</t>
  </si>
  <si>
    <t>LATERAL DER#110 - Ancho del borde 1</t>
  </si>
  <si>
    <t>TECHO#66 - Longitud del borde 1</t>
  </si>
  <si>
    <t>TECHO#66 - Longitud del borde 2</t>
  </si>
  <si>
    <t>LATERAL DER#15 - Ancho de borde 2</t>
  </si>
  <si>
    <t>LATERAL DER#15 - Ancho del borde 1</t>
  </si>
  <si>
    <t>LATERAL DER#16 - Ancho de borde 2</t>
  </si>
  <si>
    <t>LATERAL DER#16 - Ancho del borde 1</t>
  </si>
  <si>
    <t>LATERAL DER#17 - Ancho de borde 2</t>
  </si>
  <si>
    <t>LATERAL DER#17 - Ancho del borde 1</t>
  </si>
  <si>
    <t>LATERAL DER#6 - Ancho de borde 2</t>
  </si>
  <si>
    <t>LATERAL DER#6 - Ancho del borde 1</t>
  </si>
  <si>
    <t>LATERAL DER#7 - Ancho de borde 2</t>
  </si>
  <si>
    <t>LATERAL DER#7 - Ancho del borde 1</t>
  </si>
  <si>
    <t>TECHO#58 - Ancho de borde 2</t>
  </si>
  <si>
    <t>TECHO#58 - Ancho del borde 1</t>
  </si>
  <si>
    <t>TECHO#62 - Ancho de borde 2</t>
  </si>
  <si>
    <t>TECHO#62 - Ancho del borde 1</t>
  </si>
  <si>
    <t>TECHO#66 - Ancho de borde 2</t>
  </si>
  <si>
    <t>TECHO#66 - Ancho del borde 1</t>
  </si>
  <si>
    <t>09HER_3.0_BISAGRA_CAZ_90x1_Master_G2(rev1)#10</t>
  </si>
  <si>
    <t>Accesorio</t>
  </si>
  <si>
    <t>09HER_3.0_BISAGRA_CAZ_90x1_Master_G2(rev1)#9</t>
  </si>
  <si>
    <t>09HER_3.0_BISAGRA_CAZ_90x1_Master_G2(rev1)#1</t>
  </si>
  <si>
    <t>09HER_3.0_BISAGRA_CAZ_90x1_Master_G2(rev1)#13</t>
  </si>
  <si>
    <t>09HER_3.0_BISAGRA_CAZ_90x1_Master_G2(rev1)#14</t>
  </si>
  <si>
    <t>09HER_3.0_BISAGRA_CAZ_90x1_Master_G2(rev1)#15</t>
  </si>
  <si>
    <t>09HER_3.0_BISAGRA_CAZ_90x1_Master_G2(rev1)#16</t>
  </si>
  <si>
    <t>09HER_3.0_BISAGRA_CAZ_90x1_Master_G2(rev1)#17</t>
  </si>
  <si>
    <t>09HER_3.0_BISAGRA_CAZ_90x1_Master_G2(rev1)#18</t>
  </si>
  <si>
    <t>09HER_3.0_BISAGRA_CAZ_90x1_Master_G2(rev1)#19</t>
  </si>
  <si>
    <t>09HER_3.0_BISAGRA_CAZ_90x1_Master_G2(rev1)#2</t>
  </si>
  <si>
    <t>09HER_3.0_BISAGRA_CAZ_90x1_Master_G2(rev1)#20</t>
  </si>
  <si>
    <t>09HER_3.0_BISAGRA_CAZ_90x1_Master_G2(rev1)#3</t>
  </si>
  <si>
    <t>09HER_3.0_BISAGRA_CAZ_90x1_Master_G2(rev1)#4</t>
  </si>
  <si>
    <t>09HER_3.0_BISAGRA_CAZ_90x1_Master_G2(rev1)#40</t>
  </si>
  <si>
    <t>09HER_3.0_BISAGRA_CAZ_90x1_Master_G2(rev1)#69</t>
  </si>
  <si>
    <t>09HER_3.0_BISAGRA_CAZ_90x1_Master_G2(rev1)#70</t>
  </si>
  <si>
    <t>09HER_3.0_BISAGRA_CAZ_90x1_Master_G2(rev1)#71</t>
  </si>
  <si>
    <t>BISAGRA#2</t>
  </si>
  <si>
    <t>0.APAGAR PIEZAS ESPECIALES</t>
  </si>
  <si>
    <t>CAZOLETA MOVIL#10</t>
  </si>
  <si>
    <t>CAZOLETA MOVIL#9</t>
  </si>
  <si>
    <t>CAZOLETA MOVIL#1</t>
  </si>
  <si>
    <t>CAZOLETA MOVIL#13</t>
  </si>
  <si>
    <t>CAZOLETA MOVIL#14</t>
  </si>
  <si>
    <t>CAZOLETA MOVIL#15</t>
  </si>
  <si>
    <t>CAZOLETA MOVIL#16</t>
  </si>
  <si>
    <t>CAZOLETA MOVIL#17</t>
  </si>
  <si>
    <t>CAZOLETA MOVIL#18</t>
  </si>
  <si>
    <t>CAZOLETA MOVIL#19</t>
  </si>
  <si>
    <t>CAZOLETA MOVIL#2</t>
  </si>
  <si>
    <t>CAZOLETA MOVIL#20</t>
  </si>
  <si>
    <t>CAZOLETA MOVIL#25</t>
  </si>
  <si>
    <t>CAZOLETA MOVIL#26</t>
  </si>
  <si>
    <t>CAZOLETA MOVIL#27</t>
  </si>
  <si>
    <t>CAZOLETA MOVIL#28</t>
  </si>
  <si>
    <t>CAZOLETA MOVIL#3</t>
  </si>
  <si>
    <t>CAZOLETA MOVIL#4</t>
  </si>
  <si>
    <t>MONTANTE#47</t>
  </si>
  <si>
    <t>MONTANTE#48</t>
  </si>
  <si>
    <t>MONTANTE#55</t>
  </si>
  <si>
    <t>MONTANTE#56</t>
  </si>
  <si>
    <t>MONTANTE#57</t>
  </si>
  <si>
    <t>MONTANTE#58</t>
  </si>
  <si>
    <t>RIEL#47</t>
  </si>
  <si>
    <t>RIEL#48</t>
  </si>
  <si>
    <t>RIEL#55</t>
  </si>
  <si>
    <t>RIEL#56</t>
  </si>
  <si>
    <t>RIEL#57</t>
  </si>
  <si>
    <t>RIEL#58</t>
  </si>
  <si>
    <t>Corredera Telescópica#47</t>
  </si>
  <si>
    <t>Corredera Telescópica#48</t>
  </si>
  <si>
    <t>Corredera Telescópica#55</t>
  </si>
  <si>
    <t>Corredera Telescópica#56</t>
  </si>
  <si>
    <t>Corredera Telescópica#57</t>
  </si>
  <si>
    <t>Corredera Telescópica#58</t>
  </si>
  <si>
    <t>CORREDERA#47</t>
  </si>
  <si>
    <t>CORREDERA#48</t>
  </si>
  <si>
    <t>CORREDERA#55</t>
  </si>
  <si>
    <t>CORREDERA#56</t>
  </si>
  <si>
    <t>CORREDERA#57</t>
  </si>
  <si>
    <t>BJ</t>
  </si>
  <si>
    <t>CORREDERA#58</t>
  </si>
  <si>
    <t>BK</t>
  </si>
  <si>
    <t>BISAGRA CAZOLETA</t>
  </si>
  <si>
    <t>BL</t>
  </si>
  <si>
    <t>BLANCO CD (0  x 19 )</t>
  </si>
  <si>
    <t>SIN CANTO (2  x 19 )</t>
  </si>
  <si>
    <t>YALA CG (2  x 19 )</t>
  </si>
  <si>
    <t>A01</t>
  </si>
  <si>
    <t>STD</t>
  </si>
  <si>
    <t xml:space="preserve"> </t>
  </si>
  <si>
    <t>Alto</t>
  </si>
  <si>
    <t>Espesor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</si>
</sst>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164" formatCode="_-* #,##0.00\ &quot;€&quot;_-;\-* #,##0.00\ &quot;€&quot;_-;_-* &quot;-&quot;??\ &quot;€&quot;_-;_-@_-"/>
    <numFmt numFmtId="165" formatCode="_ &quot;$&quot;* #,##0.00_ ;_ &quot;$&quot;* \-#,##0.00_ ;_ &quot;$&quot;* &quot;-&quot;??_ ;_ @_ "/>
    <numFmt numFmtId="166" formatCode="_-&quot;$&quot;\ * #,##0_-;\-&quot;$&quot;\ * #,##0_-;_-&quot;$&quot;\ * &quot;-&quot;??_-;_-@_-"/>
    <numFmt numFmtId="167" formatCode="_(&quot;$&quot;\ * #,##0.00_);_(&quot;$&quot;\ * \(#,##0.00\);_(&quot;$&quot;\ * &quot;-&quot;??_);_(@_)"/>
    <numFmt numFmtId="168" formatCode="_(&quot;$&quot;\ * #,##0_);_(&quot;$&quot;\ * \(#,##0\);_(&quot;$&quot;\ * &quot;-&quot;??_);_(@_)"/>
    <numFmt numFmtId="169" formatCode="_-[$$-409]* #,##0.00_ ;_-[$$-409]* \-#,##0.00\ ;_-[$$-409]* &quot;-&quot;??_ ;_-@_ "/>
  </numFmts>
  <fonts count="1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rgb="FF122337"/>
      <name val="Aptos Narrow"/>
      <family val="2"/>
      <scheme val="minor"/>
    </font>
    <font>
      <sz val="11"/>
      <color rgb="FF122337"/>
      <name val="Aptos Narrow"/>
      <family val="2"/>
      <scheme val="minor"/>
    </font>
    <font>
      <b/>
      <sz val="14"/>
      <color rgb="FFF6F5F0"/>
      <name val="Aptos Narrow"/>
      <family val="2"/>
      <scheme val="minor"/>
    </font>
    <font>
      <sz val="11"/>
      <color rgb="FFF6F5F0"/>
      <name val="Aptos Narrow"/>
      <family val="2"/>
      <scheme val="minor"/>
    </font>
    <font>
      <b/>
      <sz val="11"/>
      <color rgb="FFF6F5F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name val="Calibri Light"/>
      <family val="2"/>
    </font>
    <font>
      <sz val="10"/>
      <color theme="1"/>
      <name val="Calibri Light"/>
      <family val="2"/>
    </font>
    <font>
      <b/>
      <sz val="12"/>
      <color indexed="8"/>
      <name val="Arial"/>
      <family val="2"/>
    </font>
    <font>
      <sz val="9"/>
      <color indexed="8"/>
      <name val="Calibri Light"/>
      <family val="2"/>
    </font>
    <font>
      <sz val="9"/>
      <name val="Arial"/>
      <family val="2"/>
    </font>
    <font>
      <b/>
      <sz val="11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7664C"/>
        <bgColor indexed="64"/>
      </patternFill>
    </fill>
    <fill>
      <patternFill patternType="solid">
        <fgColor rgb="FF12233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6955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14">
    <xf numFmtId="0" fontId="0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/>
    <xf numFmtId="0" fontId="7" fillId="0" borderId="0"/>
    <xf numFmtId="0" fontId="9" fillId="0" borderId="0"/>
    <xf numFmtId="167" fontId="9" fillId="0" borderId="0" applyFont="0" applyFill="0" applyBorder="0" applyAlignment="0" applyProtection="0"/>
  </cellStyleXfs>
  <cellXfs count="144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" xfId="0" applyBorder="1"/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44" fontId="0" fillId="0" borderId="7" xfId="1" applyFont="1" applyBorder="1"/>
    <xf numFmtId="44" fontId="0" fillId="0" borderId="9" xfId="1" applyFont="1" applyBorder="1"/>
    <xf numFmtId="0" fontId="0" fillId="0" borderId="10" xfId="0" applyBorder="1"/>
    <xf numFmtId="44" fontId="0" fillId="0" borderId="11" xfId="1" applyFont="1" applyBorder="1"/>
    <xf numFmtId="44" fontId="0" fillId="0" borderId="13" xfId="1" applyFont="1" applyBorder="1"/>
    <xf numFmtId="0" fontId="0" fillId="0" borderId="5" xfId="0" applyBorder="1" applyAlignment="1">
      <alignment wrapText="1"/>
    </xf>
    <xf numFmtId="0" fontId="0" fillId="0" borderId="14" xfId="0" applyBorder="1"/>
    <xf numFmtId="0" fontId="0" fillId="0" borderId="15" xfId="0" applyBorder="1"/>
    <xf numFmtId="44" fontId="0" fillId="0" borderId="16" xfId="1" applyFont="1" applyBorder="1"/>
    <xf numFmtId="0" fontId="0" fillId="3" borderId="0" xfId="0" applyFill="1"/>
    <xf numFmtId="0" fontId="3" fillId="3" borderId="0" xfId="0" applyFont="1" applyFill="1"/>
    <xf numFmtId="0" fontId="6" fillId="3" borderId="0" xfId="0" applyFont="1" applyFill="1"/>
    <xf numFmtId="0" fontId="0" fillId="0" borderId="1" xfId="0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44" fontId="0" fillId="0" borderId="1" xfId="7" applyFont="1" applyBorder="1"/>
    <xf numFmtId="0" fontId="0" fillId="0" borderId="1" xfId="0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2" xfId="0" applyBorder="1"/>
    <xf numFmtId="44" fontId="0" fillId="0" borderId="1" xfId="2" applyFont="1" applyBorder="1"/>
    <xf numFmtId="44" fontId="0" fillId="0" borderId="12" xfId="2" applyFont="1" applyBorder="1"/>
    <xf numFmtId="44" fontId="0" fillId="0" borderId="1" xfId="2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8" fillId="0" borderId="1" xfId="0" applyFont="1" applyBorder="1"/>
    <xf numFmtId="44" fontId="0" fillId="0" borderId="1" xfId="0" applyNumberFormat="1" applyBorder="1"/>
    <xf numFmtId="44" fontId="0" fillId="0" borderId="0" xfId="0" applyNumberFormat="1"/>
    <xf numFmtId="2" fontId="0" fillId="0" borderId="0" xfId="0" applyNumberFormat="1"/>
    <xf numFmtId="165" fontId="0" fillId="0" borderId="0" xfId="4" applyFont="1"/>
    <xf numFmtId="165" fontId="0" fillId="0" borderId="0" xfId="0" applyNumberFormat="1"/>
    <xf numFmtId="44" fontId="0" fillId="0" borderId="0" xfId="2" applyFont="1"/>
    <xf numFmtId="0" fontId="11" fillId="4" borderId="5" xfId="11" applyFont="1" applyFill="1" applyBorder="1"/>
    <xf numFmtId="0" fontId="11" fillId="4" borderId="6" xfId="11" applyFont="1" applyFill="1" applyBorder="1" applyAlignment="1">
      <alignment horizontal="center" wrapText="1"/>
    </xf>
    <xf numFmtId="0" fontId="10" fillId="4" borderId="6" xfId="0" applyFont="1" applyFill="1" applyBorder="1" applyAlignment="1">
      <alignment horizontal="center" wrapText="1"/>
    </xf>
    <xf numFmtId="0" fontId="11" fillId="5" borderId="8" xfId="10" applyFont="1" applyFill="1" applyBorder="1"/>
    <xf numFmtId="0" fontId="11" fillId="5" borderId="1" xfId="11" applyFont="1" applyFill="1" applyBorder="1"/>
    <xf numFmtId="0" fontId="10" fillId="5" borderId="1" xfId="0" applyFont="1" applyFill="1" applyBorder="1"/>
    <xf numFmtId="0" fontId="11" fillId="5" borderId="1" xfId="11" applyFont="1" applyFill="1" applyBorder="1" applyProtection="1">
      <protection locked="0"/>
    </xf>
    <xf numFmtId="0" fontId="11" fillId="5" borderId="8" xfId="11" applyFont="1" applyFill="1" applyBorder="1" applyProtection="1">
      <protection locked="0"/>
    </xf>
    <xf numFmtId="0" fontId="11" fillId="5" borderId="8" xfId="11" applyFont="1" applyFill="1" applyBorder="1"/>
    <xf numFmtId="0" fontId="10" fillId="5" borderId="8" xfId="10" applyFont="1" applyFill="1" applyBorder="1"/>
    <xf numFmtId="0" fontId="11" fillId="6" borderId="1" xfId="11" applyFont="1" applyFill="1" applyBorder="1" applyProtection="1">
      <protection locked="0"/>
    </xf>
    <xf numFmtId="0" fontId="11" fillId="7" borderId="8" xfId="11" applyFont="1" applyFill="1" applyBorder="1"/>
    <xf numFmtId="0" fontId="11" fillId="7" borderId="1" xfId="11" applyFont="1" applyFill="1" applyBorder="1"/>
    <xf numFmtId="0" fontId="11" fillId="5" borderId="8" xfId="10" applyFont="1" applyFill="1" applyBorder="1" applyProtection="1">
      <protection locked="0"/>
    </xf>
    <xf numFmtId="0" fontId="10" fillId="5" borderId="1" xfId="0" applyFont="1" applyFill="1" applyBorder="1" applyProtection="1">
      <protection locked="0"/>
    </xf>
    <xf numFmtId="0" fontId="10" fillId="5" borderId="8" xfId="11" applyFont="1" applyFill="1" applyBorder="1"/>
    <xf numFmtId="0" fontId="11" fillId="5" borderId="20" xfId="10" applyFont="1" applyFill="1" applyBorder="1"/>
    <xf numFmtId="0" fontId="11" fillId="5" borderId="12" xfId="11" applyFont="1" applyFill="1" applyBorder="1"/>
    <xf numFmtId="0" fontId="11" fillId="5" borderId="21" xfId="10" applyFont="1" applyFill="1" applyBorder="1"/>
    <xf numFmtId="0" fontId="11" fillId="5" borderId="10" xfId="11" applyFont="1" applyFill="1" applyBorder="1"/>
    <xf numFmtId="0" fontId="11" fillId="5" borderId="22" xfId="11" applyFont="1" applyFill="1" applyBorder="1"/>
    <xf numFmtId="0" fontId="10" fillId="8" borderId="8" xfId="10" applyFont="1" applyFill="1" applyBorder="1"/>
    <xf numFmtId="0" fontId="11" fillId="8" borderId="1" xfId="11" applyFont="1" applyFill="1" applyBorder="1" applyProtection="1">
      <protection locked="0"/>
    </xf>
    <xf numFmtId="166" fontId="11" fillId="8" borderId="1" xfId="9" applyNumberFormat="1" applyFont="1" applyFill="1" applyBorder="1" applyProtection="1">
      <protection locked="0"/>
    </xf>
    <xf numFmtId="166" fontId="11" fillId="8" borderId="17" xfId="9" applyNumberFormat="1" applyFont="1" applyFill="1" applyBorder="1"/>
    <xf numFmtId="0" fontId="11" fillId="4" borderId="23" xfId="11" applyFont="1" applyFill="1" applyBorder="1" applyAlignment="1">
      <alignment horizontal="center" wrapText="1"/>
    </xf>
    <xf numFmtId="0" fontId="11" fillId="5" borderId="17" xfId="11" applyFont="1" applyFill="1" applyBorder="1"/>
    <xf numFmtId="0" fontId="11" fillId="5" borderId="17" xfId="11" applyFont="1" applyFill="1" applyBorder="1" applyProtection="1">
      <protection locked="0"/>
    </xf>
    <xf numFmtId="0" fontId="11" fillId="7" borderId="17" xfId="11" applyFont="1" applyFill="1" applyBorder="1"/>
    <xf numFmtId="0" fontId="11" fillId="5" borderId="24" xfId="11" applyFont="1" applyFill="1" applyBorder="1"/>
    <xf numFmtId="0" fontId="11" fillId="5" borderId="25" xfId="11" applyFont="1" applyFill="1" applyBorder="1"/>
    <xf numFmtId="0" fontId="10" fillId="4" borderId="1" xfId="0" applyFont="1" applyFill="1" applyBorder="1" applyAlignment="1">
      <alignment horizontal="center" wrapText="1"/>
    </xf>
    <xf numFmtId="166" fontId="0" fillId="0" borderId="1" xfId="0" applyNumberFormat="1" applyBorder="1"/>
    <xf numFmtId="0" fontId="12" fillId="0" borderId="5" xfId="10" applyFont="1" applyBorder="1" applyAlignment="1">
      <alignment horizontal="center" vertical="center" wrapText="1"/>
    </xf>
    <xf numFmtId="0" fontId="12" fillId="0" borderId="6" xfId="10" applyFont="1" applyBorder="1" applyAlignment="1">
      <alignment horizontal="center" vertical="center" wrapText="1"/>
    </xf>
    <xf numFmtId="0" fontId="12" fillId="0" borderId="7" xfId="10" applyFont="1" applyBorder="1" applyAlignment="1">
      <alignment horizontal="center" vertical="center" wrapText="1"/>
    </xf>
    <xf numFmtId="0" fontId="13" fillId="5" borderId="8" xfId="12" applyFont="1" applyFill="1" applyBorder="1"/>
    <xf numFmtId="168" fontId="13" fillId="5" borderId="1" xfId="13" applyNumberFormat="1" applyFont="1" applyFill="1" applyBorder="1" applyAlignment="1">
      <alignment wrapText="1"/>
    </xf>
    <xf numFmtId="0" fontId="14" fillId="0" borderId="9" xfId="10" applyFont="1" applyBorder="1"/>
    <xf numFmtId="0" fontId="13" fillId="0" borderId="8" xfId="12" applyFont="1" applyBorder="1"/>
    <xf numFmtId="168" fontId="13" fillId="0" borderId="1" xfId="13" applyNumberFormat="1" applyFont="1" applyFill="1" applyBorder="1" applyAlignment="1">
      <alignment wrapText="1"/>
    </xf>
    <xf numFmtId="0" fontId="13" fillId="0" borderId="21" xfId="12" applyFont="1" applyBorder="1"/>
    <xf numFmtId="168" fontId="13" fillId="0" borderId="10" xfId="13" applyNumberFormat="1" applyFont="1" applyFill="1" applyBorder="1" applyAlignment="1">
      <alignment wrapText="1"/>
    </xf>
    <xf numFmtId="0" fontId="14" fillId="0" borderId="11" xfId="10" applyFont="1" applyBorder="1"/>
    <xf numFmtId="0" fontId="1" fillId="2" borderId="0" xfId="0" applyFont="1" applyFill="1"/>
    <xf numFmtId="9" fontId="0" fillId="0" borderId="1" xfId="3" applyFont="1" applyBorder="1"/>
    <xf numFmtId="9" fontId="0" fillId="0" borderId="1" xfId="0" applyNumberFormat="1" applyBorder="1"/>
    <xf numFmtId="0" fontId="0" fillId="0" borderId="17" xfId="0" applyBorder="1"/>
    <xf numFmtId="0" fontId="3" fillId="0" borderId="17" xfId="0" applyFont="1" applyBorder="1"/>
    <xf numFmtId="1" fontId="0" fillId="0" borderId="1" xfId="0" applyNumberFormat="1" applyBorder="1" applyAlignment="1">
      <alignment horizontal="center"/>
    </xf>
    <xf numFmtId="0" fontId="3" fillId="0" borderId="1" xfId="0" applyFont="1" applyBorder="1"/>
    <xf numFmtId="0" fontId="6" fillId="3" borderId="17" xfId="0" applyFont="1" applyFill="1" applyBorder="1"/>
    <xf numFmtId="0" fontId="6" fillId="3" borderId="26" xfId="0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3" fillId="5" borderId="0" xfId="0" applyFont="1" applyFill="1"/>
    <xf numFmtId="0" fontId="1" fillId="5" borderId="0" xfId="0" applyFont="1" applyFill="1"/>
    <xf numFmtId="0" fontId="0" fillId="5" borderId="0" xfId="0" applyFill="1"/>
    <xf numFmtId="0" fontId="8" fillId="5" borderId="0" xfId="0" applyFont="1" applyFill="1" applyAlignment="1">
      <alignment horizontal="center"/>
    </xf>
    <xf numFmtId="0" fontId="8" fillId="9" borderId="1" xfId="0" applyFont="1" applyFill="1" applyBorder="1"/>
    <xf numFmtId="44" fontId="0" fillId="9" borderId="1" xfId="0" applyNumberFormat="1" applyFill="1" applyBorder="1"/>
    <xf numFmtId="0" fontId="1" fillId="3" borderId="0" xfId="0" applyFont="1" applyFill="1"/>
    <xf numFmtId="0" fontId="0" fillId="0" borderId="27" xfId="0" applyBorder="1"/>
    <xf numFmtId="1" fontId="0" fillId="0" borderId="27" xfId="0" applyNumberFormat="1" applyBorder="1"/>
    <xf numFmtId="0" fontId="0" fillId="0" borderId="31" xfId="0" applyBorder="1"/>
    <xf numFmtId="1" fontId="0" fillId="0" borderId="31" xfId="0" applyNumberFormat="1" applyBorder="1"/>
    <xf numFmtId="0" fontId="15" fillId="10" borderId="28" xfId="0" applyFont="1" applyFill="1" applyBorder="1" applyAlignment="1">
      <alignment horizontal="center"/>
    </xf>
    <xf numFmtId="0" fontId="15" fillId="10" borderId="29" xfId="0" applyFont="1" applyFill="1" applyBorder="1" applyAlignment="1">
      <alignment horizontal="center"/>
    </xf>
    <xf numFmtId="0" fontId="15" fillId="10" borderId="29" xfId="0" applyFont="1" applyFill="1" applyBorder="1" applyAlignment="1">
      <alignment horizontal="center" wrapText="1"/>
    </xf>
    <xf numFmtId="0" fontId="15" fillId="10" borderId="30" xfId="0" applyFont="1" applyFill="1" applyBorder="1" applyAlignment="1">
      <alignment horizontal="center"/>
    </xf>
    <xf numFmtId="169" fontId="0" fillId="0" borderId="31" xfId="0" applyNumberFormat="1" applyBorder="1"/>
    <xf numFmtId="169" fontId="0" fillId="0" borderId="27" xfId="0" applyNumberFormat="1" applyBorder="1"/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27" xfId="0" applyNumberFormat="1" applyBorder="1"/>
    <xf numFmtId="0" fontId="15" fillId="10" borderId="33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11" borderId="0" xfId="0" applyFont="1" applyFill="1" applyAlignment="1">
      <alignment horizontal="center"/>
    </xf>
    <xf numFmtId="0" fontId="8" fillId="11" borderId="0" xfId="0" applyFont="1" applyFill="1" applyAlignment="1">
      <alignment horizontal="left"/>
    </xf>
    <xf numFmtId="0" fontId="8" fillId="11" borderId="0" xfId="0" applyFont="1" applyFill="1"/>
    <xf numFmtId="0" fontId="0" fillId="11" borderId="0" xfId="0" applyFill="1" applyAlignment="1">
      <alignment horizontal="center"/>
    </xf>
    <xf numFmtId="0" fontId="8" fillId="0" borderId="34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6" fillId="3" borderId="17" xfId="0" applyFont="1" applyFill="1" applyBorder="1" applyAlignment="1">
      <alignment horizontal="left"/>
    </xf>
    <xf numFmtId="0" fontId="6" fillId="3" borderId="18" xfId="0" applyFont="1" applyFill="1" applyBorder="1" applyAlignment="1">
      <alignment horizontal="left"/>
    </xf>
    <xf numFmtId="0" fontId="6" fillId="3" borderId="19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4" fontId="5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0" fontId="0" fillId="0" borderId="27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0" fontId="0" fillId="0" borderId="17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1" xfId="0" applyBorder="1" applyAlignment="1">
      <alignment horizontal="right"/>
    </xf>
  </cellXfs>
  <cellStyles count="14">
    <cellStyle name="Currency 2" xfId="6" xr:uid="{AD8FA430-5FE9-44B0-85C8-5D9A7AE0F81A}"/>
    <cellStyle name="Moneda" xfId="2" builtinId="4"/>
    <cellStyle name="Moneda 2" xfId="1" xr:uid="{BD0F4524-7367-47F4-9176-CF261D08C301}"/>
    <cellStyle name="Moneda 2 2" xfId="8" xr:uid="{080BD643-2EE8-41F5-B293-9B72098BD03A}"/>
    <cellStyle name="Moneda 3" xfId="4" xr:uid="{63100617-0704-4AEE-9769-536309024193}"/>
    <cellStyle name="Moneda 3 2" xfId="13" xr:uid="{B637B21F-1988-4A7E-8009-78C325BBC15E}"/>
    <cellStyle name="Moneda 4" xfId="7" xr:uid="{19C678F2-2A6E-4BAF-9752-1E53A335B96E}"/>
    <cellStyle name="Moneda 5" xfId="9" xr:uid="{B4D0A44A-861C-4FFA-BD78-06983EBDD8E4}"/>
    <cellStyle name="Normal" xfId="0" builtinId="0"/>
    <cellStyle name="Normal 10 33" xfId="12" xr:uid="{5F657669-8B22-426D-9B5F-363A82AC81BE}"/>
    <cellStyle name="Normal 2" xfId="5" xr:uid="{F2EA9DD4-109A-408D-A941-CF6331141793}"/>
    <cellStyle name="Normal 2 2" xfId="11" xr:uid="{14C42B1B-2C2D-4DBC-B252-02BFC18572D4}"/>
    <cellStyle name="Normal 2 2 2" xfId="10" xr:uid="{1EF2E22D-CB94-472F-93D8-56A66619AE36}"/>
    <cellStyle name="Porcentaje" xfId="3" builtinId="5"/>
  </cellStyles>
  <dxfs count="0"/>
  <tableStyles count="0" defaultTableStyle="TableStyleMedium2" defaultPivotStyle="PivotStyleLight16"/>
  <colors>
    <mruColors>
      <color rgb="FFB69559"/>
      <color rgb="FF122337"/>
      <color rgb="FFC7664C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593273</xdr:colOff>
      <xdr:row>0</xdr:row>
      <xdr:rowOff>0</xdr:rowOff>
    </xdr:from>
    <xdr:to>
      <xdr:col>8</xdr:col>
      <xdr:colOff>701858</xdr:colOff>
      <xdr:row>3</xdr:row>
      <xdr:rowOff>94</xdr:rowOff>
    </xdr:to>
    <xdr:pic macro="[0]!GenerarCotizacionCompleta">
      <xdr:nvPicPr>
        <xdr:cNvPr id="3" name="Imagen 2">
          <a:extLst>
            <a:ext uri="{FF2B5EF4-FFF2-40B4-BE49-F238E27FC236}">
              <a16:creationId xmlns:a16="http://schemas.microsoft.com/office/drawing/2014/main" id="{DED48B1C-3FDF-A4B5-2380-B290282EF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9473" y="0"/>
          <a:ext cx="870585" cy="76209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5440-3933-445D-A84D-00A480F7F4D1}">
  <sheetPr codeName="Hoja1">
    <tabColor rgb="FFB69559"/>
  </sheetPr>
  <dimension ref="A1:V200"/>
  <sheetViews>
    <sheetView tabSelected="1" workbookViewId="0">
      <selection activeCell="F4" sqref="F4"/>
    </sheetView>
  </sheetViews>
  <sheetFormatPr baseColWidth="10" defaultColWidth="11.44140625" defaultRowHeight="14.4" x14ac:dyDescent="0.3"/>
  <cols>
    <col min="1" max="1" width="11.44140625" style="81"/>
    <col min="2" max="2" width="24" style="2" customWidth="1"/>
    <col min="3" max="3" width="11.109375" style="81" customWidth="1"/>
    <col min="4" max="7" width="11.44140625" style="2"/>
    <col min="8" max="8" width="11.44140625" style="81"/>
    <col min="9" max="9" width="17.109375" style="2" customWidth="1"/>
    <col min="10" max="10" width="17.5546875" style="2" customWidth="1"/>
    <col min="11" max="11" width="19.5546875" style="2" customWidth="1"/>
    <col min="12" max="12" width="24.33203125" style="2" customWidth="1"/>
    <col min="13" max="15" width="11.44140625" style="2"/>
    <col min="16" max="16" width="28.6640625" style="2" customWidth="1"/>
    <col min="17" max="17" width="30.33203125" style="2" customWidth="1"/>
    <col min="18" max="18" width="28.88671875" style="2" customWidth="1"/>
    <col min="19" max="19" width="8" style="2" customWidth="1"/>
    <col min="20" max="20" width="6.44140625" style="2" customWidth="1"/>
    <col min="21" max="16384" width="11.44140625" style="2"/>
  </cols>
  <sheetData>
    <row r="1" spans="1:22" s="97" customFormat="1" x14ac:dyDescent="0.3">
      <c r="A1" s="115" t="s">
        <v>0</v>
      </c>
      <c r="B1" s="116" t="s">
        <v>1</v>
      </c>
      <c r="C1" s="115" t="s">
        <v>2</v>
      </c>
      <c r="D1" s="115" t="s">
        <v>787</v>
      </c>
      <c r="E1" s="115" t="s">
        <v>127</v>
      </c>
      <c r="F1" s="115" t="s">
        <v>788</v>
      </c>
      <c r="G1" s="115" t="s">
        <v>3</v>
      </c>
      <c r="H1" s="115" t="s">
        <v>4</v>
      </c>
      <c r="I1" s="115" t="s">
        <v>5</v>
      </c>
      <c r="J1" s="115"/>
      <c r="K1" s="115"/>
      <c r="L1" s="115"/>
      <c r="M1" s="115"/>
      <c r="N1" s="117"/>
      <c r="O1" s="117"/>
      <c r="P1" s="117" t="s">
        <v>7</v>
      </c>
      <c r="Q1" s="117" t="s">
        <v>8</v>
      </c>
      <c r="R1" s="117" t="s">
        <v>9</v>
      </c>
      <c r="S1" s="117" t="s">
        <v>10</v>
      </c>
      <c r="T1" s="117" t="s">
        <v>11</v>
      </c>
      <c r="U1" s="117" t="s">
        <v>12</v>
      </c>
      <c r="V1" s="117" t="s">
        <v>6</v>
      </c>
    </row>
    <row r="2" spans="1:22" x14ac:dyDescent="0.3">
      <c r="A2" s="115" t="s">
        <v>13</v>
      </c>
      <c r="B2" s="114" t="s">
        <v>590</v>
      </c>
      <c r="C2" s="118">
        <v>1</v>
      </c>
      <c r="D2" s="113">
        <v>564</v>
      </c>
      <c r="E2" s="113">
        <v>280</v>
      </c>
      <c r="F2" s="113">
        <v>1.4999999999999999E-2</v>
      </c>
      <c r="G2" s="113" t="s">
        <v>43</v>
      </c>
      <c r="H2" s="118" t="s">
        <v>15</v>
      </c>
      <c r="I2" s="113" t="s">
        <v>16</v>
      </c>
      <c r="J2"/>
      <c r="K2"/>
      <c r="L2"/>
      <c r="M2"/>
      <c r="N2"/>
      <c r="O2"/>
      <c r="P2" t="s">
        <v>781</v>
      </c>
      <c r="Q2" t="s">
        <v>781</v>
      </c>
      <c r="R2" t="s">
        <v>782</v>
      </c>
      <c r="S2" t="s">
        <v>782</v>
      </c>
      <c r="T2"/>
      <c r="U2"/>
      <c r="V2" t="s">
        <v>17</v>
      </c>
    </row>
    <row r="3" spans="1:22" x14ac:dyDescent="0.3">
      <c r="A3" s="115" t="s">
        <v>18</v>
      </c>
      <c r="B3" s="114" t="s">
        <v>591</v>
      </c>
      <c r="C3" s="118">
        <v>1</v>
      </c>
      <c r="D3" s="113">
        <v>564</v>
      </c>
      <c r="E3" s="113">
        <v>262</v>
      </c>
      <c r="F3" s="113">
        <v>1.4999999999999999E-2</v>
      </c>
      <c r="G3" s="113" t="s">
        <v>592</v>
      </c>
      <c r="H3" s="118" t="s">
        <v>15</v>
      </c>
      <c r="I3" s="113" t="s">
        <v>16</v>
      </c>
      <c r="J3"/>
      <c r="K3"/>
      <c r="L3"/>
      <c r="M3"/>
      <c r="N3"/>
      <c r="O3"/>
      <c r="P3" t="s">
        <v>781</v>
      </c>
      <c r="Q3" t="s">
        <v>781</v>
      </c>
      <c r="R3" t="s">
        <v>782</v>
      </c>
      <c r="S3" t="s">
        <v>782</v>
      </c>
      <c r="T3"/>
      <c r="U3"/>
      <c r="V3" t="s">
        <v>17</v>
      </c>
    </row>
    <row r="4" spans="1:22" x14ac:dyDescent="0.3">
      <c r="A4" s="115" t="s">
        <v>19</v>
      </c>
      <c r="B4" s="114" t="s">
        <v>593</v>
      </c>
      <c r="C4" s="118">
        <v>1</v>
      </c>
      <c r="D4" s="113">
        <v>564</v>
      </c>
      <c r="E4" s="113">
        <v>160</v>
      </c>
      <c r="F4" s="113">
        <v>1.4999999999999999E-2</v>
      </c>
      <c r="G4" s="113" t="s">
        <v>24</v>
      </c>
      <c r="H4" s="118" t="s">
        <v>15</v>
      </c>
      <c r="I4" s="113" t="s">
        <v>16</v>
      </c>
      <c r="J4"/>
      <c r="K4"/>
      <c r="L4"/>
      <c r="M4"/>
      <c r="N4"/>
      <c r="O4"/>
      <c r="P4" t="s">
        <v>781</v>
      </c>
      <c r="Q4" t="s">
        <v>781</v>
      </c>
      <c r="R4" t="s">
        <v>782</v>
      </c>
      <c r="S4" t="s">
        <v>782</v>
      </c>
      <c r="T4"/>
      <c r="U4"/>
      <c r="V4" t="s">
        <v>17</v>
      </c>
    </row>
    <row r="5" spans="1:22" x14ac:dyDescent="0.3">
      <c r="A5" s="115" t="s">
        <v>20</v>
      </c>
      <c r="B5" s="114" t="s">
        <v>594</v>
      </c>
      <c r="C5" s="118">
        <v>1</v>
      </c>
      <c r="D5" s="113">
        <v>564</v>
      </c>
      <c r="E5" s="113">
        <v>142</v>
      </c>
      <c r="F5" s="113">
        <v>1.4999999999999999E-2</v>
      </c>
      <c r="G5" s="113" t="s">
        <v>595</v>
      </c>
      <c r="H5" s="118" t="s">
        <v>15</v>
      </c>
      <c r="I5" s="113" t="s">
        <v>16</v>
      </c>
      <c r="J5"/>
      <c r="K5"/>
      <c r="L5"/>
      <c r="M5"/>
      <c r="N5"/>
      <c r="O5"/>
      <c r="P5" t="s">
        <v>781</v>
      </c>
      <c r="Q5" t="s">
        <v>781</v>
      </c>
      <c r="R5" t="s">
        <v>782</v>
      </c>
      <c r="S5" t="s">
        <v>782</v>
      </c>
      <c r="T5"/>
      <c r="U5"/>
      <c r="V5" t="s">
        <v>17</v>
      </c>
    </row>
    <row r="6" spans="1:22" x14ac:dyDescent="0.3">
      <c r="A6" s="115" t="s">
        <v>22</v>
      </c>
      <c r="B6" s="114" t="s">
        <v>596</v>
      </c>
      <c r="C6" s="118">
        <v>1</v>
      </c>
      <c r="D6" s="113">
        <v>564</v>
      </c>
      <c r="E6" s="113">
        <v>120</v>
      </c>
      <c r="F6" s="113">
        <v>1.4999999999999999E-2</v>
      </c>
      <c r="G6" s="113" t="s">
        <v>35</v>
      </c>
      <c r="H6" s="118" t="s">
        <v>15</v>
      </c>
      <c r="I6" s="113" t="s">
        <v>16</v>
      </c>
      <c r="J6"/>
      <c r="K6"/>
      <c r="L6"/>
      <c r="M6"/>
      <c r="N6"/>
      <c r="O6"/>
      <c r="P6" t="s">
        <v>781</v>
      </c>
      <c r="Q6" t="s">
        <v>781</v>
      </c>
      <c r="R6" t="s">
        <v>782</v>
      </c>
      <c r="S6" t="s">
        <v>782</v>
      </c>
      <c r="T6"/>
      <c r="U6"/>
      <c r="V6" t="s">
        <v>17</v>
      </c>
    </row>
    <row r="7" spans="1:22" x14ac:dyDescent="0.3">
      <c r="A7" s="115" t="s">
        <v>23</v>
      </c>
      <c r="B7" s="114" t="s">
        <v>597</v>
      </c>
      <c r="C7" s="118">
        <v>1</v>
      </c>
      <c r="D7" s="113">
        <v>564</v>
      </c>
      <c r="E7" s="113">
        <v>102</v>
      </c>
      <c r="F7" s="113">
        <v>1.4999999999999999E-2</v>
      </c>
      <c r="G7" s="113" t="s">
        <v>30</v>
      </c>
      <c r="H7" s="118" t="s">
        <v>15</v>
      </c>
      <c r="I7" s="113" t="s">
        <v>16</v>
      </c>
      <c r="J7"/>
      <c r="K7"/>
      <c r="L7"/>
      <c r="M7"/>
      <c r="N7"/>
      <c r="O7"/>
      <c r="P7" t="s">
        <v>781</v>
      </c>
      <c r="Q7" t="s">
        <v>781</v>
      </c>
      <c r="R7" t="s">
        <v>782</v>
      </c>
      <c r="S7" t="s">
        <v>782</v>
      </c>
      <c r="T7"/>
      <c r="U7"/>
      <c r="V7" t="s">
        <v>17</v>
      </c>
    </row>
    <row r="8" spans="1:22" x14ac:dyDescent="0.3">
      <c r="A8" s="115" t="s">
        <v>25</v>
      </c>
      <c r="B8" s="114" t="s">
        <v>598</v>
      </c>
      <c r="C8" s="118">
        <v>1</v>
      </c>
      <c r="D8" s="113">
        <v>500</v>
      </c>
      <c r="E8" s="113">
        <v>280</v>
      </c>
      <c r="F8" s="113">
        <v>1.4999999999999999E-2</v>
      </c>
      <c r="G8" s="113" t="s">
        <v>599</v>
      </c>
      <c r="H8" s="118" t="s">
        <v>15</v>
      </c>
      <c r="I8" s="113" t="s">
        <v>16</v>
      </c>
      <c r="J8"/>
      <c r="K8"/>
      <c r="L8"/>
      <c r="M8"/>
      <c r="N8"/>
      <c r="O8"/>
      <c r="P8" t="s">
        <v>781</v>
      </c>
      <c r="Q8" t="s">
        <v>781</v>
      </c>
      <c r="R8" t="s">
        <v>781</v>
      </c>
      <c r="S8" t="s">
        <v>781</v>
      </c>
      <c r="T8"/>
      <c r="U8"/>
      <c r="V8" t="s">
        <v>17</v>
      </c>
    </row>
    <row r="9" spans="1:22" x14ac:dyDescent="0.3">
      <c r="A9" s="115" t="s">
        <v>26</v>
      </c>
      <c r="B9" s="114" t="s">
        <v>600</v>
      </c>
      <c r="C9" s="118">
        <v>1</v>
      </c>
      <c r="D9" s="113">
        <v>500</v>
      </c>
      <c r="E9" s="113">
        <v>280</v>
      </c>
      <c r="F9" s="113">
        <v>1.4999999999999999E-2</v>
      </c>
      <c r="G9" s="113" t="s">
        <v>599</v>
      </c>
      <c r="H9" s="118" t="s">
        <v>15</v>
      </c>
      <c r="I9" s="113" t="s">
        <v>16</v>
      </c>
      <c r="J9"/>
      <c r="K9"/>
      <c r="L9"/>
      <c r="M9"/>
      <c r="N9"/>
      <c r="O9"/>
      <c r="P9" t="s">
        <v>781</v>
      </c>
      <c r="Q9" t="s">
        <v>781</v>
      </c>
      <c r="R9" t="s">
        <v>781</v>
      </c>
      <c r="S9" t="s">
        <v>781</v>
      </c>
      <c r="T9"/>
      <c r="U9"/>
      <c r="V9" t="s">
        <v>17</v>
      </c>
    </row>
    <row r="10" spans="1:22" x14ac:dyDescent="0.3">
      <c r="A10" s="115" t="s">
        <v>27</v>
      </c>
      <c r="B10" s="114" t="s">
        <v>601</v>
      </c>
      <c r="C10" s="118">
        <v>1</v>
      </c>
      <c r="D10" s="113">
        <v>500</v>
      </c>
      <c r="E10" s="113">
        <v>160</v>
      </c>
      <c r="F10" s="113">
        <v>1.4999999999999999E-2</v>
      </c>
      <c r="G10" s="113" t="s">
        <v>595</v>
      </c>
      <c r="H10" s="118" t="s">
        <v>15</v>
      </c>
      <c r="I10" s="113" t="s">
        <v>16</v>
      </c>
      <c r="J10"/>
      <c r="K10"/>
      <c r="L10"/>
      <c r="M10"/>
      <c r="N10"/>
      <c r="O10"/>
      <c r="P10" t="s">
        <v>781</v>
      </c>
      <c r="Q10" t="s">
        <v>781</v>
      </c>
      <c r="R10" t="s">
        <v>781</v>
      </c>
      <c r="S10" t="s">
        <v>781</v>
      </c>
      <c r="T10"/>
      <c r="U10"/>
      <c r="V10" t="s">
        <v>17</v>
      </c>
    </row>
    <row r="11" spans="1:22" x14ac:dyDescent="0.3">
      <c r="A11" s="115" t="s">
        <v>28</v>
      </c>
      <c r="B11" s="114" t="s">
        <v>602</v>
      </c>
      <c r="C11" s="118">
        <v>1</v>
      </c>
      <c r="D11" s="113">
        <v>500</v>
      </c>
      <c r="E11" s="113">
        <v>160</v>
      </c>
      <c r="F11" s="113">
        <v>1.4999999999999999E-2</v>
      </c>
      <c r="G11" s="113" t="s">
        <v>595</v>
      </c>
      <c r="H11" s="118" t="s">
        <v>15</v>
      </c>
      <c r="I11" s="113" t="s">
        <v>16</v>
      </c>
      <c r="J11"/>
      <c r="K11"/>
      <c r="L11"/>
      <c r="M11"/>
      <c r="N11"/>
      <c r="O11"/>
      <c r="P11" t="s">
        <v>781</v>
      </c>
      <c r="Q11" t="s">
        <v>781</v>
      </c>
      <c r="R11" t="s">
        <v>781</v>
      </c>
      <c r="S11" t="s">
        <v>781</v>
      </c>
      <c r="T11"/>
      <c r="U11"/>
      <c r="V11" t="s">
        <v>17</v>
      </c>
    </row>
    <row r="12" spans="1:22" x14ac:dyDescent="0.3">
      <c r="A12" s="115" t="s">
        <v>29</v>
      </c>
      <c r="B12" s="114" t="s">
        <v>603</v>
      </c>
      <c r="C12" s="118">
        <v>1</v>
      </c>
      <c r="D12" s="113">
        <v>500</v>
      </c>
      <c r="E12" s="113">
        <v>120</v>
      </c>
      <c r="F12" s="113">
        <v>1.4999999999999999E-2</v>
      </c>
      <c r="G12" s="113" t="s">
        <v>30</v>
      </c>
      <c r="H12" s="118" t="s">
        <v>15</v>
      </c>
      <c r="I12" s="113" t="s">
        <v>16</v>
      </c>
      <c r="J12"/>
      <c r="K12"/>
      <c r="L12"/>
      <c r="M12"/>
      <c r="N12"/>
      <c r="O12"/>
      <c r="P12" t="s">
        <v>781</v>
      </c>
      <c r="Q12" t="s">
        <v>781</v>
      </c>
      <c r="R12" t="s">
        <v>782</v>
      </c>
      <c r="S12" t="s">
        <v>782</v>
      </c>
      <c r="T12"/>
      <c r="U12"/>
      <c r="V12" t="s">
        <v>17</v>
      </c>
    </row>
    <row r="13" spans="1:22" x14ac:dyDescent="0.3">
      <c r="A13" s="115" t="s">
        <v>31</v>
      </c>
      <c r="B13" s="114" t="s">
        <v>604</v>
      </c>
      <c r="C13" s="118">
        <v>1</v>
      </c>
      <c r="D13" s="113">
        <v>500</v>
      </c>
      <c r="E13" s="113">
        <v>120</v>
      </c>
      <c r="F13" s="113">
        <v>1.4999999999999999E-2</v>
      </c>
      <c r="G13" s="113" t="s">
        <v>30</v>
      </c>
      <c r="H13" s="118" t="s">
        <v>15</v>
      </c>
      <c r="I13" s="113" t="s">
        <v>16</v>
      </c>
      <c r="J13"/>
      <c r="K13"/>
      <c r="L13"/>
      <c r="M13"/>
      <c r="N13"/>
      <c r="O13"/>
      <c r="P13" t="s">
        <v>781</v>
      </c>
      <c r="Q13" t="s">
        <v>781</v>
      </c>
      <c r="R13" t="s">
        <v>782</v>
      </c>
      <c r="S13" t="s">
        <v>782</v>
      </c>
      <c r="T13"/>
      <c r="U13"/>
      <c r="V13" t="s">
        <v>17</v>
      </c>
    </row>
    <row r="14" spans="1:22" x14ac:dyDescent="0.3">
      <c r="A14" s="115" t="s">
        <v>13</v>
      </c>
      <c r="B14" s="114" t="s">
        <v>605</v>
      </c>
      <c r="C14" s="118">
        <v>1</v>
      </c>
      <c r="D14" s="113">
        <v>580</v>
      </c>
      <c r="E14" s="113">
        <v>493</v>
      </c>
      <c r="F14" s="113">
        <v>3.0000000000000001E-3</v>
      </c>
      <c r="G14" s="113" t="s">
        <v>606</v>
      </c>
      <c r="H14" s="118" t="s">
        <v>15</v>
      </c>
      <c r="I14" s="113" t="s">
        <v>16</v>
      </c>
      <c r="J14"/>
      <c r="K14"/>
      <c r="L14"/>
      <c r="M14"/>
      <c r="N14"/>
      <c r="O14"/>
      <c r="P14" t="s">
        <v>782</v>
      </c>
      <c r="Q14" t="s">
        <v>782</v>
      </c>
      <c r="R14" t="s">
        <v>782</v>
      </c>
      <c r="S14" t="s">
        <v>782</v>
      </c>
      <c r="T14"/>
      <c r="U14"/>
      <c r="V14" t="s">
        <v>17</v>
      </c>
    </row>
    <row r="15" spans="1:22" x14ac:dyDescent="0.3">
      <c r="A15" s="115" t="s">
        <v>18</v>
      </c>
      <c r="B15" s="114" t="s">
        <v>607</v>
      </c>
      <c r="C15" s="118">
        <v>1</v>
      </c>
      <c r="D15" s="113">
        <v>580</v>
      </c>
      <c r="E15" s="113">
        <v>493</v>
      </c>
      <c r="F15" s="113">
        <v>3.0000000000000001E-3</v>
      </c>
      <c r="G15" s="113" t="s">
        <v>606</v>
      </c>
      <c r="H15" s="118" t="s">
        <v>15</v>
      </c>
      <c r="I15" s="113" t="s">
        <v>16</v>
      </c>
      <c r="J15"/>
      <c r="K15"/>
      <c r="L15"/>
      <c r="M15"/>
      <c r="N15"/>
      <c r="O15"/>
      <c r="P15" t="s">
        <v>782</v>
      </c>
      <c r="Q15" t="s">
        <v>782</v>
      </c>
      <c r="R15" t="s">
        <v>782</v>
      </c>
      <c r="S15" t="s">
        <v>782</v>
      </c>
      <c r="T15"/>
      <c r="U15"/>
      <c r="V15" t="s">
        <v>17</v>
      </c>
    </row>
    <row r="16" spans="1:22" x14ac:dyDescent="0.3">
      <c r="A16" s="115" t="s">
        <v>19</v>
      </c>
      <c r="B16" s="114" t="s">
        <v>608</v>
      </c>
      <c r="C16" s="118">
        <v>1</v>
      </c>
      <c r="D16" s="113">
        <v>580</v>
      </c>
      <c r="E16" s="113">
        <v>493</v>
      </c>
      <c r="F16" s="113">
        <v>3.0000000000000001E-3</v>
      </c>
      <c r="G16" s="113" t="s">
        <v>606</v>
      </c>
      <c r="H16" s="118" t="s">
        <v>15</v>
      </c>
      <c r="I16" s="113" t="s">
        <v>16</v>
      </c>
      <c r="J16"/>
      <c r="K16"/>
      <c r="L16"/>
      <c r="M16"/>
      <c r="N16"/>
      <c r="O16"/>
      <c r="P16" t="s">
        <v>782</v>
      </c>
      <c r="Q16" t="s">
        <v>782</v>
      </c>
      <c r="R16" t="s">
        <v>782</v>
      </c>
      <c r="S16" t="s">
        <v>782</v>
      </c>
      <c r="T16"/>
      <c r="U16"/>
      <c r="V16" t="s">
        <v>17</v>
      </c>
    </row>
    <row r="17" spans="1:22" x14ac:dyDescent="0.3">
      <c r="A17" s="115" t="s">
        <v>13</v>
      </c>
      <c r="B17" s="114" t="s">
        <v>42</v>
      </c>
      <c r="C17" s="118">
        <v>2</v>
      </c>
      <c r="D17" s="113">
        <v>754</v>
      </c>
      <c r="E17" s="113">
        <v>617</v>
      </c>
      <c r="F17" s="113">
        <v>1.4999999999999999E-2</v>
      </c>
      <c r="G17" s="113" t="s">
        <v>609</v>
      </c>
      <c r="H17" s="118" t="s">
        <v>15</v>
      </c>
      <c r="I17" s="113" t="s">
        <v>16</v>
      </c>
      <c r="J17"/>
      <c r="K17"/>
      <c r="L17"/>
      <c r="M17"/>
      <c r="N17"/>
      <c r="O17"/>
      <c r="P17" t="s">
        <v>783</v>
      </c>
      <c r="Q17" t="s">
        <v>783</v>
      </c>
      <c r="R17" t="s">
        <v>783</v>
      </c>
      <c r="S17" t="s">
        <v>783</v>
      </c>
      <c r="T17"/>
      <c r="U17"/>
      <c r="V17" t="s">
        <v>17</v>
      </c>
    </row>
    <row r="18" spans="1:22" x14ac:dyDescent="0.3">
      <c r="A18" s="115" t="s">
        <v>18</v>
      </c>
      <c r="B18" s="114" t="s">
        <v>610</v>
      </c>
      <c r="C18" s="118">
        <v>1</v>
      </c>
      <c r="D18" s="113">
        <v>754</v>
      </c>
      <c r="E18" s="113">
        <v>596</v>
      </c>
      <c r="F18" s="113">
        <v>1.4999999999999999E-2</v>
      </c>
      <c r="G18" s="113" t="s">
        <v>611</v>
      </c>
      <c r="H18" s="118" t="s">
        <v>15</v>
      </c>
      <c r="I18" s="113" t="s">
        <v>16</v>
      </c>
      <c r="J18"/>
      <c r="K18"/>
      <c r="L18"/>
      <c r="M18"/>
      <c r="N18"/>
      <c r="O18"/>
      <c r="P18" t="s">
        <v>783</v>
      </c>
      <c r="Q18" t="s">
        <v>783</v>
      </c>
      <c r="R18" t="s">
        <v>783</v>
      </c>
      <c r="S18" t="s">
        <v>783</v>
      </c>
      <c r="T18"/>
      <c r="U18"/>
      <c r="V18" t="s">
        <v>17</v>
      </c>
    </row>
    <row r="19" spans="1:22" x14ac:dyDescent="0.3">
      <c r="A19" s="115" t="s">
        <v>19</v>
      </c>
      <c r="B19" s="114" t="s">
        <v>612</v>
      </c>
      <c r="C19" s="118">
        <v>1</v>
      </c>
      <c r="D19" s="113">
        <v>754</v>
      </c>
      <c r="E19" s="113">
        <v>596</v>
      </c>
      <c r="F19" s="113">
        <v>1.4999999999999999E-2</v>
      </c>
      <c r="G19" s="113" t="s">
        <v>611</v>
      </c>
      <c r="H19" s="118" t="s">
        <v>15</v>
      </c>
      <c r="I19" s="113" t="s">
        <v>16</v>
      </c>
      <c r="J19"/>
      <c r="K19"/>
      <c r="L19"/>
      <c r="M19"/>
      <c r="N19"/>
      <c r="O19"/>
      <c r="P19" t="s">
        <v>783</v>
      </c>
      <c r="Q19" t="s">
        <v>783</v>
      </c>
      <c r="R19" t="s">
        <v>783</v>
      </c>
      <c r="S19" t="s">
        <v>783</v>
      </c>
      <c r="T19"/>
      <c r="U19"/>
      <c r="V19" t="s">
        <v>17</v>
      </c>
    </row>
    <row r="20" spans="1:22" x14ac:dyDescent="0.3">
      <c r="A20" s="115" t="s">
        <v>20</v>
      </c>
      <c r="B20" s="114" t="s">
        <v>40</v>
      </c>
      <c r="C20" s="118">
        <v>1</v>
      </c>
      <c r="D20" s="113">
        <v>754</v>
      </c>
      <c r="E20" s="113">
        <v>576</v>
      </c>
      <c r="F20" s="113">
        <v>1.4999999999999999E-2</v>
      </c>
      <c r="G20" s="113" t="s">
        <v>613</v>
      </c>
      <c r="H20" s="118" t="s">
        <v>15</v>
      </c>
      <c r="I20" s="113" t="s">
        <v>16</v>
      </c>
      <c r="J20"/>
      <c r="K20"/>
      <c r="L20"/>
      <c r="M20"/>
      <c r="N20"/>
      <c r="O20"/>
      <c r="P20" t="s">
        <v>783</v>
      </c>
      <c r="Q20" t="s">
        <v>783</v>
      </c>
      <c r="R20" t="s">
        <v>783</v>
      </c>
      <c r="S20" t="s">
        <v>783</v>
      </c>
      <c r="T20"/>
      <c r="U20"/>
      <c r="V20" t="s">
        <v>17</v>
      </c>
    </row>
    <row r="21" spans="1:22" x14ac:dyDescent="0.3">
      <c r="A21" s="115" t="s">
        <v>22</v>
      </c>
      <c r="B21" s="114" t="s">
        <v>46</v>
      </c>
      <c r="C21" s="118">
        <v>1</v>
      </c>
      <c r="D21" s="113">
        <v>754</v>
      </c>
      <c r="E21" s="113">
        <v>576</v>
      </c>
      <c r="F21" s="113">
        <v>1.4999999999999999E-2</v>
      </c>
      <c r="G21" s="113" t="s">
        <v>613</v>
      </c>
      <c r="H21" s="118" t="s">
        <v>15</v>
      </c>
      <c r="I21" s="113" t="s">
        <v>16</v>
      </c>
      <c r="J21"/>
      <c r="K21"/>
      <c r="L21"/>
      <c r="M21"/>
      <c r="N21"/>
      <c r="O21"/>
      <c r="P21" t="s">
        <v>783</v>
      </c>
      <c r="Q21" t="s">
        <v>781</v>
      </c>
      <c r="R21" t="s">
        <v>783</v>
      </c>
      <c r="S21" t="s">
        <v>783</v>
      </c>
      <c r="T21"/>
      <c r="U21"/>
      <c r="V21" t="s">
        <v>17</v>
      </c>
    </row>
    <row r="22" spans="1:22" x14ac:dyDescent="0.3">
      <c r="A22" s="115" t="s">
        <v>23</v>
      </c>
      <c r="B22" s="114" t="s">
        <v>47</v>
      </c>
      <c r="C22" s="118">
        <v>1</v>
      </c>
      <c r="D22" s="113">
        <v>754</v>
      </c>
      <c r="E22" s="113">
        <v>576</v>
      </c>
      <c r="F22" s="113">
        <v>1.4999999999999999E-2</v>
      </c>
      <c r="G22" s="113" t="s">
        <v>613</v>
      </c>
      <c r="H22" s="118" t="s">
        <v>15</v>
      </c>
      <c r="I22" s="113" t="s">
        <v>16</v>
      </c>
      <c r="J22"/>
      <c r="K22"/>
      <c r="L22"/>
      <c r="M22"/>
      <c r="N22"/>
      <c r="O22"/>
      <c r="P22" t="s">
        <v>783</v>
      </c>
      <c r="Q22" t="s">
        <v>783</v>
      </c>
      <c r="R22" t="s">
        <v>783</v>
      </c>
      <c r="S22" t="s">
        <v>783</v>
      </c>
      <c r="T22"/>
      <c r="U22"/>
      <c r="V22" t="s">
        <v>17</v>
      </c>
    </row>
    <row r="23" spans="1:22" x14ac:dyDescent="0.3">
      <c r="A23" s="115" t="s">
        <v>25</v>
      </c>
      <c r="B23" s="114" t="s">
        <v>45</v>
      </c>
      <c r="C23" s="118">
        <v>1</v>
      </c>
      <c r="D23" s="113">
        <v>754</v>
      </c>
      <c r="E23" s="113">
        <v>576</v>
      </c>
      <c r="F23" s="113">
        <v>1.4999999999999999E-2</v>
      </c>
      <c r="G23" s="113" t="s">
        <v>613</v>
      </c>
      <c r="H23" s="118" t="s">
        <v>15</v>
      </c>
      <c r="I23" s="113" t="s">
        <v>16</v>
      </c>
      <c r="J23"/>
      <c r="K23"/>
      <c r="L23"/>
      <c r="M23"/>
      <c r="N23"/>
      <c r="O23"/>
      <c r="P23" t="s">
        <v>783</v>
      </c>
      <c r="Q23" t="s">
        <v>783</v>
      </c>
      <c r="R23" t="s">
        <v>783</v>
      </c>
      <c r="S23" t="s">
        <v>783</v>
      </c>
      <c r="T23"/>
      <c r="U23"/>
      <c r="V23" t="s">
        <v>17</v>
      </c>
    </row>
    <row r="24" spans="1:22" x14ac:dyDescent="0.3">
      <c r="A24" s="115" t="s">
        <v>26</v>
      </c>
      <c r="B24" s="114" t="s">
        <v>614</v>
      </c>
      <c r="C24" s="118">
        <v>1</v>
      </c>
      <c r="D24" s="113">
        <v>754</v>
      </c>
      <c r="E24" s="113">
        <v>475</v>
      </c>
      <c r="F24" s="113">
        <v>1.4999999999999999E-2</v>
      </c>
      <c r="G24" s="113" t="s">
        <v>615</v>
      </c>
      <c r="H24" s="118" t="s">
        <v>15</v>
      </c>
      <c r="I24" s="113" t="s">
        <v>16</v>
      </c>
      <c r="J24"/>
      <c r="K24"/>
      <c r="L24"/>
      <c r="M24"/>
      <c r="N24"/>
      <c r="O24"/>
      <c r="P24" t="s">
        <v>783</v>
      </c>
      <c r="Q24" t="s">
        <v>783</v>
      </c>
      <c r="R24" t="s">
        <v>783</v>
      </c>
      <c r="S24" t="s">
        <v>783</v>
      </c>
      <c r="T24"/>
      <c r="U24"/>
      <c r="V24" t="s">
        <v>17</v>
      </c>
    </row>
    <row r="25" spans="1:22" x14ac:dyDescent="0.3">
      <c r="A25" s="115" t="s">
        <v>27</v>
      </c>
      <c r="B25" s="114" t="s">
        <v>44</v>
      </c>
      <c r="C25" s="118">
        <v>1</v>
      </c>
      <c r="D25" s="113">
        <v>754</v>
      </c>
      <c r="E25" s="113">
        <v>475</v>
      </c>
      <c r="F25" s="113">
        <v>1.4999999999999999E-2</v>
      </c>
      <c r="G25" s="113" t="s">
        <v>615</v>
      </c>
      <c r="H25" s="118" t="s">
        <v>15</v>
      </c>
      <c r="I25" s="113" t="s">
        <v>16</v>
      </c>
      <c r="J25"/>
      <c r="K25"/>
      <c r="L25"/>
      <c r="M25"/>
      <c r="N25"/>
      <c r="O25"/>
      <c r="P25" t="s">
        <v>783</v>
      </c>
      <c r="Q25" t="s">
        <v>783</v>
      </c>
      <c r="R25" t="s">
        <v>783</v>
      </c>
      <c r="S25" t="s">
        <v>783</v>
      </c>
      <c r="T25"/>
      <c r="U25"/>
      <c r="V25" t="s">
        <v>17</v>
      </c>
    </row>
    <row r="26" spans="1:22" x14ac:dyDescent="0.3">
      <c r="A26" s="115" t="s">
        <v>28</v>
      </c>
      <c r="B26" s="114" t="s">
        <v>616</v>
      </c>
      <c r="C26" s="118">
        <v>1</v>
      </c>
      <c r="D26" s="113">
        <v>644</v>
      </c>
      <c r="E26" s="113">
        <v>361</v>
      </c>
      <c r="F26" s="113">
        <v>1.4999999999999999E-2</v>
      </c>
      <c r="G26" s="113" t="s">
        <v>617</v>
      </c>
      <c r="H26" s="118" t="s">
        <v>15</v>
      </c>
      <c r="I26" s="113" t="s">
        <v>16</v>
      </c>
      <c r="J26"/>
      <c r="K26"/>
      <c r="L26"/>
      <c r="M26"/>
      <c r="N26"/>
      <c r="O26"/>
      <c r="P26" t="s">
        <v>783</v>
      </c>
      <c r="Q26" t="s">
        <v>783</v>
      </c>
      <c r="R26" t="s">
        <v>783</v>
      </c>
      <c r="S26" t="s">
        <v>783</v>
      </c>
      <c r="T26"/>
      <c r="U26"/>
      <c r="V26" t="s">
        <v>17</v>
      </c>
    </row>
    <row r="27" spans="1:22" x14ac:dyDescent="0.3">
      <c r="A27" s="115" t="s">
        <v>29</v>
      </c>
      <c r="B27" s="114" t="s">
        <v>618</v>
      </c>
      <c r="C27" s="118">
        <v>1</v>
      </c>
      <c r="D27" s="113">
        <v>644</v>
      </c>
      <c r="E27" s="113">
        <v>361</v>
      </c>
      <c r="F27" s="113">
        <v>1.4999999999999999E-2</v>
      </c>
      <c r="G27" s="113" t="s">
        <v>617</v>
      </c>
      <c r="H27" s="118" t="s">
        <v>15</v>
      </c>
      <c r="I27" s="113" t="s">
        <v>16</v>
      </c>
      <c r="J27"/>
      <c r="K27"/>
      <c r="L27"/>
      <c r="M27"/>
      <c r="N27"/>
      <c r="O27"/>
      <c r="P27" t="s">
        <v>783</v>
      </c>
      <c r="Q27" t="s">
        <v>783</v>
      </c>
      <c r="R27" t="s">
        <v>783</v>
      </c>
      <c r="S27" t="s">
        <v>783</v>
      </c>
      <c r="T27"/>
      <c r="U27"/>
      <c r="V27" t="s">
        <v>17</v>
      </c>
    </row>
    <row r="28" spans="1:22" x14ac:dyDescent="0.3">
      <c r="A28" s="115" t="s">
        <v>31</v>
      </c>
      <c r="B28" s="114" t="s">
        <v>619</v>
      </c>
      <c r="C28" s="118">
        <v>1</v>
      </c>
      <c r="D28" s="113">
        <v>594</v>
      </c>
      <c r="E28" s="113">
        <v>120</v>
      </c>
      <c r="F28" s="113">
        <v>1.4999999999999999E-2</v>
      </c>
      <c r="G28" s="113" t="s">
        <v>35</v>
      </c>
      <c r="H28" s="118" t="s">
        <v>15</v>
      </c>
      <c r="I28" s="113" t="s">
        <v>16</v>
      </c>
      <c r="J28"/>
      <c r="K28"/>
      <c r="L28"/>
      <c r="M28"/>
      <c r="N28"/>
      <c r="O28"/>
      <c r="P28" t="s">
        <v>783</v>
      </c>
      <c r="Q28" t="s">
        <v>783</v>
      </c>
      <c r="R28" t="s">
        <v>783</v>
      </c>
      <c r="S28" t="s">
        <v>783</v>
      </c>
      <c r="T28"/>
      <c r="U28"/>
      <c r="V28" t="s">
        <v>17</v>
      </c>
    </row>
    <row r="29" spans="1:22" x14ac:dyDescent="0.3">
      <c r="A29" s="115" t="s">
        <v>13</v>
      </c>
      <c r="B29" s="114" t="s">
        <v>87</v>
      </c>
      <c r="C29" s="118">
        <v>1</v>
      </c>
      <c r="D29" s="113">
        <v>754</v>
      </c>
      <c r="E29" s="113">
        <v>1.9E-2</v>
      </c>
      <c r="F29" s="113">
        <v>0</v>
      </c>
      <c r="G29"/>
      <c r="H29" s="118" t="s">
        <v>48</v>
      </c>
      <c r="I29" s="113" t="s">
        <v>49</v>
      </c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3">
      <c r="A30" s="115" t="s">
        <v>18</v>
      </c>
      <c r="B30" s="114" t="s">
        <v>620</v>
      </c>
      <c r="C30" s="118">
        <v>1</v>
      </c>
      <c r="D30" s="113">
        <v>564</v>
      </c>
      <c r="E30" s="113">
        <v>1.9E-2</v>
      </c>
      <c r="F30" s="113">
        <v>0</v>
      </c>
      <c r="G30"/>
      <c r="H30" s="118" t="s">
        <v>48</v>
      </c>
      <c r="I30" s="113" t="s">
        <v>49</v>
      </c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3">
      <c r="A31" s="115" t="s">
        <v>19</v>
      </c>
      <c r="B31" s="114" t="s">
        <v>621</v>
      </c>
      <c r="C31" s="118">
        <v>1</v>
      </c>
      <c r="D31" s="113">
        <v>564</v>
      </c>
      <c r="E31" s="113">
        <v>1.9E-2</v>
      </c>
      <c r="F31" s="113">
        <v>0</v>
      </c>
      <c r="G31"/>
      <c r="H31" s="118" t="s">
        <v>48</v>
      </c>
      <c r="I31" s="113" t="s">
        <v>49</v>
      </c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3">
      <c r="A32" s="115" t="s">
        <v>20</v>
      </c>
      <c r="B32" s="114" t="s">
        <v>622</v>
      </c>
      <c r="C32" s="118">
        <v>1</v>
      </c>
      <c r="D32" s="113">
        <v>564</v>
      </c>
      <c r="E32" s="113">
        <v>1.9E-2</v>
      </c>
      <c r="F32" s="113">
        <v>0</v>
      </c>
      <c r="G32"/>
      <c r="H32" s="118" t="s">
        <v>48</v>
      </c>
      <c r="I32" s="113" t="s">
        <v>49</v>
      </c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9" x14ac:dyDescent="0.3">
      <c r="A33" s="115" t="s">
        <v>22</v>
      </c>
      <c r="B33" s="114" t="s">
        <v>623</v>
      </c>
      <c r="C33" s="118">
        <v>1</v>
      </c>
      <c r="D33" s="113">
        <v>564</v>
      </c>
      <c r="E33" s="113">
        <v>1.9E-2</v>
      </c>
      <c r="F33" s="113">
        <v>0</v>
      </c>
      <c r="G33"/>
      <c r="H33" s="118" t="s">
        <v>48</v>
      </c>
      <c r="I33" s="113" t="s">
        <v>49</v>
      </c>
    </row>
    <row r="34" spans="1:9" x14ac:dyDescent="0.3">
      <c r="A34" s="115" t="s">
        <v>23</v>
      </c>
      <c r="B34" s="114" t="s">
        <v>624</v>
      </c>
      <c r="C34" s="118">
        <v>1</v>
      </c>
      <c r="D34" s="113">
        <v>564</v>
      </c>
      <c r="E34" s="113">
        <v>1.9E-2</v>
      </c>
      <c r="F34" s="113">
        <v>0</v>
      </c>
      <c r="G34"/>
      <c r="H34" s="118" t="s">
        <v>48</v>
      </c>
      <c r="I34" s="113" t="s">
        <v>49</v>
      </c>
    </row>
    <row r="35" spans="1:9" x14ac:dyDescent="0.3">
      <c r="A35" s="115" t="s">
        <v>25</v>
      </c>
      <c r="B35" s="114" t="s">
        <v>625</v>
      </c>
      <c r="C35" s="118">
        <v>1</v>
      </c>
      <c r="D35" s="113">
        <v>564</v>
      </c>
      <c r="E35" s="113">
        <v>1.9E-2</v>
      </c>
      <c r="F35" s="113">
        <v>0</v>
      </c>
      <c r="G35"/>
      <c r="H35" s="118" t="s">
        <v>48</v>
      </c>
      <c r="I35" s="113" t="s">
        <v>49</v>
      </c>
    </row>
    <row r="36" spans="1:9" x14ac:dyDescent="0.3">
      <c r="A36" s="115" t="s">
        <v>26</v>
      </c>
      <c r="B36" s="114" t="s">
        <v>626</v>
      </c>
      <c r="C36" s="118">
        <v>1</v>
      </c>
      <c r="D36" s="113">
        <v>564</v>
      </c>
      <c r="E36" s="113">
        <v>1.9E-2</v>
      </c>
      <c r="F36" s="113">
        <v>0</v>
      </c>
      <c r="G36"/>
      <c r="H36" s="118" t="s">
        <v>48</v>
      </c>
      <c r="I36" s="113" t="s">
        <v>49</v>
      </c>
    </row>
    <row r="37" spans="1:9" x14ac:dyDescent="0.3">
      <c r="A37" s="115" t="s">
        <v>27</v>
      </c>
      <c r="B37" s="114" t="s">
        <v>627</v>
      </c>
      <c r="C37" s="118">
        <v>1</v>
      </c>
      <c r="D37" s="113">
        <v>564</v>
      </c>
      <c r="E37" s="113">
        <v>1.9E-2</v>
      </c>
      <c r="F37" s="113">
        <v>0</v>
      </c>
      <c r="G37"/>
      <c r="H37" s="118" t="s">
        <v>48</v>
      </c>
      <c r="I37" s="113" t="s">
        <v>49</v>
      </c>
    </row>
    <row r="38" spans="1:9" x14ac:dyDescent="0.3">
      <c r="A38" s="115" t="s">
        <v>28</v>
      </c>
      <c r="B38" s="114" t="s">
        <v>628</v>
      </c>
      <c r="C38" s="118">
        <v>1</v>
      </c>
      <c r="D38" s="113">
        <v>564</v>
      </c>
      <c r="E38" s="113">
        <v>1.9E-2</v>
      </c>
      <c r="F38" s="113">
        <v>0</v>
      </c>
      <c r="G38"/>
      <c r="H38" s="118" t="s">
        <v>48</v>
      </c>
      <c r="I38" s="113" t="s">
        <v>49</v>
      </c>
    </row>
    <row r="39" spans="1:9" x14ac:dyDescent="0.3">
      <c r="A39" s="115" t="s">
        <v>29</v>
      </c>
      <c r="B39" s="114" t="s">
        <v>629</v>
      </c>
      <c r="C39" s="118">
        <v>1</v>
      </c>
      <c r="D39" s="113">
        <v>564</v>
      </c>
      <c r="E39" s="113">
        <v>1.9E-2</v>
      </c>
      <c r="F39" s="113">
        <v>0</v>
      </c>
      <c r="G39"/>
      <c r="H39" s="118" t="s">
        <v>48</v>
      </c>
      <c r="I39" s="113" t="s">
        <v>49</v>
      </c>
    </row>
    <row r="40" spans="1:9" x14ac:dyDescent="0.3">
      <c r="A40" s="115" t="s">
        <v>31</v>
      </c>
      <c r="B40" s="114" t="s">
        <v>630</v>
      </c>
      <c r="C40" s="118">
        <v>1</v>
      </c>
      <c r="D40" s="113">
        <v>564</v>
      </c>
      <c r="E40" s="113">
        <v>1.9E-2</v>
      </c>
      <c r="F40" s="113">
        <v>0</v>
      </c>
      <c r="G40"/>
      <c r="H40" s="118" t="s">
        <v>48</v>
      </c>
      <c r="I40" s="113" t="s">
        <v>49</v>
      </c>
    </row>
    <row r="41" spans="1:9" x14ac:dyDescent="0.3">
      <c r="A41" s="115" t="s">
        <v>32</v>
      </c>
      <c r="B41" s="114" t="s">
        <v>631</v>
      </c>
      <c r="C41" s="118">
        <v>1</v>
      </c>
      <c r="D41" s="113">
        <v>564</v>
      </c>
      <c r="E41" s="113">
        <v>1.9E-2</v>
      </c>
      <c r="F41" s="113">
        <v>0</v>
      </c>
      <c r="G41"/>
      <c r="H41" s="118" t="s">
        <v>48</v>
      </c>
      <c r="I41" s="113" t="s">
        <v>49</v>
      </c>
    </row>
    <row r="42" spans="1:9" x14ac:dyDescent="0.3">
      <c r="A42" s="115" t="s">
        <v>33</v>
      </c>
      <c r="B42" s="114" t="s">
        <v>632</v>
      </c>
      <c r="C42" s="118">
        <v>1</v>
      </c>
      <c r="D42" s="113">
        <v>500</v>
      </c>
      <c r="E42" s="113">
        <v>1.9E-2</v>
      </c>
      <c r="F42" s="113">
        <v>0</v>
      </c>
      <c r="G42"/>
      <c r="H42" s="118" t="s">
        <v>48</v>
      </c>
      <c r="I42" s="113" t="s">
        <v>49</v>
      </c>
    </row>
    <row r="43" spans="1:9" x14ac:dyDescent="0.3">
      <c r="A43" s="115" t="s">
        <v>34</v>
      </c>
      <c r="B43" s="114" t="s">
        <v>633</v>
      </c>
      <c r="C43" s="118">
        <v>1</v>
      </c>
      <c r="D43" s="113">
        <v>500</v>
      </c>
      <c r="E43" s="113">
        <v>1.9E-2</v>
      </c>
      <c r="F43" s="113">
        <v>0</v>
      </c>
      <c r="G43"/>
      <c r="H43" s="118" t="s">
        <v>48</v>
      </c>
      <c r="I43" s="113" t="s">
        <v>49</v>
      </c>
    </row>
    <row r="44" spans="1:9" x14ac:dyDescent="0.3">
      <c r="A44" s="115" t="s">
        <v>36</v>
      </c>
      <c r="B44" s="114" t="s">
        <v>634</v>
      </c>
      <c r="C44" s="118">
        <v>1</v>
      </c>
      <c r="D44" s="113">
        <v>500</v>
      </c>
      <c r="E44" s="113">
        <v>1.9E-2</v>
      </c>
      <c r="F44" s="113">
        <v>0</v>
      </c>
      <c r="G44"/>
      <c r="H44" s="118" t="s">
        <v>48</v>
      </c>
      <c r="I44" s="113" t="s">
        <v>49</v>
      </c>
    </row>
    <row r="45" spans="1:9" x14ac:dyDescent="0.3">
      <c r="A45" s="115" t="s">
        <v>37</v>
      </c>
      <c r="B45" s="114" t="s">
        <v>635</v>
      </c>
      <c r="C45" s="118">
        <v>1</v>
      </c>
      <c r="D45" s="113">
        <v>500</v>
      </c>
      <c r="E45" s="113">
        <v>1.9E-2</v>
      </c>
      <c r="F45" s="113">
        <v>0</v>
      </c>
      <c r="G45"/>
      <c r="H45" s="118" t="s">
        <v>48</v>
      </c>
      <c r="I45" s="113" t="s">
        <v>49</v>
      </c>
    </row>
    <row r="46" spans="1:9" x14ac:dyDescent="0.3">
      <c r="A46" s="115" t="s">
        <v>38</v>
      </c>
      <c r="B46" s="114" t="s">
        <v>636</v>
      </c>
      <c r="C46" s="118">
        <v>1</v>
      </c>
      <c r="D46" s="113">
        <v>500</v>
      </c>
      <c r="E46" s="113">
        <v>1.9E-2</v>
      </c>
      <c r="F46" s="113">
        <v>0</v>
      </c>
      <c r="G46"/>
      <c r="H46" s="118" t="s">
        <v>48</v>
      </c>
      <c r="I46" s="113" t="s">
        <v>49</v>
      </c>
    </row>
    <row r="47" spans="1:9" x14ac:dyDescent="0.3">
      <c r="A47" s="115" t="s">
        <v>39</v>
      </c>
      <c r="B47" s="114" t="s">
        <v>637</v>
      </c>
      <c r="C47" s="118">
        <v>1</v>
      </c>
      <c r="D47" s="113">
        <v>500</v>
      </c>
      <c r="E47" s="113">
        <v>1.9E-2</v>
      </c>
      <c r="F47" s="113">
        <v>0</v>
      </c>
      <c r="G47"/>
      <c r="H47" s="118" t="s">
        <v>48</v>
      </c>
      <c r="I47" s="113" t="s">
        <v>49</v>
      </c>
    </row>
    <row r="48" spans="1:9" x14ac:dyDescent="0.3">
      <c r="A48" s="115" t="s">
        <v>56</v>
      </c>
      <c r="B48" s="114" t="s">
        <v>638</v>
      </c>
      <c r="C48" s="118">
        <v>1</v>
      </c>
      <c r="D48" s="113">
        <v>500</v>
      </c>
      <c r="E48" s="113">
        <v>1.9E-2</v>
      </c>
      <c r="F48" s="113">
        <v>0</v>
      </c>
      <c r="G48"/>
      <c r="H48" s="118" t="s">
        <v>48</v>
      </c>
      <c r="I48" s="113" t="s">
        <v>49</v>
      </c>
    </row>
    <row r="49" spans="1:9" x14ac:dyDescent="0.3">
      <c r="A49" s="115" t="s">
        <v>58</v>
      </c>
      <c r="B49" s="114" t="s">
        <v>639</v>
      </c>
      <c r="C49" s="118">
        <v>1</v>
      </c>
      <c r="D49" s="113">
        <v>500</v>
      </c>
      <c r="E49" s="113">
        <v>1.9E-2</v>
      </c>
      <c r="F49" s="113">
        <v>0</v>
      </c>
      <c r="G49"/>
      <c r="H49" s="118" t="s">
        <v>48</v>
      </c>
      <c r="I49" s="113" t="s">
        <v>49</v>
      </c>
    </row>
    <row r="50" spans="1:9" x14ac:dyDescent="0.3">
      <c r="A50" s="115" t="s">
        <v>59</v>
      </c>
      <c r="B50" s="114" t="s">
        <v>640</v>
      </c>
      <c r="C50" s="118">
        <v>1</v>
      </c>
      <c r="D50" s="113">
        <v>500</v>
      </c>
      <c r="E50" s="113">
        <v>1.9E-2</v>
      </c>
      <c r="F50" s="113">
        <v>0</v>
      </c>
      <c r="G50"/>
      <c r="H50" s="118" t="s">
        <v>48</v>
      </c>
      <c r="I50" s="113" t="s">
        <v>49</v>
      </c>
    </row>
    <row r="51" spans="1:9" x14ac:dyDescent="0.3">
      <c r="A51" s="115" t="s">
        <v>60</v>
      </c>
      <c r="B51" s="114" t="s">
        <v>641</v>
      </c>
      <c r="C51" s="118">
        <v>1</v>
      </c>
      <c r="D51" s="113">
        <v>500</v>
      </c>
      <c r="E51" s="113">
        <v>1.9E-2</v>
      </c>
      <c r="F51" s="113">
        <v>0</v>
      </c>
      <c r="G51"/>
      <c r="H51" s="118" t="s">
        <v>48</v>
      </c>
      <c r="I51" s="113" t="s">
        <v>49</v>
      </c>
    </row>
    <row r="52" spans="1:9" x14ac:dyDescent="0.3">
      <c r="A52" s="115" t="s">
        <v>61</v>
      </c>
      <c r="B52" s="114" t="s">
        <v>642</v>
      </c>
      <c r="C52" s="118">
        <v>1</v>
      </c>
      <c r="D52" s="113">
        <v>500</v>
      </c>
      <c r="E52" s="113">
        <v>1.9E-2</v>
      </c>
      <c r="F52" s="113">
        <v>0</v>
      </c>
      <c r="G52"/>
      <c r="H52" s="118" t="s">
        <v>48</v>
      </c>
      <c r="I52" s="113" t="s">
        <v>49</v>
      </c>
    </row>
    <row r="53" spans="1:9" x14ac:dyDescent="0.3">
      <c r="A53" s="115" t="s">
        <v>63</v>
      </c>
      <c r="B53" s="114" t="s">
        <v>643</v>
      </c>
      <c r="C53" s="118">
        <v>1</v>
      </c>
      <c r="D53" s="113">
        <v>500</v>
      </c>
      <c r="E53" s="113">
        <v>1.9E-2</v>
      </c>
      <c r="F53" s="113">
        <v>0</v>
      </c>
      <c r="G53"/>
      <c r="H53" s="118" t="s">
        <v>48</v>
      </c>
      <c r="I53" s="113" t="s">
        <v>49</v>
      </c>
    </row>
    <row r="54" spans="1:9" x14ac:dyDescent="0.3">
      <c r="A54" s="115" t="s">
        <v>65</v>
      </c>
      <c r="B54" s="114" t="s">
        <v>644</v>
      </c>
      <c r="C54" s="118">
        <v>1</v>
      </c>
      <c r="D54" s="113">
        <v>280</v>
      </c>
      <c r="E54" s="113">
        <v>1.9E-2</v>
      </c>
      <c r="F54" s="113">
        <v>0</v>
      </c>
      <c r="G54"/>
      <c r="H54" s="118" t="s">
        <v>48</v>
      </c>
      <c r="I54" s="113" t="s">
        <v>49</v>
      </c>
    </row>
    <row r="55" spans="1:9" x14ac:dyDescent="0.3">
      <c r="A55" s="115" t="s">
        <v>66</v>
      </c>
      <c r="B55" s="114" t="s">
        <v>645</v>
      </c>
      <c r="C55" s="118">
        <v>1</v>
      </c>
      <c r="D55" s="113">
        <v>280</v>
      </c>
      <c r="E55" s="113">
        <v>1.9E-2</v>
      </c>
      <c r="F55" s="113">
        <v>0</v>
      </c>
      <c r="G55"/>
      <c r="H55" s="118" t="s">
        <v>48</v>
      </c>
      <c r="I55" s="113" t="s">
        <v>49</v>
      </c>
    </row>
    <row r="56" spans="1:9" x14ac:dyDescent="0.3">
      <c r="A56" s="115" t="s">
        <v>67</v>
      </c>
      <c r="B56" s="114" t="s">
        <v>646</v>
      </c>
      <c r="C56" s="118">
        <v>1</v>
      </c>
      <c r="D56" s="113">
        <v>280</v>
      </c>
      <c r="E56" s="113">
        <v>1.9E-2</v>
      </c>
      <c r="F56" s="113">
        <v>0</v>
      </c>
      <c r="G56"/>
      <c r="H56" s="118" t="s">
        <v>48</v>
      </c>
      <c r="I56" s="113" t="s">
        <v>49</v>
      </c>
    </row>
    <row r="57" spans="1:9" x14ac:dyDescent="0.3">
      <c r="A57" s="115" t="s">
        <v>68</v>
      </c>
      <c r="B57" s="114" t="s">
        <v>647</v>
      </c>
      <c r="C57" s="118">
        <v>1</v>
      </c>
      <c r="D57" s="113">
        <v>280</v>
      </c>
      <c r="E57" s="113">
        <v>1.9E-2</v>
      </c>
      <c r="F57" s="113">
        <v>0</v>
      </c>
      <c r="G57"/>
      <c r="H57" s="118" t="s">
        <v>48</v>
      </c>
      <c r="I57" s="113" t="s">
        <v>49</v>
      </c>
    </row>
    <row r="58" spans="1:9" x14ac:dyDescent="0.3">
      <c r="A58" s="115" t="s">
        <v>69</v>
      </c>
      <c r="B58" s="114" t="s">
        <v>648</v>
      </c>
      <c r="C58" s="118">
        <v>1</v>
      </c>
      <c r="D58" s="113">
        <v>160</v>
      </c>
      <c r="E58" s="113">
        <v>1.9E-2</v>
      </c>
      <c r="F58" s="113">
        <v>0</v>
      </c>
      <c r="G58"/>
      <c r="H58" s="118" t="s">
        <v>48</v>
      </c>
      <c r="I58" s="113" t="s">
        <v>49</v>
      </c>
    </row>
    <row r="59" spans="1:9" x14ac:dyDescent="0.3">
      <c r="A59" s="115" t="s">
        <v>70</v>
      </c>
      <c r="B59" s="114" t="s">
        <v>649</v>
      </c>
      <c r="C59" s="118">
        <v>1</v>
      </c>
      <c r="D59" s="113">
        <v>160</v>
      </c>
      <c r="E59" s="113">
        <v>1.9E-2</v>
      </c>
      <c r="F59" s="113">
        <v>0</v>
      </c>
      <c r="G59"/>
      <c r="H59" s="118" t="s">
        <v>48</v>
      </c>
      <c r="I59" s="113" t="s">
        <v>49</v>
      </c>
    </row>
    <row r="60" spans="1:9" x14ac:dyDescent="0.3">
      <c r="A60" s="115" t="s">
        <v>71</v>
      </c>
      <c r="B60" s="114" t="s">
        <v>650</v>
      </c>
      <c r="C60" s="118">
        <v>1</v>
      </c>
      <c r="D60" s="113">
        <v>160</v>
      </c>
      <c r="E60" s="113">
        <v>1.9E-2</v>
      </c>
      <c r="F60" s="113">
        <v>0</v>
      </c>
      <c r="G60"/>
      <c r="H60" s="118" t="s">
        <v>48</v>
      </c>
      <c r="I60" s="113" t="s">
        <v>49</v>
      </c>
    </row>
    <row r="61" spans="1:9" x14ac:dyDescent="0.3">
      <c r="A61" s="115" t="s">
        <v>72</v>
      </c>
      <c r="B61" s="114" t="s">
        <v>651</v>
      </c>
      <c r="C61" s="118">
        <v>1</v>
      </c>
      <c r="D61" s="113">
        <v>160</v>
      </c>
      <c r="E61" s="113">
        <v>1.9E-2</v>
      </c>
      <c r="F61" s="113">
        <v>0</v>
      </c>
      <c r="G61"/>
      <c r="H61" s="118" t="s">
        <v>48</v>
      </c>
      <c r="I61" s="113" t="s">
        <v>49</v>
      </c>
    </row>
    <row r="62" spans="1:9" x14ac:dyDescent="0.3">
      <c r="A62" s="115" t="s">
        <v>13</v>
      </c>
      <c r="B62" s="114" t="s">
        <v>652</v>
      </c>
      <c r="C62" s="118">
        <v>1</v>
      </c>
      <c r="D62" s="113">
        <v>580</v>
      </c>
      <c r="E62" s="113">
        <v>1.9E-2</v>
      </c>
      <c r="F62" s="113">
        <v>2</v>
      </c>
      <c r="G62"/>
      <c r="H62" s="118" t="s">
        <v>48</v>
      </c>
      <c r="I62" s="113" t="s">
        <v>49</v>
      </c>
    </row>
    <row r="63" spans="1:9" x14ac:dyDescent="0.3">
      <c r="A63" s="115" t="s">
        <v>18</v>
      </c>
      <c r="B63" s="114" t="s">
        <v>653</v>
      </c>
      <c r="C63" s="118">
        <v>1</v>
      </c>
      <c r="D63" s="113">
        <v>580</v>
      </c>
      <c r="E63" s="113">
        <v>1.9E-2</v>
      </c>
      <c r="F63" s="113">
        <v>2</v>
      </c>
      <c r="G63"/>
      <c r="H63" s="118" t="s">
        <v>48</v>
      </c>
      <c r="I63" s="113" t="s">
        <v>49</v>
      </c>
    </row>
    <row r="64" spans="1:9" x14ac:dyDescent="0.3">
      <c r="A64" s="115" t="s">
        <v>19</v>
      </c>
      <c r="B64" s="114" t="s">
        <v>654</v>
      </c>
      <c r="C64" s="118">
        <v>1</v>
      </c>
      <c r="D64" s="113">
        <v>580</v>
      </c>
      <c r="E64" s="113">
        <v>1.9E-2</v>
      </c>
      <c r="F64" s="113">
        <v>2</v>
      </c>
      <c r="G64"/>
      <c r="H64" s="118" t="s">
        <v>48</v>
      </c>
      <c r="I64" s="113" t="s">
        <v>49</v>
      </c>
    </row>
    <row r="65" spans="1:9" x14ac:dyDescent="0.3">
      <c r="A65" s="115" t="s">
        <v>20</v>
      </c>
      <c r="B65" s="114" t="s">
        <v>655</v>
      </c>
      <c r="C65" s="118">
        <v>1</v>
      </c>
      <c r="D65" s="113">
        <v>580</v>
      </c>
      <c r="E65" s="113">
        <v>1.9E-2</v>
      </c>
      <c r="F65" s="113">
        <v>2</v>
      </c>
      <c r="G65"/>
      <c r="H65" s="118" t="s">
        <v>48</v>
      </c>
      <c r="I65" s="113" t="s">
        <v>49</v>
      </c>
    </row>
    <row r="66" spans="1:9" x14ac:dyDescent="0.3">
      <c r="A66" s="115" t="s">
        <v>22</v>
      </c>
      <c r="B66" s="114" t="s">
        <v>656</v>
      </c>
      <c r="C66" s="118">
        <v>1</v>
      </c>
      <c r="D66" s="113">
        <v>580</v>
      </c>
      <c r="E66" s="113">
        <v>1.9E-2</v>
      </c>
      <c r="F66" s="113">
        <v>2</v>
      </c>
      <c r="G66"/>
      <c r="H66" s="118" t="s">
        <v>48</v>
      </c>
      <c r="I66" s="113" t="s">
        <v>49</v>
      </c>
    </row>
    <row r="67" spans="1:9" x14ac:dyDescent="0.3">
      <c r="A67" s="115" t="s">
        <v>23</v>
      </c>
      <c r="B67" s="114" t="s">
        <v>657</v>
      </c>
      <c r="C67" s="118">
        <v>1</v>
      </c>
      <c r="D67" s="113">
        <v>580</v>
      </c>
      <c r="E67" s="113">
        <v>1.9E-2</v>
      </c>
      <c r="F67" s="113">
        <v>2</v>
      </c>
      <c r="G67"/>
      <c r="H67" s="118" t="s">
        <v>48</v>
      </c>
      <c r="I67" s="113" t="s">
        <v>49</v>
      </c>
    </row>
    <row r="68" spans="1:9" x14ac:dyDescent="0.3">
      <c r="A68" s="115" t="s">
        <v>25</v>
      </c>
      <c r="B68" s="114" t="s">
        <v>658</v>
      </c>
      <c r="C68" s="118">
        <v>1</v>
      </c>
      <c r="D68" s="113">
        <v>493</v>
      </c>
      <c r="E68" s="113">
        <v>1.9E-2</v>
      </c>
      <c r="F68" s="113">
        <v>2</v>
      </c>
      <c r="G68"/>
      <c r="H68" s="118" t="s">
        <v>48</v>
      </c>
      <c r="I68" s="113" t="s">
        <v>49</v>
      </c>
    </row>
    <row r="69" spans="1:9" x14ac:dyDescent="0.3">
      <c r="A69" s="115" t="s">
        <v>26</v>
      </c>
      <c r="B69" s="114" t="s">
        <v>659</v>
      </c>
      <c r="C69" s="118">
        <v>1</v>
      </c>
      <c r="D69" s="113">
        <v>493</v>
      </c>
      <c r="E69" s="113">
        <v>1.9E-2</v>
      </c>
      <c r="F69" s="113">
        <v>2</v>
      </c>
      <c r="G69"/>
      <c r="H69" s="118" t="s">
        <v>48</v>
      </c>
      <c r="I69" s="113" t="s">
        <v>49</v>
      </c>
    </row>
    <row r="70" spans="1:9" x14ac:dyDescent="0.3">
      <c r="A70" s="115" t="s">
        <v>27</v>
      </c>
      <c r="B70" s="114" t="s">
        <v>660</v>
      </c>
      <c r="C70" s="118">
        <v>1</v>
      </c>
      <c r="D70" s="113">
        <v>493</v>
      </c>
      <c r="E70" s="113">
        <v>1.9E-2</v>
      </c>
      <c r="F70" s="113">
        <v>2</v>
      </c>
      <c r="G70"/>
      <c r="H70" s="118" t="s">
        <v>48</v>
      </c>
      <c r="I70" s="113" t="s">
        <v>49</v>
      </c>
    </row>
    <row r="71" spans="1:9" x14ac:dyDescent="0.3">
      <c r="A71" s="115" t="s">
        <v>28</v>
      </c>
      <c r="B71" s="114" t="s">
        <v>661</v>
      </c>
      <c r="C71" s="118">
        <v>1</v>
      </c>
      <c r="D71" s="113">
        <v>493</v>
      </c>
      <c r="E71" s="113">
        <v>1.9E-2</v>
      </c>
      <c r="F71" s="113">
        <v>2</v>
      </c>
      <c r="G71"/>
      <c r="H71" s="118" t="s">
        <v>48</v>
      </c>
      <c r="I71" s="113" t="s">
        <v>49</v>
      </c>
    </row>
    <row r="72" spans="1:9" x14ac:dyDescent="0.3">
      <c r="A72" s="115" t="s">
        <v>29</v>
      </c>
      <c r="B72" s="114" t="s">
        <v>662</v>
      </c>
      <c r="C72" s="118">
        <v>1</v>
      </c>
      <c r="D72" s="113">
        <v>493</v>
      </c>
      <c r="E72" s="113">
        <v>1.9E-2</v>
      </c>
      <c r="F72" s="113">
        <v>2</v>
      </c>
      <c r="G72"/>
      <c r="H72" s="118" t="s">
        <v>48</v>
      </c>
      <c r="I72" s="113" t="s">
        <v>49</v>
      </c>
    </row>
    <row r="73" spans="1:9" x14ac:dyDescent="0.3">
      <c r="A73" s="115" t="s">
        <v>31</v>
      </c>
      <c r="B73" s="114" t="s">
        <v>663</v>
      </c>
      <c r="C73" s="118">
        <v>1</v>
      </c>
      <c r="D73" s="113">
        <v>493</v>
      </c>
      <c r="E73" s="113">
        <v>1.9E-2</v>
      </c>
      <c r="F73" s="113">
        <v>2</v>
      </c>
      <c r="G73"/>
      <c r="H73" s="118" t="s">
        <v>48</v>
      </c>
      <c r="I73" s="113" t="s">
        <v>49</v>
      </c>
    </row>
    <row r="74" spans="1:9" x14ac:dyDescent="0.3">
      <c r="A74" s="115" t="s">
        <v>32</v>
      </c>
      <c r="B74" s="114" t="s">
        <v>664</v>
      </c>
      <c r="C74" s="118">
        <v>1</v>
      </c>
      <c r="D74" s="113">
        <v>280</v>
      </c>
      <c r="E74" s="113">
        <v>1.9E-2</v>
      </c>
      <c r="F74" s="113">
        <v>2</v>
      </c>
      <c r="G74"/>
      <c r="H74" s="118" t="s">
        <v>48</v>
      </c>
      <c r="I74" s="113" t="s">
        <v>49</v>
      </c>
    </row>
    <row r="75" spans="1:9" x14ac:dyDescent="0.3">
      <c r="A75" s="115" t="s">
        <v>33</v>
      </c>
      <c r="B75" s="114" t="s">
        <v>665</v>
      </c>
      <c r="C75" s="118">
        <v>1</v>
      </c>
      <c r="D75" s="113">
        <v>280</v>
      </c>
      <c r="E75" s="113">
        <v>1.9E-2</v>
      </c>
      <c r="F75" s="113">
        <v>2</v>
      </c>
      <c r="G75"/>
      <c r="H75" s="118" t="s">
        <v>48</v>
      </c>
      <c r="I75" s="113" t="s">
        <v>49</v>
      </c>
    </row>
    <row r="76" spans="1:9" x14ac:dyDescent="0.3">
      <c r="A76" s="115" t="s">
        <v>34</v>
      </c>
      <c r="B76" s="114" t="s">
        <v>666</v>
      </c>
      <c r="C76" s="118">
        <v>1</v>
      </c>
      <c r="D76" s="113">
        <v>262</v>
      </c>
      <c r="E76" s="113">
        <v>1.9E-2</v>
      </c>
      <c r="F76" s="113">
        <v>2</v>
      </c>
      <c r="G76"/>
      <c r="H76" s="118" t="s">
        <v>48</v>
      </c>
      <c r="I76" s="113" t="s">
        <v>49</v>
      </c>
    </row>
    <row r="77" spans="1:9" x14ac:dyDescent="0.3">
      <c r="A77" s="115" t="s">
        <v>36</v>
      </c>
      <c r="B77" s="114" t="s">
        <v>667</v>
      </c>
      <c r="C77" s="118">
        <v>1</v>
      </c>
      <c r="D77" s="113">
        <v>262</v>
      </c>
      <c r="E77" s="113">
        <v>1.9E-2</v>
      </c>
      <c r="F77" s="113">
        <v>2</v>
      </c>
      <c r="G77"/>
      <c r="H77" s="118" t="s">
        <v>48</v>
      </c>
      <c r="I77" s="113" t="s">
        <v>49</v>
      </c>
    </row>
    <row r="78" spans="1:9" x14ac:dyDescent="0.3">
      <c r="A78" s="115" t="s">
        <v>37</v>
      </c>
      <c r="B78" s="114" t="s">
        <v>668</v>
      </c>
      <c r="C78" s="118">
        <v>1</v>
      </c>
      <c r="D78" s="113">
        <v>160</v>
      </c>
      <c r="E78" s="113">
        <v>1.9E-2</v>
      </c>
      <c r="F78" s="113">
        <v>2</v>
      </c>
      <c r="G78"/>
      <c r="H78" s="118" t="s">
        <v>48</v>
      </c>
      <c r="I78" s="113" t="s">
        <v>49</v>
      </c>
    </row>
    <row r="79" spans="1:9" x14ac:dyDescent="0.3">
      <c r="A79" s="115" t="s">
        <v>38</v>
      </c>
      <c r="B79" s="114" t="s">
        <v>669</v>
      </c>
      <c r="C79" s="118">
        <v>1</v>
      </c>
      <c r="D79" s="113">
        <v>160</v>
      </c>
      <c r="E79" s="113">
        <v>1.9E-2</v>
      </c>
      <c r="F79" s="113">
        <v>2</v>
      </c>
      <c r="G79"/>
      <c r="H79" s="118" t="s">
        <v>48</v>
      </c>
      <c r="I79" s="113" t="s">
        <v>49</v>
      </c>
    </row>
    <row r="80" spans="1:9" x14ac:dyDescent="0.3">
      <c r="A80" s="115" t="s">
        <v>39</v>
      </c>
      <c r="B80" s="114" t="s">
        <v>670</v>
      </c>
      <c r="C80" s="118">
        <v>1</v>
      </c>
      <c r="D80" s="113">
        <v>142</v>
      </c>
      <c r="E80" s="113">
        <v>1.9E-2</v>
      </c>
      <c r="F80" s="113">
        <v>2</v>
      </c>
      <c r="G80"/>
      <c r="H80" s="118" t="s">
        <v>48</v>
      </c>
      <c r="I80" s="113" t="s">
        <v>49</v>
      </c>
    </row>
    <row r="81" spans="1:9" x14ac:dyDescent="0.3">
      <c r="A81" s="115" t="s">
        <v>56</v>
      </c>
      <c r="B81" s="114" t="s">
        <v>671</v>
      </c>
      <c r="C81" s="118">
        <v>1</v>
      </c>
      <c r="D81" s="113">
        <v>142</v>
      </c>
      <c r="E81" s="113">
        <v>1.9E-2</v>
      </c>
      <c r="F81" s="113">
        <v>2</v>
      </c>
      <c r="G81"/>
      <c r="H81" s="118" t="s">
        <v>48</v>
      </c>
      <c r="I81" s="113" t="s">
        <v>49</v>
      </c>
    </row>
    <row r="82" spans="1:9" x14ac:dyDescent="0.3">
      <c r="A82" s="115" t="s">
        <v>58</v>
      </c>
      <c r="B82" s="114" t="s">
        <v>672</v>
      </c>
      <c r="C82" s="118">
        <v>1</v>
      </c>
      <c r="D82" s="113">
        <v>120</v>
      </c>
      <c r="E82" s="113">
        <v>1.9E-2</v>
      </c>
      <c r="F82" s="113">
        <v>2</v>
      </c>
      <c r="G82"/>
      <c r="H82" s="118" t="s">
        <v>48</v>
      </c>
      <c r="I82" s="113" t="s">
        <v>49</v>
      </c>
    </row>
    <row r="83" spans="1:9" x14ac:dyDescent="0.3">
      <c r="A83" s="115" t="s">
        <v>59</v>
      </c>
      <c r="B83" s="114" t="s">
        <v>673</v>
      </c>
      <c r="C83" s="118">
        <v>1</v>
      </c>
      <c r="D83" s="113">
        <v>120</v>
      </c>
      <c r="E83" s="113">
        <v>1.9E-2</v>
      </c>
      <c r="F83" s="113">
        <v>2</v>
      </c>
      <c r="G83"/>
      <c r="H83" s="118" t="s">
        <v>48</v>
      </c>
      <c r="I83" s="113" t="s">
        <v>49</v>
      </c>
    </row>
    <row r="84" spans="1:9" x14ac:dyDescent="0.3">
      <c r="A84" s="115" t="s">
        <v>60</v>
      </c>
      <c r="B84" s="114" t="s">
        <v>674</v>
      </c>
      <c r="C84" s="118">
        <v>1</v>
      </c>
      <c r="D84" s="113">
        <v>120</v>
      </c>
      <c r="E84" s="113">
        <v>1.9E-2</v>
      </c>
      <c r="F84" s="113">
        <v>2</v>
      </c>
      <c r="G84"/>
      <c r="H84" s="118" t="s">
        <v>48</v>
      </c>
      <c r="I84" s="113" t="s">
        <v>49</v>
      </c>
    </row>
    <row r="85" spans="1:9" x14ac:dyDescent="0.3">
      <c r="A85" s="115" t="s">
        <v>61</v>
      </c>
      <c r="B85" s="114" t="s">
        <v>675</v>
      </c>
      <c r="C85" s="118">
        <v>1</v>
      </c>
      <c r="D85" s="113">
        <v>120</v>
      </c>
      <c r="E85" s="113">
        <v>1.9E-2</v>
      </c>
      <c r="F85" s="113">
        <v>2</v>
      </c>
      <c r="G85"/>
      <c r="H85" s="118" t="s">
        <v>48</v>
      </c>
      <c r="I85" s="113" t="s">
        <v>49</v>
      </c>
    </row>
    <row r="86" spans="1:9" x14ac:dyDescent="0.3">
      <c r="A86" s="115" t="s">
        <v>63</v>
      </c>
      <c r="B86" s="114" t="s">
        <v>676</v>
      </c>
      <c r="C86" s="118">
        <v>1</v>
      </c>
      <c r="D86" s="113">
        <v>120</v>
      </c>
      <c r="E86" s="113">
        <v>1.9E-2</v>
      </c>
      <c r="F86" s="113">
        <v>2</v>
      </c>
      <c r="G86"/>
      <c r="H86" s="118" t="s">
        <v>48</v>
      </c>
      <c r="I86" s="113" t="s">
        <v>49</v>
      </c>
    </row>
    <row r="87" spans="1:9" x14ac:dyDescent="0.3">
      <c r="A87" s="115" t="s">
        <v>65</v>
      </c>
      <c r="B87" s="114" t="s">
        <v>677</v>
      </c>
      <c r="C87" s="118">
        <v>1</v>
      </c>
      <c r="D87" s="113">
        <v>120</v>
      </c>
      <c r="E87" s="113">
        <v>1.9E-2</v>
      </c>
      <c r="F87" s="113">
        <v>2</v>
      </c>
      <c r="G87"/>
      <c r="H87" s="118" t="s">
        <v>48</v>
      </c>
      <c r="I87" s="113" t="s">
        <v>49</v>
      </c>
    </row>
    <row r="88" spans="1:9" x14ac:dyDescent="0.3">
      <c r="A88" s="115" t="s">
        <v>66</v>
      </c>
      <c r="B88" s="114" t="s">
        <v>678</v>
      </c>
      <c r="C88" s="118">
        <v>1</v>
      </c>
      <c r="D88" s="113">
        <v>102</v>
      </c>
      <c r="E88" s="113">
        <v>1.9E-2</v>
      </c>
      <c r="F88" s="113">
        <v>2</v>
      </c>
      <c r="G88"/>
      <c r="H88" s="118" t="s">
        <v>48</v>
      </c>
      <c r="I88" s="113" t="s">
        <v>49</v>
      </c>
    </row>
    <row r="89" spans="1:9" x14ac:dyDescent="0.3">
      <c r="A89" s="115" t="s">
        <v>67</v>
      </c>
      <c r="B89" s="114" t="s">
        <v>679</v>
      </c>
      <c r="C89" s="118">
        <v>1</v>
      </c>
      <c r="D89" s="113">
        <v>102</v>
      </c>
      <c r="E89" s="113">
        <v>1.9E-2</v>
      </c>
      <c r="F89" s="113">
        <v>2</v>
      </c>
      <c r="G89"/>
      <c r="H89" s="118" t="s">
        <v>48</v>
      </c>
      <c r="I89" s="113" t="s">
        <v>49</v>
      </c>
    </row>
    <row r="90" spans="1:9" x14ac:dyDescent="0.3">
      <c r="A90" s="115" t="s">
        <v>13</v>
      </c>
      <c r="B90" s="114" t="s">
        <v>50</v>
      </c>
      <c r="C90" s="118">
        <v>2</v>
      </c>
      <c r="D90" s="113">
        <v>754</v>
      </c>
      <c r="E90" s="113">
        <v>1.9E-2</v>
      </c>
      <c r="F90" s="113">
        <v>2</v>
      </c>
      <c r="G90"/>
      <c r="H90" s="118" t="s">
        <v>48</v>
      </c>
      <c r="I90" s="113" t="s">
        <v>49</v>
      </c>
    </row>
    <row r="91" spans="1:9" x14ac:dyDescent="0.3">
      <c r="A91" s="115" t="s">
        <v>18</v>
      </c>
      <c r="B91" s="114" t="s">
        <v>51</v>
      </c>
      <c r="C91" s="118">
        <v>2</v>
      </c>
      <c r="D91" s="113">
        <v>754</v>
      </c>
      <c r="E91" s="113">
        <v>1.9E-2</v>
      </c>
      <c r="F91" s="113">
        <v>2</v>
      </c>
      <c r="G91"/>
      <c r="H91" s="118" t="s">
        <v>48</v>
      </c>
      <c r="I91" s="113" t="s">
        <v>49</v>
      </c>
    </row>
    <row r="92" spans="1:9" x14ac:dyDescent="0.3">
      <c r="A92" s="115" t="s">
        <v>19</v>
      </c>
      <c r="B92" s="114" t="s">
        <v>680</v>
      </c>
      <c r="C92" s="118">
        <v>1</v>
      </c>
      <c r="D92" s="113">
        <v>754</v>
      </c>
      <c r="E92" s="113">
        <v>1.9E-2</v>
      </c>
      <c r="F92" s="113">
        <v>2</v>
      </c>
      <c r="G92"/>
      <c r="H92" s="118" t="s">
        <v>48</v>
      </c>
      <c r="I92" s="113" t="s">
        <v>49</v>
      </c>
    </row>
    <row r="93" spans="1:9" x14ac:dyDescent="0.3">
      <c r="A93" s="115" t="s">
        <v>20</v>
      </c>
      <c r="B93" s="114" t="s">
        <v>681</v>
      </c>
      <c r="C93" s="118">
        <v>1</v>
      </c>
      <c r="D93" s="113">
        <v>754</v>
      </c>
      <c r="E93" s="113">
        <v>1.9E-2</v>
      </c>
      <c r="F93" s="113">
        <v>2</v>
      </c>
      <c r="G93"/>
      <c r="H93" s="118" t="s">
        <v>48</v>
      </c>
      <c r="I93" s="113" t="s">
        <v>49</v>
      </c>
    </row>
    <row r="94" spans="1:9" x14ac:dyDescent="0.3">
      <c r="A94" s="115" t="s">
        <v>22</v>
      </c>
      <c r="B94" s="114" t="s">
        <v>682</v>
      </c>
      <c r="C94" s="118">
        <v>1</v>
      </c>
      <c r="D94" s="113">
        <v>754</v>
      </c>
      <c r="E94" s="113">
        <v>1.9E-2</v>
      </c>
      <c r="F94" s="113">
        <v>2</v>
      </c>
      <c r="G94"/>
      <c r="H94" s="118" t="s">
        <v>48</v>
      </c>
      <c r="I94" s="113" t="s">
        <v>49</v>
      </c>
    </row>
    <row r="95" spans="1:9" x14ac:dyDescent="0.3">
      <c r="A95" s="115" t="s">
        <v>23</v>
      </c>
      <c r="B95" s="114" t="s">
        <v>683</v>
      </c>
      <c r="C95" s="118">
        <v>1</v>
      </c>
      <c r="D95" s="113">
        <v>754</v>
      </c>
      <c r="E95" s="113">
        <v>1.9E-2</v>
      </c>
      <c r="F95" s="113">
        <v>2</v>
      </c>
      <c r="G95"/>
      <c r="H95" s="118" t="s">
        <v>48</v>
      </c>
      <c r="I95" s="113" t="s">
        <v>49</v>
      </c>
    </row>
    <row r="96" spans="1:9" x14ac:dyDescent="0.3">
      <c r="A96" s="115" t="s">
        <v>25</v>
      </c>
      <c r="B96" s="114" t="s">
        <v>52</v>
      </c>
      <c r="C96" s="118">
        <v>1</v>
      </c>
      <c r="D96" s="113">
        <v>754</v>
      </c>
      <c r="E96" s="113">
        <v>1.9E-2</v>
      </c>
      <c r="F96" s="113">
        <v>2</v>
      </c>
      <c r="G96"/>
      <c r="H96" s="118" t="s">
        <v>48</v>
      </c>
      <c r="I96" s="113" t="s">
        <v>49</v>
      </c>
    </row>
    <row r="97" spans="1:9" x14ac:dyDescent="0.3">
      <c r="A97" s="115" t="s">
        <v>26</v>
      </c>
      <c r="B97" s="114" t="s">
        <v>53</v>
      </c>
      <c r="C97" s="118">
        <v>1</v>
      </c>
      <c r="D97" s="113">
        <v>754</v>
      </c>
      <c r="E97" s="113">
        <v>1.9E-2</v>
      </c>
      <c r="F97" s="113">
        <v>2</v>
      </c>
      <c r="G97"/>
      <c r="H97" s="118" t="s">
        <v>48</v>
      </c>
      <c r="I97" s="113" t="s">
        <v>49</v>
      </c>
    </row>
    <row r="98" spans="1:9" x14ac:dyDescent="0.3">
      <c r="A98" s="115" t="s">
        <v>27</v>
      </c>
      <c r="B98" s="114" t="s">
        <v>85</v>
      </c>
      <c r="C98" s="118">
        <v>1</v>
      </c>
      <c r="D98" s="113">
        <v>754</v>
      </c>
      <c r="E98" s="113">
        <v>1.9E-2</v>
      </c>
      <c r="F98" s="113">
        <v>2</v>
      </c>
      <c r="G98"/>
      <c r="H98" s="118" t="s">
        <v>48</v>
      </c>
      <c r="I98" s="113" t="s">
        <v>49</v>
      </c>
    </row>
    <row r="99" spans="1:9" x14ac:dyDescent="0.3">
      <c r="A99" s="115" t="s">
        <v>28</v>
      </c>
      <c r="B99" s="114" t="s">
        <v>89</v>
      </c>
      <c r="C99" s="118">
        <v>1</v>
      </c>
      <c r="D99" s="113">
        <v>754</v>
      </c>
      <c r="E99" s="113">
        <v>1.9E-2</v>
      </c>
      <c r="F99" s="113">
        <v>2</v>
      </c>
      <c r="G99"/>
      <c r="H99" s="118" t="s">
        <v>48</v>
      </c>
      <c r="I99" s="113" t="s">
        <v>49</v>
      </c>
    </row>
    <row r="100" spans="1:9" x14ac:dyDescent="0.3">
      <c r="A100" s="115" t="s">
        <v>29</v>
      </c>
      <c r="B100" s="114" t="s">
        <v>91</v>
      </c>
      <c r="C100" s="118">
        <v>1</v>
      </c>
      <c r="D100" s="113">
        <v>754</v>
      </c>
      <c r="E100" s="113">
        <v>1.9E-2</v>
      </c>
      <c r="F100" s="113">
        <v>2</v>
      </c>
      <c r="G100"/>
      <c r="H100" s="118" t="s">
        <v>48</v>
      </c>
      <c r="I100" s="113" t="s">
        <v>49</v>
      </c>
    </row>
    <row r="101" spans="1:9" x14ac:dyDescent="0.3">
      <c r="A101" s="115" t="s">
        <v>31</v>
      </c>
      <c r="B101" s="114" t="s">
        <v>684</v>
      </c>
      <c r="C101" s="118">
        <v>1</v>
      </c>
      <c r="D101" s="113">
        <v>754</v>
      </c>
      <c r="E101" s="113">
        <v>1.9E-2</v>
      </c>
      <c r="F101" s="113">
        <v>2</v>
      </c>
      <c r="G101"/>
      <c r="H101" s="118" t="s">
        <v>48</v>
      </c>
      <c r="I101" s="113" t="s">
        <v>49</v>
      </c>
    </row>
    <row r="102" spans="1:9" x14ac:dyDescent="0.3">
      <c r="A102" s="115" t="s">
        <v>32</v>
      </c>
      <c r="B102" s="114" t="s">
        <v>685</v>
      </c>
      <c r="C102" s="118">
        <v>1</v>
      </c>
      <c r="D102" s="113">
        <v>754</v>
      </c>
      <c r="E102" s="113">
        <v>1.9E-2</v>
      </c>
      <c r="F102" s="113">
        <v>2</v>
      </c>
      <c r="G102"/>
      <c r="H102" s="118" t="s">
        <v>48</v>
      </c>
      <c r="I102" s="113" t="s">
        <v>49</v>
      </c>
    </row>
    <row r="103" spans="1:9" x14ac:dyDescent="0.3">
      <c r="A103" s="115" t="s">
        <v>33</v>
      </c>
      <c r="B103" s="114" t="s">
        <v>686</v>
      </c>
      <c r="C103" s="118">
        <v>1</v>
      </c>
      <c r="D103" s="113">
        <v>754</v>
      </c>
      <c r="E103" s="113">
        <v>1.9E-2</v>
      </c>
      <c r="F103" s="113">
        <v>2</v>
      </c>
      <c r="G103"/>
      <c r="H103" s="118" t="s">
        <v>48</v>
      </c>
      <c r="I103" s="113" t="s">
        <v>49</v>
      </c>
    </row>
    <row r="104" spans="1:9" x14ac:dyDescent="0.3">
      <c r="A104" s="115" t="s">
        <v>34</v>
      </c>
      <c r="B104" s="114" t="s">
        <v>687</v>
      </c>
      <c r="C104" s="118">
        <v>1</v>
      </c>
      <c r="D104" s="113">
        <v>754</v>
      </c>
      <c r="E104" s="113">
        <v>1.9E-2</v>
      </c>
      <c r="F104" s="113">
        <v>2</v>
      </c>
      <c r="G104"/>
      <c r="H104" s="118" t="s">
        <v>48</v>
      </c>
      <c r="I104" s="113" t="s">
        <v>49</v>
      </c>
    </row>
    <row r="105" spans="1:9" x14ac:dyDescent="0.3">
      <c r="A105" s="115" t="s">
        <v>36</v>
      </c>
      <c r="B105" s="114" t="s">
        <v>75</v>
      </c>
      <c r="C105" s="118">
        <v>1</v>
      </c>
      <c r="D105" s="113">
        <v>754</v>
      </c>
      <c r="E105" s="113">
        <v>1.9E-2</v>
      </c>
      <c r="F105" s="113">
        <v>2</v>
      </c>
      <c r="G105"/>
      <c r="H105" s="118" t="s">
        <v>48</v>
      </c>
      <c r="I105" s="113" t="s">
        <v>49</v>
      </c>
    </row>
    <row r="106" spans="1:9" x14ac:dyDescent="0.3">
      <c r="A106" s="115" t="s">
        <v>37</v>
      </c>
      <c r="B106" s="114" t="s">
        <v>76</v>
      </c>
      <c r="C106" s="118">
        <v>1</v>
      </c>
      <c r="D106" s="113">
        <v>754</v>
      </c>
      <c r="E106" s="113">
        <v>1.9E-2</v>
      </c>
      <c r="F106" s="113">
        <v>2</v>
      </c>
      <c r="G106"/>
      <c r="H106" s="118" t="s">
        <v>48</v>
      </c>
      <c r="I106" s="113" t="s">
        <v>49</v>
      </c>
    </row>
    <row r="107" spans="1:9" x14ac:dyDescent="0.3">
      <c r="A107" s="115" t="s">
        <v>38</v>
      </c>
      <c r="B107" s="114" t="s">
        <v>688</v>
      </c>
      <c r="C107" s="118">
        <v>1</v>
      </c>
      <c r="D107" s="113">
        <v>644</v>
      </c>
      <c r="E107" s="113">
        <v>1.9E-2</v>
      </c>
      <c r="F107" s="113">
        <v>2</v>
      </c>
      <c r="G107"/>
      <c r="H107" s="118" t="s">
        <v>48</v>
      </c>
      <c r="I107" s="113" t="s">
        <v>49</v>
      </c>
    </row>
    <row r="108" spans="1:9" x14ac:dyDescent="0.3">
      <c r="A108" s="115" t="s">
        <v>39</v>
      </c>
      <c r="B108" s="114" t="s">
        <v>689</v>
      </c>
      <c r="C108" s="118">
        <v>1</v>
      </c>
      <c r="D108" s="113">
        <v>644</v>
      </c>
      <c r="E108" s="113">
        <v>1.9E-2</v>
      </c>
      <c r="F108" s="113">
        <v>2</v>
      </c>
      <c r="G108"/>
      <c r="H108" s="118" t="s">
        <v>48</v>
      </c>
      <c r="I108" s="113" t="s">
        <v>49</v>
      </c>
    </row>
    <row r="109" spans="1:9" x14ac:dyDescent="0.3">
      <c r="A109" s="115" t="s">
        <v>56</v>
      </c>
      <c r="B109" s="114" t="s">
        <v>690</v>
      </c>
      <c r="C109" s="118">
        <v>1</v>
      </c>
      <c r="D109" s="113">
        <v>644</v>
      </c>
      <c r="E109" s="113">
        <v>1.9E-2</v>
      </c>
      <c r="F109" s="113">
        <v>2</v>
      </c>
      <c r="G109"/>
      <c r="H109" s="118" t="s">
        <v>48</v>
      </c>
      <c r="I109" s="113" t="s">
        <v>49</v>
      </c>
    </row>
    <row r="110" spans="1:9" x14ac:dyDescent="0.3">
      <c r="A110" s="115" t="s">
        <v>58</v>
      </c>
      <c r="B110" s="114" t="s">
        <v>691</v>
      </c>
      <c r="C110" s="118">
        <v>1</v>
      </c>
      <c r="D110" s="113">
        <v>644</v>
      </c>
      <c r="E110" s="113">
        <v>1.9E-2</v>
      </c>
      <c r="F110" s="113">
        <v>2</v>
      </c>
      <c r="G110"/>
      <c r="H110" s="118" t="s">
        <v>48</v>
      </c>
      <c r="I110" s="113" t="s">
        <v>49</v>
      </c>
    </row>
    <row r="111" spans="1:9" x14ac:dyDescent="0.3">
      <c r="A111" s="115" t="s">
        <v>59</v>
      </c>
      <c r="B111" s="114" t="s">
        <v>62</v>
      </c>
      <c r="C111" s="118">
        <v>2</v>
      </c>
      <c r="D111" s="113">
        <v>617</v>
      </c>
      <c r="E111" s="113">
        <v>1.9E-2</v>
      </c>
      <c r="F111" s="113">
        <v>2</v>
      </c>
      <c r="G111"/>
      <c r="H111" s="118" t="s">
        <v>48</v>
      </c>
      <c r="I111" s="113" t="s">
        <v>49</v>
      </c>
    </row>
    <row r="112" spans="1:9" x14ac:dyDescent="0.3">
      <c r="A112" s="115" t="s">
        <v>60</v>
      </c>
      <c r="B112" s="114" t="s">
        <v>64</v>
      </c>
      <c r="C112" s="118">
        <v>2</v>
      </c>
      <c r="D112" s="113">
        <v>617</v>
      </c>
      <c r="E112" s="113">
        <v>1.9E-2</v>
      </c>
      <c r="F112" s="113">
        <v>2</v>
      </c>
      <c r="G112"/>
      <c r="H112" s="118" t="s">
        <v>48</v>
      </c>
      <c r="I112" s="113" t="s">
        <v>49</v>
      </c>
    </row>
    <row r="113" spans="1:9" x14ac:dyDescent="0.3">
      <c r="A113" s="115" t="s">
        <v>61</v>
      </c>
      <c r="B113" s="114" t="s">
        <v>692</v>
      </c>
      <c r="C113" s="118">
        <v>1</v>
      </c>
      <c r="D113" s="113">
        <v>596</v>
      </c>
      <c r="E113" s="113">
        <v>1.9E-2</v>
      </c>
      <c r="F113" s="113">
        <v>2</v>
      </c>
      <c r="G113"/>
      <c r="H113" s="118" t="s">
        <v>48</v>
      </c>
      <c r="I113" s="113" t="s">
        <v>49</v>
      </c>
    </row>
    <row r="114" spans="1:9" x14ac:dyDescent="0.3">
      <c r="A114" s="115" t="s">
        <v>63</v>
      </c>
      <c r="B114" s="114" t="s">
        <v>693</v>
      </c>
      <c r="C114" s="118">
        <v>1</v>
      </c>
      <c r="D114" s="113">
        <v>596</v>
      </c>
      <c r="E114" s="113">
        <v>1.9E-2</v>
      </c>
      <c r="F114" s="113">
        <v>2</v>
      </c>
      <c r="G114"/>
      <c r="H114" s="118" t="s">
        <v>48</v>
      </c>
      <c r="I114" s="113" t="s">
        <v>49</v>
      </c>
    </row>
    <row r="115" spans="1:9" x14ac:dyDescent="0.3">
      <c r="A115" s="115" t="s">
        <v>65</v>
      </c>
      <c r="B115" s="114" t="s">
        <v>694</v>
      </c>
      <c r="C115" s="118">
        <v>1</v>
      </c>
      <c r="D115" s="113">
        <v>596</v>
      </c>
      <c r="E115" s="113">
        <v>1.9E-2</v>
      </c>
      <c r="F115" s="113">
        <v>2</v>
      </c>
      <c r="G115"/>
      <c r="H115" s="118" t="s">
        <v>48</v>
      </c>
      <c r="I115" s="113" t="s">
        <v>49</v>
      </c>
    </row>
    <row r="116" spans="1:9" x14ac:dyDescent="0.3">
      <c r="A116" s="115" t="s">
        <v>66</v>
      </c>
      <c r="B116" s="114" t="s">
        <v>695</v>
      </c>
      <c r="C116" s="118">
        <v>1</v>
      </c>
      <c r="D116" s="113">
        <v>596</v>
      </c>
      <c r="E116" s="113">
        <v>1.9E-2</v>
      </c>
      <c r="F116" s="113">
        <v>2</v>
      </c>
      <c r="G116"/>
      <c r="H116" s="118" t="s">
        <v>48</v>
      </c>
      <c r="I116" s="113" t="s">
        <v>49</v>
      </c>
    </row>
    <row r="117" spans="1:9" x14ac:dyDescent="0.3">
      <c r="A117" s="115" t="s">
        <v>67</v>
      </c>
      <c r="B117" s="114" t="s">
        <v>696</v>
      </c>
      <c r="C117" s="118">
        <v>1</v>
      </c>
      <c r="D117" s="113">
        <v>594</v>
      </c>
      <c r="E117" s="113">
        <v>1.9E-2</v>
      </c>
      <c r="F117" s="113">
        <v>2</v>
      </c>
      <c r="G117"/>
      <c r="H117" s="118" t="s">
        <v>48</v>
      </c>
      <c r="I117" s="113" t="s">
        <v>49</v>
      </c>
    </row>
    <row r="118" spans="1:9" x14ac:dyDescent="0.3">
      <c r="A118" s="115" t="s">
        <v>68</v>
      </c>
      <c r="B118" s="114" t="s">
        <v>697</v>
      </c>
      <c r="C118" s="118">
        <v>1</v>
      </c>
      <c r="D118" s="113">
        <v>594</v>
      </c>
      <c r="E118" s="113">
        <v>1.9E-2</v>
      </c>
      <c r="F118" s="113">
        <v>2</v>
      </c>
      <c r="G118"/>
      <c r="H118" s="118" t="s">
        <v>48</v>
      </c>
      <c r="I118" s="113" t="s">
        <v>49</v>
      </c>
    </row>
    <row r="119" spans="1:9" x14ac:dyDescent="0.3">
      <c r="A119" s="115" t="s">
        <v>69</v>
      </c>
      <c r="B119" s="114" t="s">
        <v>55</v>
      </c>
      <c r="C119" s="118">
        <v>1</v>
      </c>
      <c r="D119" s="113">
        <v>576</v>
      </c>
      <c r="E119" s="113">
        <v>1.9E-2</v>
      </c>
      <c r="F119" s="113">
        <v>2</v>
      </c>
      <c r="G119"/>
      <c r="H119" s="118" t="s">
        <v>48</v>
      </c>
      <c r="I119" s="113" t="s">
        <v>49</v>
      </c>
    </row>
    <row r="120" spans="1:9" x14ac:dyDescent="0.3">
      <c r="A120" s="115" t="s">
        <v>70</v>
      </c>
      <c r="B120" s="114" t="s">
        <v>57</v>
      </c>
      <c r="C120" s="118">
        <v>1</v>
      </c>
      <c r="D120" s="113">
        <v>576</v>
      </c>
      <c r="E120" s="113">
        <v>1.9E-2</v>
      </c>
      <c r="F120" s="113">
        <v>2</v>
      </c>
      <c r="G120"/>
      <c r="H120" s="118" t="s">
        <v>48</v>
      </c>
      <c r="I120" s="113" t="s">
        <v>49</v>
      </c>
    </row>
    <row r="121" spans="1:9" x14ac:dyDescent="0.3">
      <c r="A121" s="115" t="s">
        <v>71</v>
      </c>
      <c r="B121" s="114" t="s">
        <v>698</v>
      </c>
      <c r="C121" s="118">
        <v>1</v>
      </c>
      <c r="D121" s="113">
        <v>576</v>
      </c>
      <c r="E121" s="113">
        <v>1.9E-2</v>
      </c>
      <c r="F121" s="113">
        <v>2</v>
      </c>
      <c r="G121"/>
      <c r="H121" s="118" t="s">
        <v>48</v>
      </c>
      <c r="I121" s="113" t="s">
        <v>49</v>
      </c>
    </row>
    <row r="122" spans="1:9" x14ac:dyDescent="0.3">
      <c r="A122" s="115" t="s">
        <v>72</v>
      </c>
      <c r="B122" s="114" t="s">
        <v>699</v>
      </c>
      <c r="C122" s="118">
        <v>1</v>
      </c>
      <c r="D122" s="113">
        <v>576</v>
      </c>
      <c r="E122" s="113">
        <v>1.9E-2</v>
      </c>
      <c r="F122" s="113">
        <v>2</v>
      </c>
      <c r="G122"/>
      <c r="H122" s="118" t="s">
        <v>48</v>
      </c>
      <c r="I122" s="113" t="s">
        <v>49</v>
      </c>
    </row>
    <row r="123" spans="1:9" x14ac:dyDescent="0.3">
      <c r="A123" s="115" t="s">
        <v>73</v>
      </c>
      <c r="B123" s="114" t="s">
        <v>700</v>
      </c>
      <c r="C123" s="118">
        <v>1</v>
      </c>
      <c r="D123" s="113">
        <v>576</v>
      </c>
      <c r="E123" s="113">
        <v>1.9E-2</v>
      </c>
      <c r="F123" s="113">
        <v>2</v>
      </c>
      <c r="G123"/>
      <c r="H123" s="118" t="s">
        <v>48</v>
      </c>
      <c r="I123" s="113" t="s">
        <v>49</v>
      </c>
    </row>
    <row r="124" spans="1:9" x14ac:dyDescent="0.3">
      <c r="A124" s="115" t="s">
        <v>74</v>
      </c>
      <c r="B124" s="114" t="s">
        <v>701</v>
      </c>
      <c r="C124" s="118">
        <v>1</v>
      </c>
      <c r="D124" s="113">
        <v>576</v>
      </c>
      <c r="E124" s="113">
        <v>1.9E-2</v>
      </c>
      <c r="F124" s="113">
        <v>2</v>
      </c>
      <c r="G124"/>
      <c r="H124" s="118" t="s">
        <v>48</v>
      </c>
      <c r="I124" s="113" t="s">
        <v>49</v>
      </c>
    </row>
    <row r="125" spans="1:9" x14ac:dyDescent="0.3">
      <c r="A125" s="115" t="s">
        <v>78</v>
      </c>
      <c r="B125" s="114" t="s">
        <v>702</v>
      </c>
      <c r="C125" s="118">
        <v>1</v>
      </c>
      <c r="D125" s="113">
        <v>576</v>
      </c>
      <c r="E125" s="113">
        <v>1.9E-2</v>
      </c>
      <c r="F125" s="113">
        <v>2</v>
      </c>
      <c r="G125"/>
      <c r="H125" s="118" t="s">
        <v>48</v>
      </c>
      <c r="I125" s="113" t="s">
        <v>49</v>
      </c>
    </row>
    <row r="126" spans="1:9" x14ac:dyDescent="0.3">
      <c r="A126" s="115" t="s">
        <v>79</v>
      </c>
      <c r="B126" s="114" t="s">
        <v>703</v>
      </c>
      <c r="C126" s="118">
        <v>1</v>
      </c>
      <c r="D126" s="113">
        <v>576</v>
      </c>
      <c r="E126" s="113">
        <v>1.9E-2</v>
      </c>
      <c r="F126" s="113">
        <v>2</v>
      </c>
      <c r="G126"/>
      <c r="H126" s="118" t="s">
        <v>48</v>
      </c>
      <c r="I126" s="113" t="s">
        <v>49</v>
      </c>
    </row>
    <row r="127" spans="1:9" x14ac:dyDescent="0.3">
      <c r="A127" s="115" t="s">
        <v>80</v>
      </c>
      <c r="B127" s="114" t="s">
        <v>704</v>
      </c>
      <c r="C127" s="118">
        <v>1</v>
      </c>
      <c r="D127" s="113">
        <v>475</v>
      </c>
      <c r="E127" s="113">
        <v>1.9E-2</v>
      </c>
      <c r="F127" s="113">
        <v>2</v>
      </c>
      <c r="G127"/>
      <c r="H127" s="118" t="s">
        <v>48</v>
      </c>
      <c r="I127" s="113" t="s">
        <v>49</v>
      </c>
    </row>
    <row r="128" spans="1:9" x14ac:dyDescent="0.3">
      <c r="A128" s="115" t="s">
        <v>81</v>
      </c>
      <c r="B128" s="114" t="s">
        <v>705</v>
      </c>
      <c r="C128" s="118">
        <v>1</v>
      </c>
      <c r="D128" s="113">
        <v>475</v>
      </c>
      <c r="E128" s="113">
        <v>1.9E-2</v>
      </c>
      <c r="F128" s="113">
        <v>2</v>
      </c>
      <c r="G128"/>
      <c r="H128" s="118" t="s">
        <v>48</v>
      </c>
      <c r="I128" s="113" t="s">
        <v>49</v>
      </c>
    </row>
    <row r="129" spans="1:22" x14ac:dyDescent="0.3">
      <c r="A129" s="115" t="s">
        <v>82</v>
      </c>
      <c r="B129" s="114" t="s">
        <v>706</v>
      </c>
      <c r="C129" s="118">
        <v>1</v>
      </c>
      <c r="D129" s="113">
        <v>475</v>
      </c>
      <c r="E129" s="113">
        <v>1.9E-2</v>
      </c>
      <c r="F129" s="113">
        <v>2</v>
      </c>
      <c r="G129"/>
      <c r="H129" s="118" t="s">
        <v>48</v>
      </c>
      <c r="I129" s="113" t="s">
        <v>49</v>
      </c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3">
      <c r="A130" s="115" t="s">
        <v>83</v>
      </c>
      <c r="B130" s="114" t="s">
        <v>707</v>
      </c>
      <c r="C130" s="118">
        <v>1</v>
      </c>
      <c r="D130" s="113">
        <v>475</v>
      </c>
      <c r="E130" s="113">
        <v>1.9E-2</v>
      </c>
      <c r="F130" s="113">
        <v>2</v>
      </c>
      <c r="G130"/>
      <c r="H130" s="118" t="s">
        <v>48</v>
      </c>
      <c r="I130" s="113" t="s">
        <v>49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3">
      <c r="A131" s="115" t="s">
        <v>84</v>
      </c>
      <c r="B131" s="114" t="s">
        <v>708</v>
      </c>
      <c r="C131" s="118">
        <v>1</v>
      </c>
      <c r="D131" s="113">
        <v>361</v>
      </c>
      <c r="E131" s="113">
        <v>1.9E-2</v>
      </c>
      <c r="F131" s="113">
        <v>2</v>
      </c>
      <c r="G131"/>
      <c r="H131" s="118" t="s">
        <v>48</v>
      </c>
      <c r="I131" s="113" t="s">
        <v>49</v>
      </c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3">
      <c r="A132" s="115" t="s">
        <v>86</v>
      </c>
      <c r="B132" s="114" t="s">
        <v>709</v>
      </c>
      <c r="C132" s="118">
        <v>1</v>
      </c>
      <c r="D132" s="113">
        <v>361</v>
      </c>
      <c r="E132" s="113">
        <v>1.9E-2</v>
      </c>
      <c r="F132" s="113">
        <v>2</v>
      </c>
      <c r="G132"/>
      <c r="H132" s="118" t="s">
        <v>48</v>
      </c>
      <c r="I132" s="113" t="s">
        <v>49</v>
      </c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3">
      <c r="A133" s="115" t="s">
        <v>88</v>
      </c>
      <c r="B133" s="114" t="s">
        <v>710</v>
      </c>
      <c r="C133" s="118">
        <v>1</v>
      </c>
      <c r="D133" s="113">
        <v>361</v>
      </c>
      <c r="E133" s="113">
        <v>1.9E-2</v>
      </c>
      <c r="F133" s="113">
        <v>2</v>
      </c>
      <c r="G133"/>
      <c r="H133" s="118" t="s">
        <v>48</v>
      </c>
      <c r="I133" s="113" t="s">
        <v>49</v>
      </c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3">
      <c r="A134" s="115" t="s">
        <v>90</v>
      </c>
      <c r="B134" s="114" t="s">
        <v>711</v>
      </c>
      <c r="C134" s="118">
        <v>1</v>
      </c>
      <c r="D134" s="113">
        <v>361</v>
      </c>
      <c r="E134" s="113">
        <v>1.9E-2</v>
      </c>
      <c r="F134" s="113">
        <v>2</v>
      </c>
      <c r="G134"/>
      <c r="H134" s="118" t="s">
        <v>48</v>
      </c>
      <c r="I134" s="113" t="s">
        <v>49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3">
      <c r="A135" s="115" t="s">
        <v>92</v>
      </c>
      <c r="B135" s="114" t="s">
        <v>712</v>
      </c>
      <c r="C135" s="118">
        <v>1</v>
      </c>
      <c r="D135" s="113">
        <v>120</v>
      </c>
      <c r="E135" s="113">
        <v>1.9E-2</v>
      </c>
      <c r="F135" s="113">
        <v>2</v>
      </c>
      <c r="G135"/>
      <c r="H135" s="118" t="s">
        <v>48</v>
      </c>
      <c r="I135" s="113" t="s">
        <v>49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3">
      <c r="A136" s="115" t="s">
        <v>93</v>
      </c>
      <c r="B136" s="114" t="s">
        <v>713</v>
      </c>
      <c r="C136" s="118">
        <v>1</v>
      </c>
      <c r="D136" s="113">
        <v>120</v>
      </c>
      <c r="E136" s="113">
        <v>1.9E-2</v>
      </c>
      <c r="F136" s="113">
        <v>2</v>
      </c>
      <c r="G136"/>
      <c r="H136" s="118" t="s">
        <v>48</v>
      </c>
      <c r="I136" s="113" t="s">
        <v>49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3">
      <c r="A137" s="115" t="s">
        <v>13</v>
      </c>
      <c r="B137" s="114" t="s">
        <v>714</v>
      </c>
      <c r="C137" s="118">
        <v>2</v>
      </c>
      <c r="D137" s="113">
        <v>70</v>
      </c>
      <c r="E137" s="113">
        <v>1.9E-2</v>
      </c>
      <c r="F137" s="113">
        <v>20</v>
      </c>
      <c r="G137"/>
      <c r="H137" s="118" t="s">
        <v>715</v>
      </c>
      <c r="I137" s="113" t="s">
        <v>784</v>
      </c>
      <c r="J137"/>
      <c r="K137"/>
      <c r="L137" s="113"/>
      <c r="M137"/>
      <c r="N137"/>
      <c r="O137"/>
      <c r="P137"/>
      <c r="Q137"/>
      <c r="R137"/>
      <c r="S137"/>
      <c r="T137"/>
      <c r="U137"/>
      <c r="V137" t="s">
        <v>17</v>
      </c>
    </row>
    <row r="138" spans="1:22" x14ac:dyDescent="0.3">
      <c r="A138" s="115" t="s">
        <v>18</v>
      </c>
      <c r="B138" s="114" t="s">
        <v>716</v>
      </c>
      <c r="C138" s="118">
        <v>2</v>
      </c>
      <c r="D138" s="113">
        <v>70</v>
      </c>
      <c r="E138" s="113">
        <v>1.9E-2</v>
      </c>
      <c r="F138" s="113">
        <v>20</v>
      </c>
      <c r="G138"/>
      <c r="H138" s="118" t="s">
        <v>715</v>
      </c>
      <c r="I138" s="113" t="s">
        <v>784</v>
      </c>
      <c r="J138"/>
      <c r="K138"/>
      <c r="L138"/>
      <c r="M138"/>
      <c r="N138"/>
      <c r="O138"/>
      <c r="P138"/>
      <c r="Q138"/>
      <c r="R138"/>
      <c r="S138"/>
      <c r="T138"/>
      <c r="U138"/>
      <c r="V138" t="s">
        <v>17</v>
      </c>
    </row>
    <row r="139" spans="1:22" x14ac:dyDescent="0.3">
      <c r="A139" s="115" t="s">
        <v>19</v>
      </c>
      <c r="B139" s="114" t="s">
        <v>717</v>
      </c>
      <c r="C139" s="118">
        <v>1</v>
      </c>
      <c r="D139" s="113">
        <v>70</v>
      </c>
      <c r="E139" s="113">
        <v>1.9E-2</v>
      </c>
      <c r="F139" s="113">
        <v>20</v>
      </c>
      <c r="G139"/>
      <c r="H139" s="118" t="s">
        <v>715</v>
      </c>
      <c r="I139" s="113" t="s">
        <v>784</v>
      </c>
      <c r="J139"/>
      <c r="K139"/>
      <c r="L139"/>
      <c r="M139"/>
      <c r="N139"/>
      <c r="O139"/>
      <c r="P139"/>
      <c r="Q139"/>
      <c r="R139"/>
      <c r="S139"/>
      <c r="T139"/>
      <c r="U139"/>
      <c r="V139" t="s">
        <v>17</v>
      </c>
    </row>
    <row r="140" spans="1:22" x14ac:dyDescent="0.3">
      <c r="A140" s="115" t="s">
        <v>20</v>
      </c>
      <c r="B140" s="114" t="s">
        <v>718</v>
      </c>
      <c r="C140" s="118">
        <v>1</v>
      </c>
      <c r="D140" s="113">
        <v>70</v>
      </c>
      <c r="E140" s="113">
        <v>1.9E-2</v>
      </c>
      <c r="F140" s="113">
        <v>20</v>
      </c>
      <c r="G140"/>
      <c r="H140" s="118" t="s">
        <v>715</v>
      </c>
      <c r="I140" s="113" t="s">
        <v>784</v>
      </c>
      <c r="J140"/>
      <c r="K140"/>
      <c r="L140"/>
      <c r="M140"/>
      <c r="N140"/>
      <c r="O140"/>
      <c r="P140"/>
      <c r="Q140"/>
      <c r="R140"/>
      <c r="S140"/>
      <c r="T140"/>
      <c r="U140"/>
      <c r="V140" t="s">
        <v>17</v>
      </c>
    </row>
    <row r="141" spans="1:22" x14ac:dyDescent="0.3">
      <c r="A141" s="115" t="s">
        <v>22</v>
      </c>
      <c r="B141" s="114" t="s">
        <v>719</v>
      </c>
      <c r="C141" s="118">
        <v>1</v>
      </c>
      <c r="D141" s="113">
        <v>70</v>
      </c>
      <c r="E141" s="113">
        <v>1.9E-2</v>
      </c>
      <c r="F141" s="113">
        <v>20</v>
      </c>
      <c r="G141"/>
      <c r="H141" s="118" t="s">
        <v>715</v>
      </c>
      <c r="I141" s="113" t="s">
        <v>784</v>
      </c>
      <c r="J141"/>
      <c r="K141"/>
      <c r="L141" s="113"/>
      <c r="M141"/>
      <c r="N141"/>
      <c r="O141"/>
      <c r="P141"/>
      <c r="Q141"/>
      <c r="R141"/>
      <c r="S141"/>
      <c r="T141"/>
      <c r="U141"/>
      <c r="V141" t="s">
        <v>17</v>
      </c>
    </row>
    <row r="142" spans="1:22" x14ac:dyDescent="0.3">
      <c r="A142" s="115" t="s">
        <v>23</v>
      </c>
      <c r="B142" s="114" t="s">
        <v>720</v>
      </c>
      <c r="C142" s="118">
        <v>1</v>
      </c>
      <c r="D142" s="113">
        <v>70</v>
      </c>
      <c r="E142" s="113">
        <v>1.9E-2</v>
      </c>
      <c r="F142" s="113">
        <v>20</v>
      </c>
      <c r="G142"/>
      <c r="H142" s="118" t="s">
        <v>715</v>
      </c>
      <c r="I142" s="113" t="s">
        <v>784</v>
      </c>
      <c r="J142"/>
      <c r="K142"/>
      <c r="L142"/>
      <c r="M142"/>
      <c r="N142"/>
      <c r="O142"/>
      <c r="P142"/>
      <c r="Q142"/>
      <c r="R142"/>
      <c r="S142"/>
      <c r="T142"/>
      <c r="U142"/>
      <c r="V142" t="s">
        <v>17</v>
      </c>
    </row>
    <row r="143" spans="1:22" x14ac:dyDescent="0.3">
      <c r="A143" s="115" t="s">
        <v>25</v>
      </c>
      <c r="B143" s="114" t="s">
        <v>721</v>
      </c>
      <c r="C143" s="118">
        <v>1</v>
      </c>
      <c r="D143" s="113">
        <v>70</v>
      </c>
      <c r="E143" s="113">
        <v>1.9E-2</v>
      </c>
      <c r="F143" s="113">
        <v>20</v>
      </c>
      <c r="G143"/>
      <c r="H143" s="118" t="s">
        <v>715</v>
      </c>
      <c r="I143" s="113" t="s">
        <v>784</v>
      </c>
      <c r="J143"/>
      <c r="K143"/>
      <c r="L143" s="113"/>
      <c r="M143"/>
      <c r="N143"/>
      <c r="O143"/>
      <c r="P143"/>
      <c r="Q143"/>
      <c r="R143"/>
      <c r="S143"/>
      <c r="T143"/>
      <c r="U143"/>
      <c r="V143" t="s">
        <v>17</v>
      </c>
    </row>
    <row r="144" spans="1:22" x14ac:dyDescent="0.3">
      <c r="A144" s="115" t="s">
        <v>26</v>
      </c>
      <c r="B144" s="114" t="s">
        <v>722</v>
      </c>
      <c r="C144" s="118">
        <v>1</v>
      </c>
      <c r="D144" s="113">
        <v>70</v>
      </c>
      <c r="E144" s="113">
        <v>1.9E-2</v>
      </c>
      <c r="F144" s="113">
        <v>20</v>
      </c>
      <c r="G144"/>
      <c r="H144" s="118" t="s">
        <v>715</v>
      </c>
      <c r="I144" s="113" t="s">
        <v>784</v>
      </c>
      <c r="J144"/>
      <c r="K144"/>
      <c r="L144"/>
      <c r="M144"/>
      <c r="N144"/>
      <c r="O144"/>
      <c r="P144"/>
      <c r="Q144"/>
      <c r="R144"/>
      <c r="S144"/>
      <c r="T144"/>
      <c r="U144"/>
      <c r="V144" t="s">
        <v>17</v>
      </c>
    </row>
    <row r="145" spans="1:22" x14ac:dyDescent="0.3">
      <c r="A145" s="115" t="s">
        <v>27</v>
      </c>
      <c r="B145" s="114" t="s">
        <v>723</v>
      </c>
      <c r="C145" s="118">
        <v>1</v>
      </c>
      <c r="D145" s="113">
        <v>70</v>
      </c>
      <c r="E145" s="113">
        <v>1.9E-2</v>
      </c>
      <c r="F145" s="113">
        <v>20</v>
      </c>
      <c r="G145"/>
      <c r="H145" s="118" t="s">
        <v>715</v>
      </c>
      <c r="I145" s="113" t="s">
        <v>784</v>
      </c>
      <c r="J145"/>
      <c r="K145"/>
      <c r="L145" s="113"/>
      <c r="M145"/>
      <c r="N145"/>
      <c r="O145"/>
      <c r="P145"/>
      <c r="Q145"/>
      <c r="R145"/>
      <c r="S145"/>
      <c r="T145"/>
      <c r="U145"/>
      <c r="V145" t="s">
        <v>17</v>
      </c>
    </row>
    <row r="146" spans="1:22" x14ac:dyDescent="0.3">
      <c r="A146" s="115" t="s">
        <v>28</v>
      </c>
      <c r="B146" s="114" t="s">
        <v>724</v>
      </c>
      <c r="C146" s="118">
        <v>1</v>
      </c>
      <c r="D146" s="113">
        <v>70</v>
      </c>
      <c r="E146" s="113">
        <v>1.9E-2</v>
      </c>
      <c r="F146" s="113">
        <v>20</v>
      </c>
      <c r="G146"/>
      <c r="H146" s="118" t="s">
        <v>715</v>
      </c>
      <c r="I146" s="113" t="s">
        <v>784</v>
      </c>
      <c r="J146"/>
      <c r="K146"/>
      <c r="L146"/>
      <c r="M146"/>
      <c r="N146"/>
      <c r="O146"/>
      <c r="P146"/>
      <c r="Q146"/>
      <c r="R146"/>
      <c r="S146"/>
      <c r="T146"/>
      <c r="U146"/>
      <c r="V146" t="s">
        <v>17</v>
      </c>
    </row>
    <row r="147" spans="1:22" x14ac:dyDescent="0.3">
      <c r="A147" s="115" t="s">
        <v>29</v>
      </c>
      <c r="B147" s="114" t="s">
        <v>725</v>
      </c>
      <c r="C147" s="118">
        <v>1</v>
      </c>
      <c r="D147" s="113">
        <v>70</v>
      </c>
      <c r="E147" s="113">
        <v>1.9E-2</v>
      </c>
      <c r="F147" s="113">
        <v>20</v>
      </c>
      <c r="G147"/>
      <c r="H147" s="118" t="s">
        <v>715</v>
      </c>
      <c r="I147" s="113" t="s">
        <v>784</v>
      </c>
      <c r="J147"/>
      <c r="K147"/>
      <c r="L147" s="113"/>
      <c r="M147"/>
      <c r="N147"/>
      <c r="O147"/>
      <c r="P147"/>
      <c r="Q147"/>
      <c r="R147"/>
      <c r="S147"/>
      <c r="T147"/>
      <c r="U147"/>
      <c r="V147" t="s">
        <v>17</v>
      </c>
    </row>
    <row r="148" spans="1:22" x14ac:dyDescent="0.3">
      <c r="A148" s="115" t="s">
        <v>31</v>
      </c>
      <c r="B148" s="114" t="s">
        <v>726</v>
      </c>
      <c r="C148" s="118">
        <v>1</v>
      </c>
      <c r="D148" s="113">
        <v>70</v>
      </c>
      <c r="E148" s="113">
        <v>1.9E-2</v>
      </c>
      <c r="F148" s="113">
        <v>20</v>
      </c>
      <c r="G148"/>
      <c r="H148" s="118" t="s">
        <v>715</v>
      </c>
      <c r="I148" s="113" t="s">
        <v>784</v>
      </c>
      <c r="J148"/>
      <c r="K148"/>
      <c r="L148" s="113"/>
      <c r="M148"/>
      <c r="N148"/>
      <c r="O148"/>
      <c r="P148"/>
      <c r="Q148"/>
      <c r="R148"/>
      <c r="S148"/>
      <c r="T148"/>
      <c r="U148"/>
      <c r="V148" t="s">
        <v>17</v>
      </c>
    </row>
    <row r="149" spans="1:22" x14ac:dyDescent="0.3">
      <c r="A149" s="115" t="s">
        <v>32</v>
      </c>
      <c r="B149" s="114" t="s">
        <v>727</v>
      </c>
      <c r="C149" s="118">
        <v>1</v>
      </c>
      <c r="D149" s="113">
        <v>70</v>
      </c>
      <c r="E149" s="113">
        <v>1.9E-2</v>
      </c>
      <c r="F149" s="113">
        <v>20</v>
      </c>
      <c r="G149"/>
      <c r="H149" s="118" t="s">
        <v>715</v>
      </c>
      <c r="I149" s="113" t="s">
        <v>784</v>
      </c>
      <c r="J149"/>
      <c r="K149"/>
      <c r="L149"/>
      <c r="M149"/>
      <c r="N149"/>
      <c r="O149"/>
      <c r="P149"/>
      <c r="Q149"/>
      <c r="R149"/>
      <c r="S149"/>
      <c r="T149"/>
      <c r="U149"/>
      <c r="V149" t="s">
        <v>17</v>
      </c>
    </row>
    <row r="150" spans="1:22" x14ac:dyDescent="0.3">
      <c r="A150" s="115" t="s">
        <v>33</v>
      </c>
      <c r="B150" s="114" t="s">
        <v>728</v>
      </c>
      <c r="C150" s="118">
        <v>1</v>
      </c>
      <c r="D150" s="113">
        <v>70</v>
      </c>
      <c r="E150" s="113">
        <v>1.9E-2</v>
      </c>
      <c r="F150" s="113">
        <v>20</v>
      </c>
      <c r="G150"/>
      <c r="H150" s="118" t="s">
        <v>715</v>
      </c>
      <c r="I150" s="113" t="s">
        <v>784</v>
      </c>
      <c r="J150"/>
      <c r="K150"/>
      <c r="L150" s="113"/>
      <c r="M150"/>
      <c r="N150"/>
      <c r="O150"/>
      <c r="P150"/>
      <c r="Q150"/>
      <c r="R150"/>
      <c r="S150"/>
      <c r="T150"/>
      <c r="U150"/>
      <c r="V150" t="s">
        <v>17</v>
      </c>
    </row>
    <row r="151" spans="1:22" x14ac:dyDescent="0.3">
      <c r="A151" s="115" t="s">
        <v>34</v>
      </c>
      <c r="B151" s="114" t="s">
        <v>729</v>
      </c>
      <c r="C151" s="118">
        <v>1</v>
      </c>
      <c r="D151" s="113">
        <v>70</v>
      </c>
      <c r="E151" s="113">
        <v>1.9E-2</v>
      </c>
      <c r="F151" s="113">
        <v>20</v>
      </c>
      <c r="G151"/>
      <c r="H151" s="118" t="s">
        <v>715</v>
      </c>
      <c r="I151" s="113" t="s">
        <v>784</v>
      </c>
      <c r="J151"/>
      <c r="K151"/>
      <c r="L151" s="113"/>
      <c r="M151"/>
      <c r="N151"/>
      <c r="O151"/>
      <c r="P151"/>
      <c r="Q151"/>
      <c r="R151"/>
      <c r="S151"/>
      <c r="T151"/>
      <c r="U151"/>
      <c r="V151" t="s">
        <v>17</v>
      </c>
    </row>
    <row r="152" spans="1:22" x14ac:dyDescent="0.3">
      <c r="A152" s="115" t="s">
        <v>36</v>
      </c>
      <c r="B152" s="114" t="s">
        <v>730</v>
      </c>
      <c r="C152" s="118">
        <v>1</v>
      </c>
      <c r="D152" s="113">
        <v>70</v>
      </c>
      <c r="E152" s="113">
        <v>1.9E-2</v>
      </c>
      <c r="F152" s="113">
        <v>20</v>
      </c>
      <c r="G152"/>
      <c r="H152" s="118" t="s">
        <v>715</v>
      </c>
      <c r="I152" s="113" t="s">
        <v>784</v>
      </c>
      <c r="J152"/>
      <c r="K152"/>
      <c r="L152"/>
      <c r="M152"/>
      <c r="N152"/>
      <c r="O152"/>
      <c r="P152"/>
      <c r="Q152"/>
      <c r="R152"/>
      <c r="S152"/>
      <c r="T152"/>
      <c r="U152"/>
      <c r="V152" t="s">
        <v>17</v>
      </c>
    </row>
    <row r="153" spans="1:22" x14ac:dyDescent="0.3">
      <c r="A153" s="115" t="s">
        <v>37</v>
      </c>
      <c r="B153" s="114" t="s">
        <v>731</v>
      </c>
      <c r="C153" s="118">
        <v>1</v>
      </c>
      <c r="D153" s="113">
        <v>70</v>
      </c>
      <c r="E153" s="113">
        <v>1.9E-2</v>
      </c>
      <c r="F153" s="113">
        <v>20</v>
      </c>
      <c r="G153"/>
      <c r="H153" s="118" t="s">
        <v>715</v>
      </c>
      <c r="I153" s="113" t="s">
        <v>784</v>
      </c>
      <c r="J153"/>
      <c r="K153"/>
      <c r="L153" s="113"/>
      <c r="M153"/>
      <c r="N153"/>
      <c r="O153"/>
      <c r="P153"/>
      <c r="Q153"/>
      <c r="R153"/>
      <c r="S153"/>
      <c r="T153"/>
      <c r="U153"/>
      <c r="V153" t="s">
        <v>17</v>
      </c>
    </row>
    <row r="154" spans="1:22" x14ac:dyDescent="0.3">
      <c r="A154" s="115" t="s">
        <v>38</v>
      </c>
      <c r="B154" s="114" t="s">
        <v>732</v>
      </c>
      <c r="C154" s="118">
        <v>1</v>
      </c>
      <c r="D154" s="113">
        <v>70</v>
      </c>
      <c r="E154" s="113">
        <v>1.9E-2</v>
      </c>
      <c r="F154" s="113">
        <v>20</v>
      </c>
      <c r="G154"/>
      <c r="H154" s="118" t="s">
        <v>715</v>
      </c>
      <c r="I154" s="113" t="s">
        <v>784</v>
      </c>
      <c r="J154"/>
      <c r="K154"/>
      <c r="L154"/>
      <c r="M154"/>
      <c r="N154"/>
      <c r="O154"/>
      <c r="P154"/>
      <c r="Q154"/>
      <c r="R154"/>
      <c r="S154"/>
      <c r="T154"/>
      <c r="U154"/>
      <c r="V154" t="s">
        <v>17</v>
      </c>
    </row>
    <row r="155" spans="1:22" x14ac:dyDescent="0.3">
      <c r="A155" s="115" t="s">
        <v>39</v>
      </c>
      <c r="B155" s="114" t="s">
        <v>733</v>
      </c>
      <c r="C155" s="118">
        <v>12</v>
      </c>
      <c r="D155" s="113">
        <v>28</v>
      </c>
      <c r="E155" s="113">
        <v>1.9E-2</v>
      </c>
      <c r="F155" s="113">
        <v>16</v>
      </c>
      <c r="G155"/>
      <c r="H155" s="118" t="s">
        <v>715</v>
      </c>
      <c r="I155" s="113" t="s">
        <v>784</v>
      </c>
      <c r="J155"/>
      <c r="K155"/>
      <c r="L155"/>
      <c r="M155"/>
      <c r="N155"/>
      <c r="O155"/>
      <c r="P155"/>
      <c r="Q155"/>
      <c r="R155"/>
      <c r="S155"/>
      <c r="T155"/>
      <c r="U155"/>
      <c r="V155" t="s">
        <v>734</v>
      </c>
    </row>
    <row r="156" spans="1:22" x14ac:dyDescent="0.3">
      <c r="A156" s="115" t="s">
        <v>56</v>
      </c>
      <c r="B156" s="114" t="s">
        <v>733</v>
      </c>
      <c r="C156" s="118">
        <v>8</v>
      </c>
      <c r="D156" s="113">
        <v>28</v>
      </c>
      <c r="E156" s="113">
        <v>1.9E-2</v>
      </c>
      <c r="F156" s="113">
        <v>16</v>
      </c>
      <c r="G156"/>
      <c r="H156" s="118" t="s">
        <v>715</v>
      </c>
      <c r="I156" s="113" t="s">
        <v>784</v>
      </c>
      <c r="J156"/>
      <c r="K156"/>
      <c r="L156"/>
      <c r="M156"/>
      <c r="N156"/>
      <c r="O156"/>
      <c r="P156"/>
      <c r="Q156"/>
      <c r="R156"/>
      <c r="S156"/>
      <c r="T156"/>
      <c r="U156"/>
      <c r="V156" t="s">
        <v>734</v>
      </c>
    </row>
    <row r="157" spans="1:22" x14ac:dyDescent="0.3">
      <c r="A157" s="115" t="s">
        <v>58</v>
      </c>
      <c r="B157" s="114" t="s">
        <v>735</v>
      </c>
      <c r="C157" s="118">
        <v>2</v>
      </c>
      <c r="D157" s="113">
        <v>23</v>
      </c>
      <c r="E157" s="113">
        <v>1.9E-2</v>
      </c>
      <c r="F157" s="113">
        <v>13</v>
      </c>
      <c r="G157"/>
      <c r="H157" s="118" t="s">
        <v>715</v>
      </c>
      <c r="I157" s="113" t="s">
        <v>784</v>
      </c>
      <c r="J157"/>
      <c r="K157"/>
      <c r="L157"/>
      <c r="M157"/>
      <c r="N157"/>
      <c r="O157"/>
      <c r="P157"/>
      <c r="Q157"/>
      <c r="R157"/>
      <c r="S157"/>
      <c r="T157"/>
      <c r="U157"/>
      <c r="V157" t="s">
        <v>17</v>
      </c>
    </row>
    <row r="158" spans="1:22" x14ac:dyDescent="0.3">
      <c r="A158" s="115" t="s">
        <v>59</v>
      </c>
      <c r="B158" s="114" t="s">
        <v>736</v>
      </c>
      <c r="C158" s="118">
        <v>2</v>
      </c>
      <c r="D158" s="113">
        <v>23</v>
      </c>
      <c r="E158" s="113">
        <v>1.9E-2</v>
      </c>
      <c r="F158" s="113">
        <v>13</v>
      </c>
      <c r="G158"/>
      <c r="H158" s="118" t="s">
        <v>715</v>
      </c>
      <c r="I158" s="113" t="s">
        <v>784</v>
      </c>
      <c r="J158"/>
      <c r="K158"/>
      <c r="L158"/>
      <c r="M158"/>
      <c r="N158"/>
      <c r="O158"/>
      <c r="P158"/>
      <c r="Q158"/>
      <c r="R158"/>
      <c r="S158"/>
      <c r="T158"/>
      <c r="U158"/>
      <c r="V158" t="s">
        <v>17</v>
      </c>
    </row>
    <row r="159" spans="1:22" x14ac:dyDescent="0.3">
      <c r="A159" s="115" t="s">
        <v>60</v>
      </c>
      <c r="B159" s="114" t="s">
        <v>737</v>
      </c>
      <c r="C159" s="118">
        <v>1</v>
      </c>
      <c r="D159" s="113">
        <v>23</v>
      </c>
      <c r="E159" s="113">
        <v>1.9E-2</v>
      </c>
      <c r="F159" s="113">
        <v>13</v>
      </c>
      <c r="G159"/>
      <c r="H159" s="118" t="s">
        <v>715</v>
      </c>
      <c r="I159" s="113" t="s">
        <v>784</v>
      </c>
      <c r="J159"/>
      <c r="K159"/>
      <c r="L159"/>
      <c r="M159"/>
      <c r="N159"/>
      <c r="O159"/>
      <c r="P159"/>
      <c r="Q159"/>
      <c r="R159"/>
      <c r="S159"/>
      <c r="T159"/>
      <c r="U159"/>
      <c r="V159" t="s">
        <v>17</v>
      </c>
    </row>
    <row r="160" spans="1:22" x14ac:dyDescent="0.3">
      <c r="A160" s="115" t="s">
        <v>61</v>
      </c>
      <c r="B160" s="114" t="s">
        <v>738</v>
      </c>
      <c r="C160" s="118">
        <v>1</v>
      </c>
      <c r="D160" s="113">
        <v>23</v>
      </c>
      <c r="E160" s="113">
        <v>1.9E-2</v>
      </c>
      <c r="F160" s="113">
        <v>13</v>
      </c>
      <c r="G160"/>
      <c r="H160" s="118" t="s">
        <v>715</v>
      </c>
      <c r="I160" s="113" t="s">
        <v>784</v>
      </c>
      <c r="J160"/>
      <c r="K160"/>
      <c r="L160"/>
      <c r="M160"/>
      <c r="N160"/>
      <c r="O160"/>
      <c r="P160"/>
      <c r="Q160"/>
      <c r="R160"/>
      <c r="S160"/>
      <c r="T160"/>
      <c r="U160"/>
      <c r="V160" t="s">
        <v>17</v>
      </c>
    </row>
    <row r="161" spans="1:22" x14ac:dyDescent="0.3">
      <c r="A161" s="115" t="s">
        <v>63</v>
      </c>
      <c r="B161" s="114" t="s">
        <v>739</v>
      </c>
      <c r="C161" s="118">
        <v>1</v>
      </c>
      <c r="D161" s="113">
        <v>23</v>
      </c>
      <c r="E161" s="113">
        <v>1.9E-2</v>
      </c>
      <c r="F161" s="113">
        <v>13</v>
      </c>
      <c r="G161"/>
      <c r="H161" s="118" t="s">
        <v>715</v>
      </c>
      <c r="I161" s="113" t="s">
        <v>784</v>
      </c>
      <c r="J161"/>
      <c r="K161"/>
      <c r="L161"/>
      <c r="M161"/>
      <c r="N161"/>
      <c r="O161"/>
      <c r="P161"/>
      <c r="Q161"/>
      <c r="R161"/>
      <c r="S161"/>
      <c r="T161"/>
      <c r="U161"/>
      <c r="V161" t="s">
        <v>17</v>
      </c>
    </row>
    <row r="162" spans="1:22" x14ac:dyDescent="0.3">
      <c r="A162" s="115" t="s">
        <v>65</v>
      </c>
      <c r="B162" s="114" t="s">
        <v>740</v>
      </c>
      <c r="C162" s="118">
        <v>1</v>
      </c>
      <c r="D162" s="113">
        <v>23</v>
      </c>
      <c r="E162" s="113">
        <v>1.9E-2</v>
      </c>
      <c r="F162" s="113">
        <v>13</v>
      </c>
      <c r="G162"/>
      <c r="H162" s="118" t="s">
        <v>715</v>
      </c>
      <c r="I162" s="113" t="s">
        <v>784</v>
      </c>
      <c r="J162"/>
      <c r="K162"/>
      <c r="L162"/>
      <c r="M162"/>
      <c r="N162"/>
      <c r="O162"/>
      <c r="P162"/>
      <c r="Q162"/>
      <c r="R162"/>
      <c r="S162"/>
      <c r="T162"/>
      <c r="U162"/>
      <c r="V162" t="s">
        <v>17</v>
      </c>
    </row>
    <row r="163" spans="1:22" x14ac:dyDescent="0.3">
      <c r="A163" s="115" t="s">
        <v>66</v>
      </c>
      <c r="B163" s="114" t="s">
        <v>741</v>
      </c>
      <c r="C163" s="118">
        <v>1</v>
      </c>
      <c r="D163" s="113">
        <v>23</v>
      </c>
      <c r="E163" s="113">
        <v>1.9E-2</v>
      </c>
      <c r="F163" s="113">
        <v>13</v>
      </c>
      <c r="G163"/>
      <c r="H163" s="118" t="s">
        <v>715</v>
      </c>
      <c r="I163" s="113" t="s">
        <v>784</v>
      </c>
      <c r="J163"/>
      <c r="K163"/>
      <c r="L163"/>
      <c r="M163"/>
      <c r="N163"/>
      <c r="O163"/>
      <c r="P163"/>
      <c r="Q163"/>
      <c r="R163"/>
      <c r="S163"/>
      <c r="T163"/>
      <c r="U163"/>
      <c r="V163" t="s">
        <v>17</v>
      </c>
    </row>
    <row r="164" spans="1:22" x14ac:dyDescent="0.3">
      <c r="A164" s="115" t="s">
        <v>67</v>
      </c>
      <c r="B164" s="114" t="s">
        <v>742</v>
      </c>
      <c r="C164" s="118">
        <v>1</v>
      </c>
      <c r="D164" s="113">
        <v>23</v>
      </c>
      <c r="E164" s="113">
        <v>1.9E-2</v>
      </c>
      <c r="F164" s="113">
        <v>13</v>
      </c>
      <c r="G164"/>
      <c r="H164" s="118" t="s">
        <v>715</v>
      </c>
      <c r="I164" s="113" t="s">
        <v>784</v>
      </c>
      <c r="J164"/>
      <c r="K164"/>
      <c r="L164"/>
      <c r="M164"/>
      <c r="N164"/>
      <c r="O164"/>
      <c r="P164"/>
      <c r="Q164"/>
      <c r="R164"/>
      <c r="S164"/>
      <c r="T164"/>
      <c r="U164"/>
      <c r="V164" t="s">
        <v>17</v>
      </c>
    </row>
    <row r="165" spans="1:22" x14ac:dyDescent="0.3">
      <c r="A165" s="115" t="s">
        <v>68</v>
      </c>
      <c r="B165" s="114" t="s">
        <v>743</v>
      </c>
      <c r="C165" s="118">
        <v>1</v>
      </c>
      <c r="D165" s="113">
        <v>23</v>
      </c>
      <c r="E165" s="113">
        <v>1.9E-2</v>
      </c>
      <c r="F165" s="113">
        <v>13</v>
      </c>
      <c r="G165"/>
      <c r="H165" s="118" t="s">
        <v>715</v>
      </c>
      <c r="I165" s="113" t="s">
        <v>784</v>
      </c>
      <c r="J165"/>
      <c r="K165"/>
      <c r="L165"/>
      <c r="M165"/>
      <c r="N165"/>
      <c r="O165"/>
      <c r="P165"/>
      <c r="Q165"/>
      <c r="R165"/>
      <c r="S165"/>
      <c r="T165"/>
      <c r="U165"/>
      <c r="V165" t="s">
        <v>17</v>
      </c>
    </row>
    <row r="166" spans="1:22" x14ac:dyDescent="0.3">
      <c r="A166" s="115" t="s">
        <v>69</v>
      </c>
      <c r="B166" s="114" t="s">
        <v>744</v>
      </c>
      <c r="C166" s="118">
        <v>1</v>
      </c>
      <c r="D166" s="113">
        <v>23</v>
      </c>
      <c r="E166" s="113">
        <v>1.9E-2</v>
      </c>
      <c r="F166" s="113">
        <v>13</v>
      </c>
      <c r="G166"/>
      <c r="H166" s="118" t="s">
        <v>715</v>
      </c>
      <c r="I166" s="113" t="s">
        <v>784</v>
      </c>
      <c r="J166"/>
      <c r="K166"/>
      <c r="L166"/>
      <c r="M166"/>
      <c r="N166"/>
      <c r="O166"/>
      <c r="P166"/>
      <c r="Q166"/>
      <c r="R166"/>
      <c r="S166"/>
      <c r="T166"/>
      <c r="U166"/>
      <c r="V166" t="s">
        <v>17</v>
      </c>
    </row>
    <row r="167" spans="1:22" x14ac:dyDescent="0.3">
      <c r="A167" s="115" t="s">
        <v>70</v>
      </c>
      <c r="B167" s="114" t="s">
        <v>745</v>
      </c>
      <c r="C167" s="118">
        <v>1</v>
      </c>
      <c r="D167" s="113">
        <v>23</v>
      </c>
      <c r="E167" s="113">
        <v>1.9E-2</v>
      </c>
      <c r="F167" s="113">
        <v>13</v>
      </c>
      <c r="G167"/>
      <c r="H167" s="118" t="s">
        <v>715</v>
      </c>
      <c r="I167" s="113" t="s">
        <v>784</v>
      </c>
      <c r="J167"/>
      <c r="K167"/>
      <c r="L167"/>
      <c r="M167"/>
      <c r="N167"/>
      <c r="O167"/>
      <c r="P167"/>
      <c r="Q167"/>
      <c r="R167"/>
      <c r="S167"/>
      <c r="T167"/>
      <c r="U167"/>
      <c r="V167" t="s">
        <v>17</v>
      </c>
    </row>
    <row r="168" spans="1:22" x14ac:dyDescent="0.3">
      <c r="A168" s="115" t="s">
        <v>71</v>
      </c>
      <c r="B168" s="114" t="s">
        <v>746</v>
      </c>
      <c r="C168" s="118">
        <v>1</v>
      </c>
      <c r="D168" s="113">
        <v>23</v>
      </c>
      <c r="E168" s="113">
        <v>1.9E-2</v>
      </c>
      <c r="F168" s="113">
        <v>13</v>
      </c>
      <c r="G168"/>
      <c r="H168" s="118" t="s">
        <v>715</v>
      </c>
      <c r="I168" s="113" t="s">
        <v>784</v>
      </c>
      <c r="J168"/>
      <c r="K168"/>
      <c r="L168"/>
      <c r="M168"/>
      <c r="N168"/>
      <c r="O168"/>
      <c r="P168"/>
      <c r="Q168"/>
      <c r="R168"/>
      <c r="S168"/>
      <c r="T168"/>
      <c r="U168"/>
      <c r="V168" t="s">
        <v>17</v>
      </c>
    </row>
    <row r="169" spans="1:22" x14ac:dyDescent="0.3">
      <c r="A169" s="115" t="s">
        <v>72</v>
      </c>
      <c r="B169" s="114" t="s">
        <v>747</v>
      </c>
      <c r="C169" s="118">
        <v>1</v>
      </c>
      <c r="D169" s="113">
        <v>23</v>
      </c>
      <c r="E169" s="113">
        <v>1.9E-2</v>
      </c>
      <c r="F169" s="113">
        <v>13</v>
      </c>
      <c r="G169"/>
      <c r="H169" s="118" t="s">
        <v>715</v>
      </c>
      <c r="I169" s="113" t="s">
        <v>784</v>
      </c>
      <c r="J169"/>
      <c r="K169"/>
      <c r="L169"/>
      <c r="M169"/>
      <c r="N169"/>
      <c r="O169"/>
      <c r="P169"/>
      <c r="Q169"/>
      <c r="R169"/>
      <c r="S169"/>
      <c r="T169"/>
      <c r="U169"/>
      <c r="V169" t="s">
        <v>17</v>
      </c>
    </row>
    <row r="170" spans="1:22" x14ac:dyDescent="0.3">
      <c r="A170" s="115" t="s">
        <v>73</v>
      </c>
      <c r="B170" s="114" t="s">
        <v>748</v>
      </c>
      <c r="C170" s="118">
        <v>1</v>
      </c>
      <c r="D170" s="113">
        <v>23</v>
      </c>
      <c r="E170" s="113">
        <v>1.9E-2</v>
      </c>
      <c r="F170" s="113">
        <v>13</v>
      </c>
      <c r="G170"/>
      <c r="H170" s="118" t="s">
        <v>715</v>
      </c>
      <c r="I170" s="113" t="s">
        <v>784</v>
      </c>
      <c r="J170"/>
      <c r="K170"/>
      <c r="L170"/>
      <c r="M170"/>
      <c r="N170"/>
      <c r="O170"/>
      <c r="P170"/>
      <c r="Q170"/>
      <c r="R170"/>
      <c r="S170"/>
      <c r="T170"/>
      <c r="U170"/>
      <c r="V170" t="s">
        <v>17</v>
      </c>
    </row>
    <row r="171" spans="1:22" x14ac:dyDescent="0.3">
      <c r="A171" s="115" t="s">
        <v>74</v>
      </c>
      <c r="B171" s="114" t="s">
        <v>749</v>
      </c>
      <c r="C171" s="118">
        <v>1</v>
      </c>
      <c r="D171" s="113">
        <v>23</v>
      </c>
      <c r="E171" s="113">
        <v>1.9E-2</v>
      </c>
      <c r="F171" s="113">
        <v>13</v>
      </c>
      <c r="G171"/>
      <c r="H171" s="118" t="s">
        <v>715</v>
      </c>
      <c r="I171" s="113" t="s">
        <v>784</v>
      </c>
      <c r="J171"/>
      <c r="K171"/>
      <c r="L171"/>
      <c r="M171"/>
      <c r="N171"/>
      <c r="O171"/>
      <c r="P171"/>
      <c r="Q171"/>
      <c r="R171"/>
      <c r="S171"/>
      <c r="T171"/>
      <c r="U171"/>
      <c r="V171" t="s">
        <v>17</v>
      </c>
    </row>
    <row r="172" spans="1:22" x14ac:dyDescent="0.3">
      <c r="A172" s="115" t="s">
        <v>78</v>
      </c>
      <c r="B172" s="114" t="s">
        <v>750</v>
      </c>
      <c r="C172" s="118">
        <v>1</v>
      </c>
      <c r="D172" s="113">
        <v>23</v>
      </c>
      <c r="E172" s="113">
        <v>1.9E-2</v>
      </c>
      <c r="F172" s="113">
        <v>13</v>
      </c>
      <c r="G172"/>
      <c r="H172" s="118" t="s">
        <v>715</v>
      </c>
      <c r="I172" s="113" t="s">
        <v>784</v>
      </c>
      <c r="J172"/>
      <c r="K172"/>
      <c r="L172"/>
      <c r="M172"/>
      <c r="N172"/>
      <c r="O172"/>
      <c r="P172"/>
      <c r="Q172"/>
      <c r="R172"/>
      <c r="S172"/>
      <c r="T172"/>
      <c r="U172"/>
      <c r="V172" t="s">
        <v>17</v>
      </c>
    </row>
    <row r="173" spans="1:22" x14ac:dyDescent="0.3">
      <c r="A173" s="115" t="s">
        <v>79</v>
      </c>
      <c r="B173" s="114" t="s">
        <v>751</v>
      </c>
      <c r="C173" s="118">
        <v>1</v>
      </c>
      <c r="D173" s="113">
        <v>23</v>
      </c>
      <c r="E173" s="113">
        <v>1.9E-2</v>
      </c>
      <c r="F173" s="113">
        <v>13</v>
      </c>
      <c r="G173"/>
      <c r="H173" s="118" t="s">
        <v>715</v>
      </c>
      <c r="I173" s="113" t="s">
        <v>784</v>
      </c>
      <c r="J173"/>
      <c r="K173"/>
      <c r="L173"/>
      <c r="M173"/>
      <c r="N173"/>
      <c r="O173"/>
      <c r="P173"/>
      <c r="Q173"/>
      <c r="R173"/>
      <c r="S173"/>
      <c r="T173"/>
      <c r="U173"/>
      <c r="V173" t="s">
        <v>17</v>
      </c>
    </row>
    <row r="174" spans="1:22" x14ac:dyDescent="0.3">
      <c r="A174" s="115" t="s">
        <v>80</v>
      </c>
      <c r="B174" s="114" t="s">
        <v>752</v>
      </c>
      <c r="C174" s="118">
        <v>1</v>
      </c>
      <c r="D174" s="113">
        <v>23</v>
      </c>
      <c r="E174" s="113">
        <v>1.9E-2</v>
      </c>
      <c r="F174" s="113">
        <v>13</v>
      </c>
      <c r="G174"/>
      <c r="H174" s="118" t="s">
        <v>715</v>
      </c>
      <c r="I174" s="113" t="s">
        <v>784</v>
      </c>
      <c r="J174"/>
      <c r="K174"/>
      <c r="L174"/>
      <c r="M174"/>
      <c r="N174"/>
      <c r="O174"/>
      <c r="P174"/>
      <c r="Q174"/>
      <c r="R174"/>
      <c r="S174"/>
      <c r="T174"/>
      <c r="U174"/>
      <c r="V174" t="s">
        <v>17</v>
      </c>
    </row>
    <row r="175" spans="1:22" x14ac:dyDescent="0.3">
      <c r="A175" s="115" t="s">
        <v>81</v>
      </c>
      <c r="B175" s="114" t="s">
        <v>753</v>
      </c>
      <c r="C175" s="118">
        <v>1</v>
      </c>
      <c r="D175" s="113">
        <v>500</v>
      </c>
      <c r="E175" s="113">
        <v>1.9E-2</v>
      </c>
      <c r="F175" s="113">
        <v>11</v>
      </c>
      <c r="G175"/>
      <c r="H175" s="118" t="s">
        <v>715</v>
      </c>
      <c r="I175" s="113" t="s">
        <v>784</v>
      </c>
      <c r="J175"/>
      <c r="K175"/>
      <c r="L175"/>
      <c r="M175"/>
      <c r="N175"/>
      <c r="O175"/>
      <c r="P175"/>
      <c r="Q175"/>
      <c r="R175"/>
      <c r="S175"/>
      <c r="T175"/>
      <c r="U175"/>
      <c r="V175" t="s">
        <v>734</v>
      </c>
    </row>
    <row r="176" spans="1:22" x14ac:dyDescent="0.3">
      <c r="A176" s="115" t="s">
        <v>82</v>
      </c>
      <c r="B176" s="114" t="s">
        <v>754</v>
      </c>
      <c r="C176" s="118">
        <v>1</v>
      </c>
      <c r="D176" s="113">
        <v>500</v>
      </c>
      <c r="E176" s="113">
        <v>1.9E-2</v>
      </c>
      <c r="F176" s="113">
        <v>11</v>
      </c>
      <c r="G176"/>
      <c r="H176" s="118" t="s">
        <v>715</v>
      </c>
      <c r="I176" s="113" t="s">
        <v>784</v>
      </c>
      <c r="J176"/>
      <c r="K176"/>
      <c r="L176"/>
      <c r="M176"/>
      <c r="N176"/>
      <c r="O176"/>
      <c r="P176"/>
      <c r="Q176"/>
      <c r="R176"/>
      <c r="S176"/>
      <c r="T176"/>
      <c r="U176"/>
      <c r="V176" t="s">
        <v>734</v>
      </c>
    </row>
    <row r="177" spans="1:22" x14ac:dyDescent="0.3">
      <c r="A177" s="115" t="s">
        <v>83</v>
      </c>
      <c r="B177" s="114" t="s">
        <v>755</v>
      </c>
      <c r="C177" s="118">
        <v>1</v>
      </c>
      <c r="D177" s="113">
        <v>500</v>
      </c>
      <c r="E177" s="113">
        <v>1.9E-2</v>
      </c>
      <c r="F177" s="113">
        <v>11</v>
      </c>
      <c r="G177"/>
      <c r="H177" s="118" t="s">
        <v>715</v>
      </c>
      <c r="I177" s="113" t="s">
        <v>784</v>
      </c>
      <c r="J177"/>
      <c r="K177"/>
      <c r="L177"/>
      <c r="M177"/>
      <c r="N177"/>
      <c r="O177"/>
      <c r="P177"/>
      <c r="Q177"/>
      <c r="R177"/>
      <c r="S177"/>
      <c r="T177"/>
      <c r="U177"/>
      <c r="V177" t="s">
        <v>734</v>
      </c>
    </row>
    <row r="178" spans="1:22" x14ac:dyDescent="0.3">
      <c r="A178" s="115" t="s">
        <v>84</v>
      </c>
      <c r="B178" s="114" t="s">
        <v>756</v>
      </c>
      <c r="C178" s="118">
        <v>1</v>
      </c>
      <c r="D178" s="113">
        <v>500</v>
      </c>
      <c r="E178" s="113">
        <v>1.9E-2</v>
      </c>
      <c r="F178" s="113">
        <v>11</v>
      </c>
      <c r="G178"/>
      <c r="H178" s="118" t="s">
        <v>715</v>
      </c>
      <c r="I178" s="113" t="s">
        <v>784</v>
      </c>
      <c r="J178"/>
      <c r="K178"/>
      <c r="L178"/>
      <c r="M178"/>
      <c r="N178"/>
      <c r="O178"/>
      <c r="P178"/>
      <c r="Q178"/>
      <c r="R178"/>
      <c r="S178"/>
      <c r="T178"/>
      <c r="U178"/>
      <c r="V178" t="s">
        <v>734</v>
      </c>
    </row>
    <row r="179" spans="1:22" x14ac:dyDescent="0.3">
      <c r="A179" s="115" t="s">
        <v>86</v>
      </c>
      <c r="B179" s="114" t="s">
        <v>757</v>
      </c>
      <c r="C179" s="118">
        <v>1</v>
      </c>
      <c r="D179" s="113">
        <v>500</v>
      </c>
      <c r="E179" s="113">
        <v>1.9E-2</v>
      </c>
      <c r="F179" s="113">
        <v>11</v>
      </c>
      <c r="G179"/>
      <c r="H179" s="118" t="s">
        <v>715</v>
      </c>
      <c r="I179" s="113" t="s">
        <v>784</v>
      </c>
      <c r="J179"/>
      <c r="K179"/>
      <c r="L179"/>
      <c r="M179"/>
      <c r="N179"/>
      <c r="O179"/>
      <c r="P179"/>
      <c r="Q179"/>
      <c r="R179"/>
      <c r="S179"/>
      <c r="T179"/>
      <c r="U179"/>
      <c r="V179" t="s">
        <v>734</v>
      </c>
    </row>
    <row r="180" spans="1:22" x14ac:dyDescent="0.3">
      <c r="A180" s="115" t="s">
        <v>88</v>
      </c>
      <c r="B180" s="114" t="s">
        <v>758</v>
      </c>
      <c r="C180" s="118">
        <v>1</v>
      </c>
      <c r="D180" s="113">
        <v>500</v>
      </c>
      <c r="E180" s="113">
        <v>1.9E-2</v>
      </c>
      <c r="F180" s="113">
        <v>11</v>
      </c>
      <c r="G180"/>
      <c r="H180" s="118" t="s">
        <v>715</v>
      </c>
      <c r="I180" s="113" t="s">
        <v>784</v>
      </c>
      <c r="J180"/>
      <c r="K180"/>
      <c r="L180"/>
      <c r="M180"/>
      <c r="N180"/>
      <c r="O180"/>
      <c r="P180"/>
      <c r="Q180"/>
      <c r="R180"/>
      <c r="S180"/>
      <c r="T180"/>
      <c r="U180"/>
      <c r="V180" t="s">
        <v>734</v>
      </c>
    </row>
    <row r="181" spans="1:22" x14ac:dyDescent="0.3">
      <c r="A181" s="115" t="s">
        <v>90</v>
      </c>
      <c r="B181" s="114" t="s">
        <v>759</v>
      </c>
      <c r="C181" s="118">
        <v>1</v>
      </c>
      <c r="D181" s="113">
        <v>490</v>
      </c>
      <c r="E181" s="113">
        <v>1.9E-2</v>
      </c>
      <c r="F181" s="113">
        <v>11</v>
      </c>
      <c r="G181"/>
      <c r="H181" s="118" t="s">
        <v>715</v>
      </c>
      <c r="I181" s="113" t="s">
        <v>784</v>
      </c>
      <c r="J181"/>
      <c r="K181"/>
      <c r="L181"/>
      <c r="M181"/>
      <c r="N181"/>
      <c r="O181"/>
      <c r="P181"/>
      <c r="Q181"/>
      <c r="R181"/>
      <c r="S181"/>
      <c r="T181"/>
      <c r="U181"/>
      <c r="V181" t="s">
        <v>734</v>
      </c>
    </row>
    <row r="182" spans="1:22" x14ac:dyDescent="0.3">
      <c r="A182" s="115" t="s">
        <v>92</v>
      </c>
      <c r="B182" s="114" t="s">
        <v>760</v>
      </c>
      <c r="C182" s="118">
        <v>1</v>
      </c>
      <c r="D182" s="113">
        <v>490</v>
      </c>
      <c r="E182" s="113">
        <v>1.9E-2</v>
      </c>
      <c r="F182" s="113">
        <v>11</v>
      </c>
      <c r="G182"/>
      <c r="H182" s="118" t="s">
        <v>715</v>
      </c>
      <c r="I182" s="113" t="s">
        <v>784</v>
      </c>
      <c r="J182"/>
      <c r="K182"/>
      <c r="L182"/>
      <c r="M182"/>
      <c r="N182"/>
      <c r="O182"/>
      <c r="P182"/>
      <c r="Q182"/>
      <c r="R182"/>
      <c r="S182"/>
      <c r="T182"/>
      <c r="U182"/>
      <c r="V182" t="s">
        <v>734</v>
      </c>
    </row>
    <row r="183" spans="1:22" x14ac:dyDescent="0.3">
      <c r="A183" s="115" t="s">
        <v>93</v>
      </c>
      <c r="B183" s="114" t="s">
        <v>761</v>
      </c>
      <c r="C183" s="118">
        <v>1</v>
      </c>
      <c r="D183" s="113">
        <v>490</v>
      </c>
      <c r="E183" s="113">
        <v>1.9E-2</v>
      </c>
      <c r="F183" s="113">
        <v>11</v>
      </c>
      <c r="G183"/>
      <c r="H183" s="118" t="s">
        <v>715</v>
      </c>
      <c r="I183" s="113" t="s">
        <v>784</v>
      </c>
      <c r="J183"/>
      <c r="K183"/>
      <c r="L183"/>
      <c r="M183"/>
      <c r="N183"/>
      <c r="O183"/>
      <c r="P183"/>
      <c r="Q183"/>
      <c r="R183"/>
      <c r="S183"/>
      <c r="T183"/>
      <c r="U183"/>
      <c r="V183" t="s">
        <v>734</v>
      </c>
    </row>
    <row r="184" spans="1:22" x14ac:dyDescent="0.3">
      <c r="A184" s="115" t="s">
        <v>94</v>
      </c>
      <c r="B184" s="114" t="s">
        <v>762</v>
      </c>
      <c r="C184" s="118">
        <v>1</v>
      </c>
      <c r="D184" s="113">
        <v>490</v>
      </c>
      <c r="E184" s="113">
        <v>1.9E-2</v>
      </c>
      <c r="F184" s="113">
        <v>11</v>
      </c>
      <c r="G184"/>
      <c r="H184" s="118" t="s">
        <v>715</v>
      </c>
      <c r="I184" s="113" t="s">
        <v>784</v>
      </c>
      <c r="J184"/>
      <c r="K184"/>
      <c r="L184"/>
      <c r="M184"/>
      <c r="N184"/>
      <c r="O184"/>
      <c r="P184"/>
      <c r="Q184"/>
      <c r="R184"/>
      <c r="S184"/>
      <c r="T184"/>
      <c r="U184"/>
      <c r="V184" t="s">
        <v>734</v>
      </c>
    </row>
    <row r="185" spans="1:22" x14ac:dyDescent="0.3">
      <c r="A185" s="115" t="s">
        <v>95</v>
      </c>
      <c r="B185" s="114" t="s">
        <v>763</v>
      </c>
      <c r="C185" s="118">
        <v>1</v>
      </c>
      <c r="D185" s="113">
        <v>490</v>
      </c>
      <c r="E185" s="113">
        <v>1.9E-2</v>
      </c>
      <c r="F185" s="113">
        <v>11</v>
      </c>
      <c r="G185"/>
      <c r="H185" s="118" t="s">
        <v>715</v>
      </c>
      <c r="I185" s="113" t="s">
        <v>784</v>
      </c>
      <c r="J185"/>
      <c r="K185"/>
      <c r="L185"/>
      <c r="M185"/>
      <c r="N185"/>
      <c r="O185"/>
      <c r="P185"/>
      <c r="Q185"/>
      <c r="R185"/>
      <c r="S185"/>
      <c r="T185"/>
      <c r="U185"/>
      <c r="V185" t="s">
        <v>734</v>
      </c>
    </row>
    <row r="186" spans="1:22" x14ac:dyDescent="0.3">
      <c r="A186" s="115" t="s">
        <v>96</v>
      </c>
      <c r="B186" s="114" t="s">
        <v>764</v>
      </c>
      <c r="C186" s="118">
        <v>1</v>
      </c>
      <c r="D186" s="113">
        <v>490</v>
      </c>
      <c r="E186" s="113">
        <v>1.9E-2</v>
      </c>
      <c r="F186" s="113">
        <v>11</v>
      </c>
      <c r="G186"/>
      <c r="H186" s="118" t="s">
        <v>715</v>
      </c>
      <c r="I186" s="113" t="s">
        <v>784</v>
      </c>
      <c r="J186"/>
      <c r="K186"/>
      <c r="L186"/>
      <c r="M186"/>
      <c r="N186"/>
      <c r="O186"/>
      <c r="P186"/>
      <c r="Q186"/>
      <c r="R186"/>
      <c r="S186"/>
      <c r="T186"/>
      <c r="U186"/>
      <c r="V186" t="s">
        <v>734</v>
      </c>
    </row>
    <row r="187" spans="1:22" x14ac:dyDescent="0.3">
      <c r="A187" s="115" t="s">
        <v>97</v>
      </c>
      <c r="B187" s="114" t="s">
        <v>765</v>
      </c>
      <c r="C187" s="118">
        <v>1</v>
      </c>
      <c r="D187" s="113">
        <v>21</v>
      </c>
      <c r="E187" s="113">
        <v>1.9E-2</v>
      </c>
      <c r="F187" s="113">
        <v>8</v>
      </c>
      <c r="G187"/>
      <c r="H187" s="118" t="s">
        <v>715</v>
      </c>
      <c r="I187" s="113" t="s">
        <v>784</v>
      </c>
      <c r="J187"/>
      <c r="K187"/>
      <c r="L187"/>
      <c r="M187"/>
      <c r="N187"/>
      <c r="O187"/>
      <c r="P187"/>
      <c r="Q187"/>
      <c r="R187"/>
      <c r="S187"/>
      <c r="T187"/>
      <c r="U187"/>
      <c r="V187" t="s">
        <v>17</v>
      </c>
    </row>
    <row r="188" spans="1:22" x14ac:dyDescent="0.3">
      <c r="A188" s="115" t="s">
        <v>98</v>
      </c>
      <c r="B188" s="114" t="s">
        <v>766</v>
      </c>
      <c r="C188" s="118">
        <v>1</v>
      </c>
      <c r="D188" s="113">
        <v>21</v>
      </c>
      <c r="E188" s="113">
        <v>1.9E-2</v>
      </c>
      <c r="F188" s="113">
        <v>8</v>
      </c>
      <c r="G188"/>
      <c r="H188" s="118" t="s">
        <v>715</v>
      </c>
      <c r="I188" s="113" t="s">
        <v>784</v>
      </c>
      <c r="J188"/>
      <c r="K188"/>
      <c r="L188"/>
      <c r="M188"/>
      <c r="N188"/>
      <c r="O188"/>
      <c r="P188"/>
      <c r="Q188"/>
      <c r="R188"/>
      <c r="S188"/>
      <c r="T188"/>
      <c r="U188"/>
      <c r="V188" t="s">
        <v>17</v>
      </c>
    </row>
    <row r="189" spans="1:22" x14ac:dyDescent="0.3">
      <c r="A189" s="115" t="s">
        <v>99</v>
      </c>
      <c r="B189" s="114" t="s">
        <v>767</v>
      </c>
      <c r="C189" s="118">
        <v>1</v>
      </c>
      <c r="D189" s="113">
        <v>21</v>
      </c>
      <c r="E189" s="113">
        <v>1.9E-2</v>
      </c>
      <c r="F189" s="113">
        <v>8</v>
      </c>
      <c r="G189"/>
      <c r="H189" s="118" t="s">
        <v>715</v>
      </c>
      <c r="I189" s="113" t="s">
        <v>784</v>
      </c>
      <c r="J189"/>
      <c r="K189"/>
      <c r="L189"/>
      <c r="M189"/>
      <c r="N189"/>
      <c r="O189"/>
      <c r="P189"/>
      <c r="Q189"/>
      <c r="R189"/>
      <c r="S189"/>
      <c r="T189"/>
      <c r="U189"/>
      <c r="V189" t="s">
        <v>17</v>
      </c>
    </row>
    <row r="190" spans="1:22" x14ac:dyDescent="0.3">
      <c r="A190" s="115" t="s">
        <v>100</v>
      </c>
      <c r="B190" s="114" t="s">
        <v>768</v>
      </c>
      <c r="C190" s="118">
        <v>1</v>
      </c>
      <c r="D190" s="113">
        <v>21</v>
      </c>
      <c r="E190" s="113">
        <v>1.9E-2</v>
      </c>
      <c r="F190" s="113">
        <v>8</v>
      </c>
      <c r="G190"/>
      <c r="H190" s="118" t="s">
        <v>715</v>
      </c>
      <c r="I190" s="113" t="s">
        <v>784</v>
      </c>
      <c r="J190"/>
      <c r="K190"/>
      <c r="L190"/>
      <c r="M190"/>
      <c r="N190"/>
      <c r="O190"/>
      <c r="P190"/>
      <c r="Q190"/>
      <c r="R190"/>
      <c r="S190"/>
      <c r="T190"/>
      <c r="U190"/>
      <c r="V190" t="s">
        <v>17</v>
      </c>
    </row>
    <row r="191" spans="1:22" x14ac:dyDescent="0.3">
      <c r="A191" s="115" t="s">
        <v>101</v>
      </c>
      <c r="B191" s="114" t="s">
        <v>769</v>
      </c>
      <c r="C191" s="118">
        <v>1</v>
      </c>
      <c r="D191" s="113">
        <v>21</v>
      </c>
      <c r="E191" s="113">
        <v>1.9E-2</v>
      </c>
      <c r="F191" s="113">
        <v>8</v>
      </c>
      <c r="G191"/>
      <c r="H191" s="118" t="s">
        <v>715</v>
      </c>
      <c r="I191" s="113" t="s">
        <v>784</v>
      </c>
      <c r="J191"/>
      <c r="K191"/>
      <c r="L191"/>
      <c r="M191"/>
      <c r="N191"/>
      <c r="O191"/>
      <c r="P191"/>
      <c r="Q191"/>
      <c r="R191"/>
      <c r="S191"/>
      <c r="T191"/>
      <c r="U191"/>
      <c r="V191" t="s">
        <v>17</v>
      </c>
    </row>
    <row r="192" spans="1:22" x14ac:dyDescent="0.3">
      <c r="A192" s="115" t="s">
        <v>102</v>
      </c>
      <c r="B192" s="114" t="s">
        <v>770</v>
      </c>
      <c r="C192" s="118">
        <v>1</v>
      </c>
      <c r="D192" s="113">
        <v>21</v>
      </c>
      <c r="E192" s="113">
        <v>1.9E-2</v>
      </c>
      <c r="F192" s="113">
        <v>8</v>
      </c>
      <c r="G192"/>
      <c r="H192" s="118" t="s">
        <v>715</v>
      </c>
      <c r="I192" s="113" t="s">
        <v>784</v>
      </c>
      <c r="J192"/>
      <c r="K192"/>
      <c r="L192"/>
      <c r="M192"/>
      <c r="N192"/>
      <c r="O192"/>
      <c r="P192"/>
      <c r="Q192"/>
      <c r="R192"/>
      <c r="S192"/>
      <c r="T192"/>
      <c r="U192"/>
      <c r="V192" t="s">
        <v>17</v>
      </c>
    </row>
    <row r="193" spans="1:22" x14ac:dyDescent="0.3">
      <c r="A193" s="115" t="s">
        <v>103</v>
      </c>
      <c r="B193" s="114" t="s">
        <v>771</v>
      </c>
      <c r="C193" s="118">
        <v>1</v>
      </c>
      <c r="D193" s="113">
        <v>500</v>
      </c>
      <c r="E193" s="113">
        <v>1.9E-2</v>
      </c>
      <c r="F193" s="113">
        <v>7</v>
      </c>
      <c r="G193"/>
      <c r="H193" s="118" t="s">
        <v>715</v>
      </c>
      <c r="I193" s="113" t="s">
        <v>784</v>
      </c>
      <c r="J193"/>
      <c r="K193"/>
      <c r="L193"/>
      <c r="M193"/>
      <c r="N193"/>
      <c r="O193"/>
      <c r="P193"/>
      <c r="Q193"/>
      <c r="R193"/>
      <c r="S193"/>
      <c r="T193"/>
      <c r="U193"/>
      <c r="V193" t="s">
        <v>734</v>
      </c>
    </row>
    <row r="194" spans="1:22" x14ac:dyDescent="0.3">
      <c r="A194" s="115" t="s">
        <v>104</v>
      </c>
      <c r="B194" s="114" t="s">
        <v>772</v>
      </c>
      <c r="C194" s="118">
        <v>1</v>
      </c>
      <c r="D194" s="113">
        <v>500</v>
      </c>
      <c r="E194" s="113">
        <v>1.9E-2</v>
      </c>
      <c r="F194" s="113">
        <v>7</v>
      </c>
      <c r="G194"/>
      <c r="H194" s="118" t="s">
        <v>715</v>
      </c>
      <c r="I194" s="113" t="s">
        <v>784</v>
      </c>
      <c r="J194"/>
      <c r="K194"/>
      <c r="L194"/>
      <c r="M194"/>
      <c r="N194"/>
      <c r="O194"/>
      <c r="P194"/>
      <c r="Q194"/>
      <c r="R194"/>
      <c r="S194"/>
      <c r="T194"/>
      <c r="U194"/>
      <c r="V194" t="s">
        <v>734</v>
      </c>
    </row>
    <row r="195" spans="1:22" x14ac:dyDescent="0.3">
      <c r="A195" s="115" t="s">
        <v>105</v>
      </c>
      <c r="B195" s="114" t="s">
        <v>773</v>
      </c>
      <c r="C195" s="118">
        <v>1</v>
      </c>
      <c r="D195" s="113">
        <v>500</v>
      </c>
      <c r="E195" s="113">
        <v>1.9E-2</v>
      </c>
      <c r="F195" s="113">
        <v>7</v>
      </c>
      <c r="G195"/>
      <c r="H195" s="118" t="s">
        <v>715</v>
      </c>
      <c r="I195" s="113" t="s">
        <v>784</v>
      </c>
      <c r="J195"/>
      <c r="K195"/>
      <c r="L195"/>
      <c r="M195"/>
      <c r="N195"/>
      <c r="O195"/>
      <c r="P195"/>
      <c r="Q195"/>
      <c r="R195"/>
      <c r="S195"/>
      <c r="T195"/>
      <c r="U195"/>
      <c r="V195" t="s">
        <v>734</v>
      </c>
    </row>
    <row r="196" spans="1:22" x14ac:dyDescent="0.3">
      <c r="A196" s="115" t="s">
        <v>106</v>
      </c>
      <c r="B196" s="114" t="s">
        <v>774</v>
      </c>
      <c r="C196" s="118">
        <v>1</v>
      </c>
      <c r="D196" s="113">
        <v>500</v>
      </c>
      <c r="E196" s="113">
        <v>1.9E-2</v>
      </c>
      <c r="F196" s="113">
        <v>7</v>
      </c>
      <c r="G196"/>
      <c r="H196" s="118" t="s">
        <v>715</v>
      </c>
      <c r="I196" s="113" t="s">
        <v>784</v>
      </c>
      <c r="J196"/>
      <c r="K196"/>
      <c r="L196"/>
      <c r="M196"/>
      <c r="N196"/>
      <c r="O196"/>
      <c r="P196"/>
      <c r="Q196"/>
      <c r="R196"/>
      <c r="S196"/>
      <c r="T196"/>
      <c r="U196"/>
      <c r="V196" t="s">
        <v>734</v>
      </c>
    </row>
    <row r="197" spans="1:22" x14ac:dyDescent="0.3">
      <c r="A197" s="115" t="s">
        <v>107</v>
      </c>
      <c r="B197" s="114" t="s">
        <v>775</v>
      </c>
      <c r="C197" s="118">
        <v>1</v>
      </c>
      <c r="D197" s="113">
        <v>500</v>
      </c>
      <c r="E197" s="113">
        <v>1.9E-2</v>
      </c>
      <c r="F197" s="113">
        <v>7</v>
      </c>
      <c r="G197"/>
      <c r="H197" s="118" t="s">
        <v>715</v>
      </c>
      <c r="I197" s="113" t="s">
        <v>784</v>
      </c>
      <c r="J197"/>
      <c r="K197"/>
      <c r="L197"/>
      <c r="M197"/>
      <c r="N197"/>
      <c r="O197"/>
      <c r="P197"/>
      <c r="Q197"/>
      <c r="R197"/>
      <c r="S197"/>
      <c r="T197"/>
      <c r="U197"/>
      <c r="V197" t="s">
        <v>734</v>
      </c>
    </row>
    <row r="198" spans="1:22" x14ac:dyDescent="0.3">
      <c r="A198" s="115" t="s">
        <v>776</v>
      </c>
      <c r="B198" s="114" t="s">
        <v>777</v>
      </c>
      <c r="C198" s="118">
        <v>1</v>
      </c>
      <c r="D198" s="113">
        <v>500</v>
      </c>
      <c r="E198" s="113">
        <v>1.9E-2</v>
      </c>
      <c r="F198" s="113">
        <v>7</v>
      </c>
      <c r="G198"/>
      <c r="H198" s="118" t="s">
        <v>715</v>
      </c>
      <c r="I198" s="113" t="s">
        <v>784</v>
      </c>
      <c r="J198"/>
      <c r="K198"/>
      <c r="L198"/>
      <c r="M198"/>
      <c r="N198"/>
      <c r="O198"/>
      <c r="P198"/>
      <c r="Q198"/>
      <c r="R198"/>
      <c r="S198"/>
      <c r="T198"/>
      <c r="U198"/>
      <c r="V198" t="s">
        <v>734</v>
      </c>
    </row>
    <row r="199" spans="1:22" x14ac:dyDescent="0.3">
      <c r="A199" s="115" t="s">
        <v>778</v>
      </c>
      <c r="B199" s="114" t="s">
        <v>779</v>
      </c>
      <c r="C199" s="118">
        <v>12</v>
      </c>
      <c r="D199" s="113">
        <v>66</v>
      </c>
      <c r="E199" s="113">
        <v>1.9E-2</v>
      </c>
      <c r="F199" s="113">
        <v>0</v>
      </c>
      <c r="G199"/>
      <c r="H199" s="118" t="s">
        <v>715</v>
      </c>
      <c r="I199" s="113" t="s">
        <v>784</v>
      </c>
      <c r="J199"/>
      <c r="K199"/>
      <c r="L199"/>
      <c r="M199"/>
      <c r="N199"/>
      <c r="O199"/>
      <c r="P199"/>
      <c r="Q199"/>
      <c r="R199"/>
      <c r="S199"/>
      <c r="T199"/>
      <c r="U199"/>
      <c r="V199" t="s">
        <v>17</v>
      </c>
    </row>
    <row r="200" spans="1:22" x14ac:dyDescent="0.3">
      <c r="A200" s="115" t="s">
        <v>780</v>
      </c>
      <c r="B200" s="114" t="s">
        <v>779</v>
      </c>
      <c r="C200" s="118">
        <v>8</v>
      </c>
      <c r="D200" s="113">
        <v>66</v>
      </c>
      <c r="E200" s="113">
        <v>1.9E-2</v>
      </c>
      <c r="F200" s="113">
        <v>0</v>
      </c>
      <c r="G200"/>
      <c r="H200" s="118" t="s">
        <v>715</v>
      </c>
      <c r="I200" s="113" t="s">
        <v>784</v>
      </c>
      <c r="J200"/>
      <c r="K200"/>
      <c r="L200"/>
      <c r="M200"/>
      <c r="N200"/>
      <c r="O200"/>
      <c r="P200"/>
      <c r="Q200"/>
      <c r="R200"/>
      <c r="S200"/>
      <c r="T200"/>
      <c r="U200"/>
      <c r="V200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7A69-55C4-48EA-8DD9-95631E4A8C31}">
  <sheetPr codeName="Hoja2">
    <tabColor rgb="FFC7664C"/>
  </sheetPr>
  <dimension ref="A1:AC331"/>
  <sheetViews>
    <sheetView zoomScaleNormal="100" workbookViewId="0">
      <selection activeCell="A30" sqref="A30:C30"/>
    </sheetView>
  </sheetViews>
  <sheetFormatPr baseColWidth="10" defaultColWidth="11.44140625" defaultRowHeight="14.4" x14ac:dyDescent="0.3"/>
  <cols>
    <col min="1" max="1" width="22" customWidth="1"/>
    <col min="2" max="2" width="17" customWidth="1"/>
    <col min="3" max="3" width="13.44140625" customWidth="1"/>
    <col min="4" max="4" width="14.5546875" customWidth="1"/>
    <col min="5" max="5" width="16.88671875" customWidth="1"/>
    <col min="6" max="6" width="18.6640625" customWidth="1"/>
    <col min="7" max="7" width="17.44140625" customWidth="1"/>
    <col min="10" max="10" width="36.44140625" customWidth="1"/>
    <col min="11" max="11" width="10" customWidth="1"/>
  </cols>
  <sheetData>
    <row r="1" spans="1:29" s="16" customFormat="1" ht="30" customHeight="1" x14ac:dyDescent="0.3">
      <c r="A1" s="133" t="s">
        <v>108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29" s="16" customFormat="1" x14ac:dyDescent="0.3">
      <c r="A2" s="18" t="s">
        <v>109</v>
      </c>
      <c r="B2" s="135">
        <f ca="1">TODAY()</f>
        <v>45938</v>
      </c>
      <c r="C2" s="135"/>
      <c r="D2" s="17"/>
      <c r="E2" s="137" t="s">
        <v>110</v>
      </c>
      <c r="F2" s="137"/>
      <c r="G2" s="137"/>
      <c r="H2" s="17"/>
      <c r="I2" s="17"/>
      <c r="J2" s="17"/>
      <c r="K2" s="17"/>
    </row>
    <row r="3" spans="1:29" s="16" customFormat="1" x14ac:dyDescent="0.3">
      <c r="A3" s="18" t="s">
        <v>111</v>
      </c>
      <c r="B3" s="136"/>
      <c r="C3" s="136"/>
      <c r="D3" s="17"/>
      <c r="E3" s="17"/>
      <c r="F3" s="17"/>
      <c r="G3" s="17"/>
      <c r="H3" s="17"/>
      <c r="I3" s="17"/>
      <c r="J3" s="17"/>
      <c r="K3" s="17"/>
    </row>
    <row r="4" spans="1:29" s="1" customFormat="1" x14ac:dyDescent="0.3">
      <c r="A4" s="126" t="s">
        <v>112</v>
      </c>
      <c r="B4" s="126"/>
      <c r="C4" s="126"/>
      <c r="D4" s="126"/>
      <c r="E4" s="126"/>
      <c r="F4" s="126"/>
      <c r="G4" s="126"/>
      <c r="H4" s="91"/>
      <c r="I4" s="91"/>
      <c r="J4" s="91"/>
      <c r="K4" s="91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</row>
    <row r="5" spans="1:29" x14ac:dyDescent="0.3">
      <c r="A5" s="88" t="s">
        <v>113</v>
      </c>
      <c r="B5" s="108" t="s">
        <v>114</v>
      </c>
      <c r="C5" s="108" t="s">
        <v>115</v>
      </c>
      <c r="D5" s="108" t="s">
        <v>116</v>
      </c>
      <c r="E5" s="89" t="s">
        <v>117</v>
      </c>
      <c r="F5" s="108" t="s">
        <v>118</v>
      </c>
      <c r="G5" s="108" t="s">
        <v>119</v>
      </c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</row>
    <row r="6" spans="1:29" x14ac:dyDescent="0.3">
      <c r="A6" s="84" t="s">
        <v>16</v>
      </c>
      <c r="B6" s="3">
        <v>1.83</v>
      </c>
      <c r="C6" s="109">
        <v>15</v>
      </c>
      <c r="D6" s="109">
        <v>2</v>
      </c>
      <c r="E6" s="86">
        <f>IF(D6=0,"",IF(OR(C6=6,C6=15,C6=18),(D6*0.1)+D6,(D6*0.2)+D6))</f>
        <v>2.2000000000000002</v>
      </c>
      <c r="F6" s="28">
        <f>SUMIFS(Tableros!$F:$F, Tableros!$A:$A, $A6, Tableros!$D:$D, $B6, Tableros!$E:$E, $C6)</f>
        <v>112773</v>
      </c>
      <c r="G6" s="28">
        <f t="shared" ref="G6:G15" si="0">IFERROR(E6*F6,0)</f>
        <v>248100.6</v>
      </c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</row>
    <row r="7" spans="1:29" x14ac:dyDescent="0.3">
      <c r="A7" s="85"/>
      <c r="B7" s="87"/>
      <c r="C7" s="109"/>
      <c r="D7" s="109"/>
      <c r="E7" s="86" t="str">
        <f t="shared" ref="E7:E15" si="1">IF(D7=0,"",IF(OR(C7=6,C7=15,C7=18),(D7*0.1)+D7,(D7*0.2)+D7))</f>
        <v/>
      </c>
      <c r="F7" s="28">
        <f>SUMIFS(Tableros!$F:$F, Tableros!$A:$A, $A7, Tableros!$D:$D, $B7, Tableros!$E:$E, $C7)</f>
        <v>0</v>
      </c>
      <c r="G7" s="28">
        <f t="shared" si="0"/>
        <v>0</v>
      </c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</row>
    <row r="8" spans="1:29" x14ac:dyDescent="0.3">
      <c r="A8" s="84"/>
      <c r="B8" s="3"/>
      <c r="C8" s="109"/>
      <c r="D8" s="109"/>
      <c r="E8" s="86" t="str">
        <f t="shared" si="1"/>
        <v/>
      </c>
      <c r="F8" s="28">
        <f>SUMIFS(Tableros!$F:$F, Tableros!$A:$A, $A8, Tableros!$D:$D, $B8, Tableros!$E:$E, $C8)</f>
        <v>0</v>
      </c>
      <c r="G8" s="28">
        <f t="shared" si="0"/>
        <v>0</v>
      </c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</row>
    <row r="9" spans="1:29" x14ac:dyDescent="0.3">
      <c r="A9" s="84"/>
      <c r="B9" s="3"/>
      <c r="C9" s="109"/>
      <c r="D9" s="109"/>
      <c r="E9" s="86" t="str">
        <f t="shared" si="1"/>
        <v/>
      </c>
      <c r="F9" s="28">
        <f>SUMIFS(Tableros!$F:$F, Tableros!$A:$A, $A9, Tableros!$D:$D, $B9, Tableros!$E:$E, $C9)</f>
        <v>0</v>
      </c>
      <c r="G9" s="28">
        <f t="shared" si="0"/>
        <v>0</v>
      </c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</row>
    <row r="10" spans="1:29" x14ac:dyDescent="0.3">
      <c r="A10" s="84"/>
      <c r="B10" s="3"/>
      <c r="C10" s="109"/>
      <c r="D10" s="109"/>
      <c r="E10" s="86" t="str">
        <f t="shared" si="1"/>
        <v/>
      </c>
      <c r="F10" s="28">
        <f>SUMIFS(Tableros!$F:$F, Tableros!$A:$A, $A10, Tableros!$D:$D, $B10, Tableros!$E:$E, $C10)</f>
        <v>0</v>
      </c>
      <c r="G10" s="28">
        <f t="shared" si="0"/>
        <v>0</v>
      </c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</row>
    <row r="11" spans="1:29" x14ac:dyDescent="0.3">
      <c r="A11" s="84"/>
      <c r="B11" s="3"/>
      <c r="C11" s="109"/>
      <c r="D11" s="109"/>
      <c r="E11" s="86" t="str">
        <f t="shared" si="1"/>
        <v/>
      </c>
      <c r="F11" s="28">
        <f>SUMIFS(Tableros!$F:$F, Tableros!$A:$A, $A11, Tableros!$D:$D, $B11, Tableros!$E:$E, $C11)</f>
        <v>0</v>
      </c>
      <c r="G11" s="28">
        <f t="shared" si="0"/>
        <v>0</v>
      </c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</row>
    <row r="12" spans="1:29" x14ac:dyDescent="0.3">
      <c r="A12" s="84"/>
      <c r="B12" s="3"/>
      <c r="C12" s="109"/>
      <c r="D12" s="109"/>
      <c r="E12" s="86" t="str">
        <f t="shared" si="1"/>
        <v/>
      </c>
      <c r="F12" s="28">
        <f>SUMIFS(Tableros!$F:$F, Tableros!$A:$A, $A12, Tableros!$D:$D, $B12, Tableros!$E:$E, $C12)</f>
        <v>0</v>
      </c>
      <c r="G12" s="28">
        <f t="shared" si="0"/>
        <v>0</v>
      </c>
      <c r="H12" s="93"/>
      <c r="I12" s="93"/>
      <c r="J12" s="126" t="s">
        <v>120</v>
      </c>
      <c r="K12" s="126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</row>
    <row r="13" spans="1:29" x14ac:dyDescent="0.3">
      <c r="A13" s="84"/>
      <c r="B13" s="3"/>
      <c r="C13" s="109"/>
      <c r="D13" s="109"/>
      <c r="E13" s="86" t="str">
        <f t="shared" si="1"/>
        <v/>
      </c>
      <c r="F13" s="28">
        <f>SUMIFS(Tableros!$F:$F, Tableros!$A:$A, $A13, Tableros!$D:$D, $B13, Tableros!$E:$E, $C13)</f>
        <v>0</v>
      </c>
      <c r="G13" s="28">
        <f t="shared" si="0"/>
        <v>0</v>
      </c>
      <c r="H13" s="93"/>
      <c r="I13" s="93"/>
      <c r="J13" s="108" t="s">
        <v>121</v>
      </c>
      <c r="K13" s="108" t="s">
        <v>2</v>
      </c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</row>
    <row r="14" spans="1:29" x14ac:dyDescent="0.3">
      <c r="A14" s="84"/>
      <c r="B14" s="3"/>
      <c r="C14" s="109"/>
      <c r="D14" s="109"/>
      <c r="E14" s="86" t="str">
        <f t="shared" si="1"/>
        <v/>
      </c>
      <c r="F14" s="28">
        <f>SUMIFS(Tableros!$F:$F, Tableros!$A:$A, $A14, Tableros!$D:$D, $B14, Tableros!$E:$E, $C14)</f>
        <v>0</v>
      </c>
      <c r="G14" s="28">
        <f t="shared" si="0"/>
        <v>0</v>
      </c>
      <c r="H14" s="93"/>
      <c r="I14" s="93"/>
      <c r="J14" s="3" t="s">
        <v>570</v>
      </c>
      <c r="K14" s="109">
        <v>5</v>
      </c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</row>
    <row r="15" spans="1:29" x14ac:dyDescent="0.3">
      <c r="A15" s="84"/>
      <c r="B15" s="3"/>
      <c r="C15" s="109"/>
      <c r="D15" s="109"/>
      <c r="E15" s="86" t="str">
        <f t="shared" si="1"/>
        <v/>
      </c>
      <c r="F15" s="28">
        <f>SUMIFS(Tableros!$F:$F, Tableros!$A:$A, $A15, Tableros!$D:$D, $B15, Tableros!$E:$E, $C15)</f>
        <v>0</v>
      </c>
      <c r="G15" s="28">
        <f t="shared" si="0"/>
        <v>0</v>
      </c>
      <c r="H15" s="93"/>
      <c r="I15" s="93"/>
      <c r="J15" s="3" t="s">
        <v>123</v>
      </c>
      <c r="K15" s="109">
        <v>3</v>
      </c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</row>
    <row r="16" spans="1:29" x14ac:dyDescent="0.3">
      <c r="A16" s="127"/>
      <c r="B16" s="128"/>
      <c r="C16" s="128"/>
      <c r="D16" s="128"/>
      <c r="E16" s="129"/>
      <c r="F16" s="90" t="s">
        <v>124</v>
      </c>
      <c r="G16" s="28">
        <f>SUM(G6:G15)</f>
        <v>248100.6</v>
      </c>
      <c r="H16" s="93"/>
      <c r="I16" s="93"/>
      <c r="J16" s="3" t="s">
        <v>125</v>
      </c>
      <c r="K16" s="109">
        <v>2</v>
      </c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</row>
    <row r="17" spans="1:29" x14ac:dyDescent="0.3">
      <c r="A17" s="123" t="s">
        <v>126</v>
      </c>
      <c r="B17" s="124"/>
      <c r="C17" s="125"/>
      <c r="D17" s="108" t="s">
        <v>127</v>
      </c>
      <c r="E17" s="108" t="s">
        <v>128</v>
      </c>
      <c r="F17" s="108" t="s">
        <v>118</v>
      </c>
      <c r="G17" s="108" t="s">
        <v>119</v>
      </c>
      <c r="H17" s="93"/>
      <c r="I17" s="93"/>
      <c r="J17" s="3" t="s">
        <v>122</v>
      </c>
      <c r="K17" s="109">
        <v>2</v>
      </c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</row>
    <row r="18" spans="1:29" x14ac:dyDescent="0.3">
      <c r="A18" s="130" t="s">
        <v>49</v>
      </c>
      <c r="B18" s="131"/>
      <c r="C18" s="132"/>
      <c r="D18" s="109">
        <v>19</v>
      </c>
      <c r="E18" s="109">
        <v>52724</v>
      </c>
      <c r="F18" s="28">
        <f>SUMIFS(Tapacantos!D:D,Tapacantos!A:A,cotizador!A18,Tapacantos!C:C,D18)</f>
        <v>700</v>
      </c>
      <c r="G18" s="28">
        <f>E18*F18</f>
        <v>36906800</v>
      </c>
      <c r="H18" s="93"/>
      <c r="I18" s="93"/>
      <c r="J18" s="3" t="s">
        <v>129</v>
      </c>
      <c r="K18" s="109">
        <v>3</v>
      </c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</row>
    <row r="19" spans="1:29" x14ac:dyDescent="0.3">
      <c r="A19" s="130"/>
      <c r="B19" s="131"/>
      <c r="C19" s="132"/>
      <c r="D19" s="109"/>
      <c r="E19" s="109"/>
      <c r="F19" s="28">
        <f>SUMIFS(Tapacantos!D:D,Tapacantos!A:A,cotizador!A19,Tapacantos!C:C,D19)</f>
        <v>0</v>
      </c>
      <c r="G19" s="28">
        <f t="shared" ref="G19:G27" si="2">E19*F19</f>
        <v>0</v>
      </c>
      <c r="H19" s="93"/>
      <c r="I19" s="93"/>
      <c r="J19" s="3" t="s">
        <v>130</v>
      </c>
      <c r="K19" s="109">
        <v>2</v>
      </c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</row>
    <row r="20" spans="1:29" x14ac:dyDescent="0.3">
      <c r="A20" s="130"/>
      <c r="B20" s="131"/>
      <c r="C20" s="132"/>
      <c r="D20" s="109"/>
      <c r="E20" s="109"/>
      <c r="F20" s="28">
        <f>SUMIFS(Tapacantos!D:D,Tapacantos!A:A,cotizador!A20,Tapacantos!C:C,D20)</f>
        <v>0</v>
      </c>
      <c r="G20" s="28">
        <f t="shared" si="2"/>
        <v>0</v>
      </c>
      <c r="H20" s="93"/>
      <c r="I20" s="93"/>
      <c r="J20" s="3" t="s">
        <v>587</v>
      </c>
      <c r="K20" s="109">
        <v>10</v>
      </c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</row>
    <row r="21" spans="1:29" x14ac:dyDescent="0.3">
      <c r="A21" s="130"/>
      <c r="B21" s="131"/>
      <c r="C21" s="132"/>
      <c r="D21" s="109"/>
      <c r="E21" s="109"/>
      <c r="F21" s="28">
        <f>SUMIFS(Tapacantos!D:D,Tapacantos!A:A,cotizador!A21,Tapacantos!C:C,D21)</f>
        <v>0</v>
      </c>
      <c r="G21" s="28">
        <f t="shared" si="2"/>
        <v>0</v>
      </c>
      <c r="H21" s="93"/>
      <c r="I21" s="93"/>
      <c r="J21" s="3"/>
      <c r="K21" s="109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</row>
    <row r="22" spans="1:29" x14ac:dyDescent="0.3">
      <c r="A22" s="130"/>
      <c r="B22" s="131"/>
      <c r="C22" s="132"/>
      <c r="D22" s="109"/>
      <c r="E22" s="109"/>
      <c r="F22" s="28">
        <f>SUMIFS(Tapacantos!D:D,Tapacantos!A:A,cotizador!A22,Tapacantos!C:C,D22)</f>
        <v>0</v>
      </c>
      <c r="G22" s="28">
        <f t="shared" si="2"/>
        <v>0</v>
      </c>
      <c r="H22" s="93"/>
      <c r="I22" s="93"/>
      <c r="J22" s="3"/>
      <c r="K22" s="109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</row>
    <row r="23" spans="1:29" x14ac:dyDescent="0.3">
      <c r="A23" s="130"/>
      <c r="B23" s="131"/>
      <c r="C23" s="132"/>
      <c r="D23" s="109"/>
      <c r="E23" s="109"/>
      <c r="F23" s="28">
        <f>SUMIFS(Tapacantos!D:D,Tapacantos!A:A,cotizador!A23,Tapacantos!C:C,D23)</f>
        <v>0</v>
      </c>
      <c r="G23" s="28">
        <f t="shared" si="2"/>
        <v>0</v>
      </c>
      <c r="H23" s="93"/>
      <c r="I23" s="93"/>
      <c r="J23" s="3"/>
      <c r="K23" s="109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</row>
    <row r="24" spans="1:29" x14ac:dyDescent="0.3">
      <c r="A24" s="130"/>
      <c r="B24" s="131"/>
      <c r="C24" s="132"/>
      <c r="D24" s="109"/>
      <c r="E24" s="109"/>
      <c r="F24" s="28">
        <f>SUMIFS(Tapacantos!D:D,Tapacantos!A:A,cotizador!A24,Tapacantos!C:C,D24)</f>
        <v>0</v>
      </c>
      <c r="G24" s="28">
        <f t="shared" si="2"/>
        <v>0</v>
      </c>
      <c r="H24" s="93"/>
      <c r="I24" s="93"/>
      <c r="J24" s="3"/>
      <c r="K24" s="109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</row>
    <row r="25" spans="1:29" x14ac:dyDescent="0.3">
      <c r="A25" s="130"/>
      <c r="B25" s="131"/>
      <c r="C25" s="132"/>
      <c r="D25" s="109"/>
      <c r="E25" s="109"/>
      <c r="F25" s="28">
        <f>SUMIFS(Tapacantos!D:D,Tapacantos!A:A,cotizador!A25,Tapacantos!C:C,D25)</f>
        <v>0</v>
      </c>
      <c r="G25" s="28">
        <f t="shared" si="2"/>
        <v>0</v>
      </c>
      <c r="H25" s="93"/>
      <c r="I25" s="93"/>
      <c r="J25" s="3"/>
      <c r="K25" s="109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</row>
    <row r="26" spans="1:29" x14ac:dyDescent="0.3">
      <c r="A26" s="130"/>
      <c r="B26" s="131"/>
      <c r="C26" s="132"/>
      <c r="D26" s="109"/>
      <c r="E26" s="109"/>
      <c r="F26" s="28">
        <f>SUMIFS(Tapacantos!D:D,Tapacantos!A:A,cotizador!A26,Tapacantos!C:C,D26)</f>
        <v>0</v>
      </c>
      <c r="G26" s="28">
        <f t="shared" si="2"/>
        <v>0</v>
      </c>
      <c r="H26" s="93"/>
      <c r="I26" s="93"/>
      <c r="J26" s="3"/>
      <c r="K26" s="109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</row>
    <row r="27" spans="1:29" x14ac:dyDescent="0.3">
      <c r="A27" s="130"/>
      <c r="B27" s="131"/>
      <c r="C27" s="132"/>
      <c r="D27" s="109"/>
      <c r="E27" s="109"/>
      <c r="F27" s="28">
        <f>SUMIFS(Tapacantos!D:D,Tapacantos!A:A,cotizador!A27,Tapacantos!C:C,D27)</f>
        <v>0</v>
      </c>
      <c r="G27" s="28">
        <f t="shared" si="2"/>
        <v>0</v>
      </c>
      <c r="H27" s="93"/>
      <c r="I27" s="93"/>
      <c r="J27" s="3"/>
      <c r="K27" s="109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</row>
    <row r="28" spans="1:29" x14ac:dyDescent="0.3">
      <c r="A28" s="127"/>
      <c r="B28" s="128"/>
      <c r="C28" s="128"/>
      <c r="D28" s="128"/>
      <c r="E28" s="129"/>
      <c r="F28" s="90" t="s">
        <v>124</v>
      </c>
      <c r="G28" s="29">
        <f>SUM(G18:G27)</f>
        <v>36906800</v>
      </c>
      <c r="H28" s="93"/>
      <c r="I28" s="93"/>
      <c r="J28" s="3"/>
      <c r="K28" s="109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</row>
    <row r="29" spans="1:29" x14ac:dyDescent="0.3">
      <c r="A29" s="123" t="s">
        <v>131</v>
      </c>
      <c r="B29" s="124"/>
      <c r="C29" s="125"/>
      <c r="D29" s="108" t="s">
        <v>132</v>
      </c>
      <c r="E29" s="108" t="s">
        <v>2</v>
      </c>
      <c r="F29" s="108" t="s">
        <v>118</v>
      </c>
      <c r="G29" s="108" t="s">
        <v>119</v>
      </c>
      <c r="H29" s="93"/>
      <c r="I29" s="93"/>
      <c r="J29" s="3"/>
      <c r="K29" s="109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</row>
    <row r="30" spans="1:29" x14ac:dyDescent="0.3">
      <c r="A30" s="121" t="s">
        <v>311</v>
      </c>
      <c r="B30" s="121"/>
      <c r="C30" s="121"/>
      <c r="D30" s="3" t="str">
        <f>IFERROR(INDEX(Herrajes!B:B, MATCH(A30, Herrajes!A:A, 0)),"")</f>
        <v>Madecentro - Bonuit</v>
      </c>
      <c r="E30" s="3">
        <v>1</v>
      </c>
      <c r="F30" s="26">
        <f>SUMIFS(Herrajes!C:C,Herrajes!A:A,A30)</f>
        <v>48524</v>
      </c>
      <c r="G30" s="26">
        <f>F30*E30</f>
        <v>48524</v>
      </c>
      <c r="H30" s="93"/>
      <c r="I30" s="93"/>
      <c r="J30" s="3"/>
      <c r="K30" s="109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</row>
    <row r="31" spans="1:29" x14ac:dyDescent="0.3">
      <c r="A31" s="121" t="s">
        <v>133</v>
      </c>
      <c r="B31" s="121"/>
      <c r="C31" s="121"/>
      <c r="D31" s="3" t="str">
        <f>IFERROR(INDEX(Herrajes!B:B, MATCH(A31, Herrajes!A:A, 0)),"")</f>
        <v>GM</v>
      </c>
      <c r="E31" s="3">
        <v>2</v>
      </c>
      <c r="F31" s="26">
        <f>SUMIFS(Herrajes!C:C,Herrajes!A:A,A31)</f>
        <v>530</v>
      </c>
      <c r="G31" s="26">
        <f t="shared" ref="G31:G39" si="3">F31*E31</f>
        <v>1060</v>
      </c>
      <c r="H31" s="93"/>
      <c r="I31" s="93"/>
      <c r="J31" s="3"/>
      <c r="K31" s="109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</row>
    <row r="32" spans="1:29" x14ac:dyDescent="0.3">
      <c r="A32" s="121" t="s">
        <v>229</v>
      </c>
      <c r="B32" s="121"/>
      <c r="C32" s="121"/>
      <c r="D32" s="3" t="str">
        <f>IFERROR(INDEX(Herrajes!B:B, MATCH(A32, Herrajes!A:A, 0)),"")</f>
        <v>GM</v>
      </c>
      <c r="E32" s="3">
        <v>3</v>
      </c>
      <c r="F32" s="26">
        <f>SUMIFS(Herrajes!C:C,Herrajes!A:A,A32)</f>
        <v>206608</v>
      </c>
      <c r="G32" s="26">
        <f t="shared" si="3"/>
        <v>619824</v>
      </c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</row>
    <row r="33" spans="1:29" ht="16.5" customHeight="1" x14ac:dyDescent="0.3">
      <c r="A33" s="121" t="s">
        <v>228</v>
      </c>
      <c r="B33" s="121"/>
      <c r="C33" s="121"/>
      <c r="D33" s="3" t="str">
        <f>IFERROR(INDEX(Herrajes!B:B, MATCH(A33, Herrajes!A:A, 0)),"")</f>
        <v>GM</v>
      </c>
      <c r="E33" s="3"/>
      <c r="F33" s="26">
        <f>SUMIFS(Herrajes!C:C,Herrajes!A:A,A33)</f>
        <v>195406</v>
      </c>
      <c r="G33" s="26">
        <f t="shared" si="3"/>
        <v>0</v>
      </c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</row>
    <row r="34" spans="1:29" ht="15" customHeight="1" x14ac:dyDescent="0.3">
      <c r="A34" s="121" t="s">
        <v>230</v>
      </c>
      <c r="B34" s="121"/>
      <c r="C34" s="121"/>
      <c r="D34" s="3" t="str">
        <f>IFERROR(INDEX(Herrajes!B:B, MATCH(A34, Herrajes!A:A, 0)),"")</f>
        <v>GM</v>
      </c>
      <c r="E34" s="3"/>
      <c r="F34" s="26">
        <f>SUMIFS(Herrajes!C:C,Herrajes!A:A,A34)</f>
        <v>2188</v>
      </c>
      <c r="G34" s="26">
        <f t="shared" si="3"/>
        <v>0</v>
      </c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</row>
    <row r="35" spans="1:29" x14ac:dyDescent="0.3">
      <c r="A35" s="121" t="s">
        <v>231</v>
      </c>
      <c r="B35" s="121"/>
      <c r="C35" s="121"/>
      <c r="D35" s="3" t="str">
        <f>IFERROR(INDEX(Herrajes!B:B, MATCH(A35, Herrajes!A:A, 0)),"")</f>
        <v>GM</v>
      </c>
      <c r="E35" s="3"/>
      <c r="F35" s="26">
        <f>SUMIFS(Herrajes!C:C,Herrajes!A:A,A35)</f>
        <v>1038</v>
      </c>
      <c r="G35" s="26">
        <f t="shared" si="3"/>
        <v>0</v>
      </c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</row>
    <row r="36" spans="1:29" x14ac:dyDescent="0.3">
      <c r="A36" s="121" t="s">
        <v>230</v>
      </c>
      <c r="B36" s="121"/>
      <c r="C36" s="121"/>
      <c r="D36" s="3" t="str">
        <f>IFERROR(INDEX(Herrajes!B:B, MATCH(A36, Herrajes!A:A, 0)),"")</f>
        <v>GM</v>
      </c>
      <c r="E36" s="3"/>
      <c r="F36" s="26">
        <f>SUMIFS(Herrajes!C:C,Herrajes!A:A,A36)</f>
        <v>2188</v>
      </c>
      <c r="G36" s="26">
        <f t="shared" si="3"/>
        <v>0</v>
      </c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</row>
    <row r="37" spans="1:29" x14ac:dyDescent="0.3">
      <c r="A37" s="121"/>
      <c r="B37" s="121"/>
      <c r="C37" s="121"/>
      <c r="D37" s="3" t="str">
        <f>IFERROR(INDEX(Herrajes!B:B, MATCH(A37, Herrajes!A:A, 0)),"")</f>
        <v/>
      </c>
      <c r="E37" s="3"/>
      <c r="F37" s="26">
        <f>SUMIFS(Herrajes!C:C,Herrajes!A:A,A37)</f>
        <v>0</v>
      </c>
      <c r="G37" s="26">
        <f t="shared" si="3"/>
        <v>0</v>
      </c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</row>
    <row r="38" spans="1:29" x14ac:dyDescent="0.3">
      <c r="A38" s="121"/>
      <c r="B38" s="121"/>
      <c r="C38" s="121"/>
      <c r="D38" s="3" t="str">
        <f>IFERROR(INDEX(Herrajes!B:B, MATCH(A38, Herrajes!A:A, 0)),"")</f>
        <v/>
      </c>
      <c r="E38" s="3"/>
      <c r="F38" s="26">
        <f>SUMIFS(Herrajes!C:C,Herrajes!A:A,A38)</f>
        <v>0</v>
      </c>
      <c r="G38" s="26">
        <f t="shared" si="3"/>
        <v>0</v>
      </c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</row>
    <row r="39" spans="1:29" x14ac:dyDescent="0.3">
      <c r="A39" s="121"/>
      <c r="B39" s="121"/>
      <c r="C39" s="121"/>
      <c r="D39" s="3" t="str">
        <f>IFERROR(INDEX(Herrajes!B:B, MATCH(A39, Herrajes!A:A, 0)),"")</f>
        <v/>
      </c>
      <c r="E39" s="3"/>
      <c r="F39" s="26">
        <f>SUMIFS(Herrajes!C:C,Herrajes!A:A,A39)</f>
        <v>0</v>
      </c>
      <c r="G39" s="26">
        <f t="shared" si="3"/>
        <v>0</v>
      </c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</row>
    <row r="40" spans="1:29" x14ac:dyDescent="0.3">
      <c r="A40" s="122"/>
      <c r="B40" s="122"/>
      <c r="C40" s="122"/>
      <c r="D40" s="122"/>
      <c r="E40" s="122"/>
      <c r="F40" s="90" t="s">
        <v>124</v>
      </c>
      <c r="G40" s="31">
        <f>SUM(G30:G39)</f>
        <v>669408</v>
      </c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</row>
    <row r="41" spans="1:29" x14ac:dyDescent="0.3">
      <c r="A41" s="30" t="s">
        <v>135</v>
      </c>
      <c r="B41" s="31">
        <f>G16+G28+G40</f>
        <v>37824308.600000001</v>
      </c>
      <c r="C41" s="93"/>
      <c r="D41" s="93"/>
      <c r="E41" s="93"/>
      <c r="F41" s="94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</row>
    <row r="42" spans="1:29" x14ac:dyDescent="0.3">
      <c r="A42" s="30" t="s">
        <v>136</v>
      </c>
      <c r="B42" s="82">
        <v>0.12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</row>
    <row r="43" spans="1:29" x14ac:dyDescent="0.3">
      <c r="A43" s="30" t="s">
        <v>137</v>
      </c>
      <c r="B43" s="31">
        <f>(B41*B42)+B41</f>
        <v>42363225.631999999</v>
      </c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</row>
    <row r="44" spans="1:29" x14ac:dyDescent="0.3">
      <c r="A44" s="120" t="s">
        <v>138</v>
      </c>
      <c r="B44" s="120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</row>
    <row r="45" spans="1:29" x14ac:dyDescent="0.3">
      <c r="A45" s="30" t="s">
        <v>139</v>
      </c>
      <c r="B45" s="31">
        <f>Corte!D28</f>
        <v>9879.255000000001</v>
      </c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</row>
    <row r="46" spans="1:29" x14ac:dyDescent="0.3">
      <c r="A46" s="30" t="s">
        <v>140</v>
      </c>
      <c r="B46" s="31">
        <f>Enchape!B11</f>
        <v>9720987.5</v>
      </c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</row>
    <row r="47" spans="1:29" x14ac:dyDescent="0.3">
      <c r="A47" s="30" t="s">
        <v>141</v>
      </c>
      <c r="B47" s="31">
        <f>Mecanizado!N34</f>
        <v>0</v>
      </c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</row>
    <row r="48" spans="1:29" x14ac:dyDescent="0.3">
      <c r="A48" s="30" t="s">
        <v>120</v>
      </c>
      <c r="B48" s="31">
        <f>Armado!I28</f>
        <v>147600</v>
      </c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</row>
    <row r="49" spans="1:29" x14ac:dyDescent="0.3">
      <c r="A49" s="30" t="s">
        <v>142</v>
      </c>
      <c r="B49" s="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</row>
    <row r="50" spans="1:29" x14ac:dyDescent="0.3">
      <c r="A50" s="30" t="s">
        <v>143</v>
      </c>
      <c r="B50" s="31">
        <f>SUM(B45:B49)</f>
        <v>9878466.7550000008</v>
      </c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</row>
    <row r="51" spans="1:29" x14ac:dyDescent="0.3">
      <c r="A51" s="120" t="s">
        <v>144</v>
      </c>
      <c r="B51" s="120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</row>
    <row r="52" spans="1:29" x14ac:dyDescent="0.3">
      <c r="A52" s="30" t="s">
        <v>145</v>
      </c>
      <c r="B52" s="83">
        <v>0.2</v>
      </c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</row>
    <row r="53" spans="1:29" x14ac:dyDescent="0.3">
      <c r="A53" s="3"/>
      <c r="B53" s="31">
        <f>B50*B52</f>
        <v>1975693.3510000003</v>
      </c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</row>
    <row r="54" spans="1:29" x14ac:dyDescent="0.3">
      <c r="A54" s="30" t="s">
        <v>146</v>
      </c>
      <c r="B54" s="31">
        <f>B50+B43+B53</f>
        <v>54217385.738000005</v>
      </c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</row>
    <row r="55" spans="1:29" x14ac:dyDescent="0.3">
      <c r="A55" s="120" t="s">
        <v>147</v>
      </c>
      <c r="B55" s="120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</row>
    <row r="56" spans="1:29" x14ac:dyDescent="0.3">
      <c r="A56" s="30" t="s">
        <v>148</v>
      </c>
      <c r="B56" s="82">
        <v>0.35</v>
      </c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</row>
    <row r="57" spans="1:29" x14ac:dyDescent="0.3">
      <c r="A57" s="30" t="s">
        <v>149</v>
      </c>
      <c r="B57" s="31">
        <f>B54*B56</f>
        <v>18976085.008299999</v>
      </c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</row>
    <row r="58" spans="1:29" x14ac:dyDescent="0.3">
      <c r="A58" s="30" t="s">
        <v>146</v>
      </c>
      <c r="B58" s="31">
        <f>B57+B54</f>
        <v>73193470.746300012</v>
      </c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</row>
    <row r="59" spans="1:29" x14ac:dyDescent="0.3">
      <c r="A59" s="120" t="s">
        <v>150</v>
      </c>
      <c r="B59" s="120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</row>
    <row r="60" spans="1:29" x14ac:dyDescent="0.3">
      <c r="A60" s="30" t="s">
        <v>151</v>
      </c>
      <c r="B60" s="82">
        <v>0.15</v>
      </c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</row>
    <row r="61" spans="1:29" x14ac:dyDescent="0.3">
      <c r="A61" s="30" t="s">
        <v>152</v>
      </c>
      <c r="B61" s="31">
        <f>B60*B58</f>
        <v>10979020.611945001</v>
      </c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</row>
    <row r="62" spans="1:29" x14ac:dyDescent="0.3">
      <c r="A62" s="95" t="s">
        <v>153</v>
      </c>
      <c r="B62" s="96">
        <f>B58+B61</f>
        <v>84172491.358245015</v>
      </c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</row>
    <row r="63" spans="1:29" x14ac:dyDescent="0.3"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</row>
    <row r="64" spans="1:29" x14ac:dyDescent="0.3">
      <c r="A64" s="120" t="s">
        <v>154</v>
      </c>
      <c r="B64" s="120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</row>
    <row r="65" spans="1:29" x14ac:dyDescent="0.3">
      <c r="A65" s="30" t="s">
        <v>155</v>
      </c>
      <c r="B65" s="26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</row>
    <row r="66" spans="1:29" x14ac:dyDescent="0.3">
      <c r="A66" s="30" t="s">
        <v>156</v>
      </c>
      <c r="B66" s="82">
        <v>0.2</v>
      </c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</row>
    <row r="67" spans="1:29" x14ac:dyDescent="0.3">
      <c r="A67" s="30" t="s">
        <v>157</v>
      </c>
      <c r="B67" s="26">
        <f>B66*B65</f>
        <v>0</v>
      </c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</row>
    <row r="68" spans="1:29" x14ac:dyDescent="0.3">
      <c r="A68" s="30" t="s">
        <v>158</v>
      </c>
      <c r="B68" s="31">
        <f>B65+B67</f>
        <v>0</v>
      </c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</row>
    <row r="69" spans="1:29" x14ac:dyDescent="0.3">
      <c r="A69" s="30" t="s">
        <v>159</v>
      </c>
      <c r="B69" s="82">
        <v>0.1</v>
      </c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</row>
    <row r="70" spans="1:29" x14ac:dyDescent="0.3">
      <c r="A70" s="30" t="s">
        <v>160</v>
      </c>
      <c r="B70" s="31">
        <f>B69*B68</f>
        <v>0</v>
      </c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</row>
    <row r="71" spans="1:29" x14ac:dyDescent="0.3">
      <c r="A71" s="30" t="s">
        <v>146</v>
      </c>
      <c r="B71" s="26">
        <f>B70+B68</f>
        <v>0</v>
      </c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</row>
    <row r="72" spans="1:29" x14ac:dyDescent="0.3">
      <c r="A72" s="30" t="s">
        <v>161</v>
      </c>
      <c r="B72" s="83">
        <v>0.15</v>
      </c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</row>
    <row r="73" spans="1:29" x14ac:dyDescent="0.3">
      <c r="A73" s="30" t="s">
        <v>152</v>
      </c>
      <c r="B73" s="31">
        <f>B72*B71</f>
        <v>0</v>
      </c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</row>
    <row r="74" spans="1:29" x14ac:dyDescent="0.3">
      <c r="A74" s="30" t="s">
        <v>162</v>
      </c>
      <c r="B74" s="31">
        <f>B73+B71</f>
        <v>0</v>
      </c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</row>
    <row r="75" spans="1:29" x14ac:dyDescent="0.3">
      <c r="A75" s="95" t="s">
        <v>163</v>
      </c>
      <c r="B75" s="96">
        <f>B62+B74</f>
        <v>84172491.358245015</v>
      </c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</row>
    <row r="76" spans="1:29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</row>
    <row r="77" spans="1:29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</row>
    <row r="78" spans="1:29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</row>
    <row r="79" spans="1:29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</row>
    <row r="80" spans="1:29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</row>
    <row r="81" spans="1:29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</row>
    <row r="82" spans="1:29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</row>
    <row r="83" spans="1:29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</row>
    <row r="84" spans="1:29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</row>
    <row r="85" spans="1:29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</row>
    <row r="86" spans="1:29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</row>
    <row r="87" spans="1:29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</row>
    <row r="88" spans="1:29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</row>
    <row r="89" spans="1:29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</row>
    <row r="90" spans="1:29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</row>
    <row r="91" spans="1:29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</row>
    <row r="92" spans="1:29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</row>
    <row r="93" spans="1:29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</row>
    <row r="94" spans="1:29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</row>
    <row r="95" spans="1:29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</row>
    <row r="96" spans="1:29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</row>
    <row r="97" spans="1:29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</row>
    <row r="98" spans="1:29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</row>
    <row r="99" spans="1:29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</row>
    <row r="100" spans="1:29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</row>
    <row r="101" spans="1:29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</row>
    <row r="102" spans="1:29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</row>
    <row r="103" spans="1:29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</row>
    <row r="104" spans="1:29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</row>
    <row r="105" spans="1:29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</row>
    <row r="106" spans="1:29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</row>
    <row r="107" spans="1:29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</row>
    <row r="108" spans="1:29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</row>
    <row r="109" spans="1:29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</row>
    <row r="110" spans="1:29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</row>
    <row r="111" spans="1:29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</row>
    <row r="112" spans="1:29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</row>
    <row r="113" spans="1:29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</row>
    <row r="114" spans="1:29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</row>
    <row r="115" spans="1:29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</row>
    <row r="116" spans="1:29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</row>
    <row r="117" spans="1:29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</row>
    <row r="118" spans="1:29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</row>
    <row r="119" spans="1:29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</row>
    <row r="120" spans="1:29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</row>
    <row r="121" spans="1:29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</row>
    <row r="122" spans="1:29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</row>
    <row r="123" spans="1:29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</row>
    <row r="124" spans="1:29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</row>
    <row r="125" spans="1:29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</row>
    <row r="126" spans="1:29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</row>
    <row r="127" spans="1:29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</row>
    <row r="128" spans="1:29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</row>
    <row r="129" spans="1:29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</row>
    <row r="130" spans="1:29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</row>
    <row r="131" spans="1:29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</row>
    <row r="132" spans="1:29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</row>
    <row r="133" spans="1:29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</row>
    <row r="134" spans="1:29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</row>
    <row r="135" spans="1:29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</row>
    <row r="136" spans="1:29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</row>
    <row r="137" spans="1:29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</row>
    <row r="138" spans="1:29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</row>
    <row r="139" spans="1:29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</row>
    <row r="140" spans="1:29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</row>
    <row r="141" spans="1:29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</row>
    <row r="142" spans="1:29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</row>
    <row r="143" spans="1:29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</row>
    <row r="144" spans="1:29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</row>
    <row r="145" spans="1:29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</row>
    <row r="146" spans="1:29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</row>
    <row r="147" spans="1:29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</row>
    <row r="148" spans="1:29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</row>
    <row r="149" spans="1:29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</row>
    <row r="150" spans="1:29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</row>
    <row r="151" spans="1:29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</row>
    <row r="152" spans="1:29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</row>
    <row r="153" spans="1:29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</row>
    <row r="154" spans="1:29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</row>
    <row r="155" spans="1:29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</row>
    <row r="156" spans="1:29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</row>
    <row r="157" spans="1:29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</row>
    <row r="158" spans="1:29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</row>
    <row r="159" spans="1:29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</row>
    <row r="160" spans="1:29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</row>
    <row r="161" spans="1:29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</row>
    <row r="162" spans="1:29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</row>
    <row r="163" spans="1:29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</row>
    <row r="164" spans="1:29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</row>
    <row r="165" spans="1:29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</row>
    <row r="166" spans="1:29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</row>
    <row r="167" spans="1:29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</row>
    <row r="168" spans="1:29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</row>
    <row r="169" spans="1:29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</row>
    <row r="170" spans="1:29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</row>
    <row r="171" spans="1:29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</row>
    <row r="172" spans="1:29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</row>
    <row r="173" spans="1:29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</row>
    <row r="174" spans="1:29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</row>
    <row r="175" spans="1:29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</row>
    <row r="176" spans="1:29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</row>
    <row r="177" spans="1:29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</row>
    <row r="178" spans="1:29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</row>
    <row r="179" spans="1:29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</row>
    <row r="180" spans="1:29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</row>
    <row r="181" spans="1:29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</row>
    <row r="182" spans="1:29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</row>
    <row r="183" spans="1:29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</row>
    <row r="184" spans="1:29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</row>
    <row r="185" spans="1:29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</row>
    <row r="186" spans="1:29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</row>
    <row r="187" spans="1:29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</row>
    <row r="188" spans="1:29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</row>
    <row r="189" spans="1:29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</row>
    <row r="190" spans="1:29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</row>
    <row r="191" spans="1:29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</row>
    <row r="192" spans="1:29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</row>
    <row r="193" spans="1:29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</row>
    <row r="194" spans="1:29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</row>
    <row r="195" spans="1:29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</row>
    <row r="196" spans="1:29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</row>
    <row r="197" spans="1:29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</row>
    <row r="198" spans="1:29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</row>
    <row r="199" spans="1:29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</row>
    <row r="200" spans="1:29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</row>
    <row r="201" spans="1:29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</row>
    <row r="202" spans="1:29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</row>
    <row r="203" spans="1:29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</row>
    <row r="204" spans="1:29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</row>
    <row r="205" spans="1:29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</row>
    <row r="206" spans="1:29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</row>
    <row r="207" spans="1:29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</row>
    <row r="208" spans="1:29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</row>
    <row r="209" spans="1:29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</row>
    <row r="210" spans="1:29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</row>
    <row r="211" spans="1:29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</row>
    <row r="212" spans="1:29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</row>
    <row r="213" spans="1:29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</row>
    <row r="214" spans="1:29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</row>
    <row r="215" spans="1:29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</row>
    <row r="216" spans="1:29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</row>
    <row r="217" spans="1:29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</row>
    <row r="218" spans="1:29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</row>
    <row r="219" spans="1:29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</row>
    <row r="220" spans="1:29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</row>
    <row r="221" spans="1:29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</row>
    <row r="222" spans="1:29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</row>
    <row r="223" spans="1:29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</row>
    <row r="224" spans="1:29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</row>
    <row r="225" spans="1:29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</row>
    <row r="226" spans="1:29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</row>
    <row r="227" spans="1:29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</row>
    <row r="228" spans="1:29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</row>
    <row r="229" spans="1:29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</row>
    <row r="230" spans="1:29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</row>
    <row r="231" spans="1:29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</row>
    <row r="232" spans="1:29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</row>
    <row r="233" spans="1:29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</row>
    <row r="234" spans="1:29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</row>
    <row r="235" spans="1:29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</row>
    <row r="236" spans="1:29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</row>
    <row r="237" spans="1:29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</row>
    <row r="238" spans="1:29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</row>
    <row r="239" spans="1:29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</row>
    <row r="240" spans="1:29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</row>
    <row r="241" spans="1:29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</row>
    <row r="242" spans="1:29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</row>
    <row r="243" spans="1:29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</row>
    <row r="244" spans="1:29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</row>
    <row r="245" spans="1:29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</row>
    <row r="246" spans="1:29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</row>
    <row r="247" spans="1:29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</row>
    <row r="248" spans="1:29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</row>
    <row r="249" spans="1:29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</row>
    <row r="250" spans="1:29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</row>
    <row r="251" spans="1:29" x14ac:dyDescent="0.3">
      <c r="A251" s="93"/>
      <c r="B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</row>
    <row r="252" spans="1:29" x14ac:dyDescent="0.3"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</row>
    <row r="253" spans="1:29" x14ac:dyDescent="0.3"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</row>
    <row r="254" spans="1:29" x14ac:dyDescent="0.3"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</row>
    <row r="255" spans="1:29" x14ac:dyDescent="0.3"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</row>
    <row r="256" spans="1:29" x14ac:dyDescent="0.3"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</row>
    <row r="257" spans="8:29" x14ac:dyDescent="0.3"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</row>
    <row r="258" spans="8:29" x14ac:dyDescent="0.3"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</row>
    <row r="259" spans="8:29" x14ac:dyDescent="0.3"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</row>
    <row r="260" spans="8:29" x14ac:dyDescent="0.3"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</row>
    <row r="261" spans="8:29" x14ac:dyDescent="0.3"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</row>
    <row r="262" spans="8:29" x14ac:dyDescent="0.3"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</row>
    <row r="263" spans="8:29" x14ac:dyDescent="0.3"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</row>
    <row r="264" spans="8:29" x14ac:dyDescent="0.3"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</row>
    <row r="265" spans="8:29" x14ac:dyDescent="0.3"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</row>
    <row r="266" spans="8:29" x14ac:dyDescent="0.3"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</row>
    <row r="267" spans="8:29" x14ac:dyDescent="0.3"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</row>
    <row r="268" spans="8:29" x14ac:dyDescent="0.3"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</row>
    <row r="269" spans="8:29" x14ac:dyDescent="0.3"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</row>
    <row r="270" spans="8:29" x14ac:dyDescent="0.3"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</row>
    <row r="271" spans="8:29" x14ac:dyDescent="0.3"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</row>
    <row r="272" spans="8:29" x14ac:dyDescent="0.3"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</row>
    <row r="273" spans="8:29" x14ac:dyDescent="0.3"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</row>
    <row r="274" spans="8:29" x14ac:dyDescent="0.3"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</row>
    <row r="275" spans="8:29" x14ac:dyDescent="0.3"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</row>
    <row r="276" spans="8:29" x14ac:dyDescent="0.3"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</row>
    <row r="277" spans="8:29" x14ac:dyDescent="0.3"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</row>
    <row r="278" spans="8:29" x14ac:dyDescent="0.3"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</row>
    <row r="279" spans="8:29" x14ac:dyDescent="0.3"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</row>
    <row r="280" spans="8:29" x14ac:dyDescent="0.3"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</row>
    <row r="281" spans="8:29" x14ac:dyDescent="0.3"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</row>
    <row r="282" spans="8:29" x14ac:dyDescent="0.3"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</row>
    <row r="283" spans="8:29" x14ac:dyDescent="0.3"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</row>
    <row r="284" spans="8:29" x14ac:dyDescent="0.3"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</row>
    <row r="285" spans="8:29" x14ac:dyDescent="0.3"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</row>
    <row r="286" spans="8:29" x14ac:dyDescent="0.3"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</row>
    <row r="287" spans="8:29" x14ac:dyDescent="0.3"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</row>
    <row r="288" spans="8:29" x14ac:dyDescent="0.3"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</row>
    <row r="289" spans="8:29" x14ac:dyDescent="0.3"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</row>
    <row r="290" spans="8:29" x14ac:dyDescent="0.3"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</row>
    <row r="291" spans="8:29" x14ac:dyDescent="0.3"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</row>
    <row r="292" spans="8:29" x14ac:dyDescent="0.3"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</row>
    <row r="293" spans="8:29" x14ac:dyDescent="0.3"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</row>
    <row r="294" spans="8:29" x14ac:dyDescent="0.3"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</row>
    <row r="295" spans="8:29" x14ac:dyDescent="0.3"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</row>
    <row r="296" spans="8:29" x14ac:dyDescent="0.3"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</row>
    <row r="297" spans="8:29" x14ac:dyDescent="0.3"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</row>
    <row r="298" spans="8:29" x14ac:dyDescent="0.3"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</row>
    <row r="299" spans="8:29" x14ac:dyDescent="0.3"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</row>
    <row r="300" spans="8:29" x14ac:dyDescent="0.3"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</row>
    <row r="301" spans="8:29" x14ac:dyDescent="0.3"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</row>
    <row r="302" spans="8:29" x14ac:dyDescent="0.3"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</row>
    <row r="303" spans="8:29" x14ac:dyDescent="0.3"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</row>
    <row r="304" spans="8:29" x14ac:dyDescent="0.3"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</row>
    <row r="305" spans="8:29" x14ac:dyDescent="0.3"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</row>
    <row r="306" spans="8:29" x14ac:dyDescent="0.3"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</row>
    <row r="307" spans="8:29" x14ac:dyDescent="0.3"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</row>
    <row r="308" spans="8:29" x14ac:dyDescent="0.3"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</row>
    <row r="309" spans="8:29" x14ac:dyDescent="0.3"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</row>
    <row r="310" spans="8:29" x14ac:dyDescent="0.3"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</row>
    <row r="311" spans="8:29" x14ac:dyDescent="0.3"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</row>
    <row r="312" spans="8:29" x14ac:dyDescent="0.3"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</row>
    <row r="313" spans="8:29" x14ac:dyDescent="0.3"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</row>
    <row r="314" spans="8:29" x14ac:dyDescent="0.3"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</row>
    <row r="315" spans="8:29" x14ac:dyDescent="0.3"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</row>
    <row r="316" spans="8:29" x14ac:dyDescent="0.3"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</row>
    <row r="317" spans="8:29" x14ac:dyDescent="0.3"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</row>
    <row r="318" spans="8:29" x14ac:dyDescent="0.3"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</row>
    <row r="319" spans="8:29" x14ac:dyDescent="0.3"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</row>
    <row r="320" spans="8:29" x14ac:dyDescent="0.3"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</row>
    <row r="321" spans="8:29" x14ac:dyDescent="0.3"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</row>
    <row r="322" spans="8:29" x14ac:dyDescent="0.3"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</row>
    <row r="323" spans="8:29" x14ac:dyDescent="0.3"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</row>
    <row r="324" spans="8:29" x14ac:dyDescent="0.3"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</row>
    <row r="325" spans="8:29" x14ac:dyDescent="0.3"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</row>
    <row r="326" spans="8:29" x14ac:dyDescent="0.3"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</row>
    <row r="327" spans="8:29" x14ac:dyDescent="0.3"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</row>
    <row r="328" spans="8:29" x14ac:dyDescent="0.3">
      <c r="H328" s="93"/>
      <c r="I328" s="93"/>
      <c r="J328" s="93"/>
      <c r="K328" s="93"/>
    </row>
    <row r="329" spans="8:29" x14ac:dyDescent="0.3">
      <c r="H329" s="93"/>
      <c r="I329" s="93"/>
      <c r="J329" s="93"/>
      <c r="K329" s="93"/>
    </row>
    <row r="330" spans="8:29" x14ac:dyDescent="0.3">
      <c r="H330" s="93"/>
      <c r="I330" s="93"/>
      <c r="J330" s="93"/>
      <c r="K330" s="93"/>
    </row>
    <row r="331" spans="8:29" x14ac:dyDescent="0.3">
      <c r="J331" s="93"/>
      <c r="K331" s="93"/>
    </row>
  </sheetData>
  <mergeCells count="36">
    <mergeCell ref="A26:C26"/>
    <mergeCell ref="A1:K1"/>
    <mergeCell ref="B2:C2"/>
    <mergeCell ref="B3:C3"/>
    <mergeCell ref="E2:G2"/>
    <mergeCell ref="J12:K12"/>
    <mergeCell ref="A37:C37"/>
    <mergeCell ref="A30:C30"/>
    <mergeCell ref="A31:C31"/>
    <mergeCell ref="A32:C32"/>
    <mergeCell ref="A33:C33"/>
    <mergeCell ref="A36:C36"/>
    <mergeCell ref="A29:C29"/>
    <mergeCell ref="A34:C34"/>
    <mergeCell ref="A35:C35"/>
    <mergeCell ref="A4:G4"/>
    <mergeCell ref="A16:E16"/>
    <mergeCell ref="A17:C17"/>
    <mergeCell ref="A18:C18"/>
    <mergeCell ref="A28:E28"/>
    <mergeCell ref="A27:C27"/>
    <mergeCell ref="A19:C19"/>
    <mergeCell ref="A20:C20"/>
    <mergeCell ref="A21:C21"/>
    <mergeCell ref="A22:C22"/>
    <mergeCell ref="A23:C23"/>
    <mergeCell ref="A24:C24"/>
    <mergeCell ref="A25:C25"/>
    <mergeCell ref="A64:B64"/>
    <mergeCell ref="A59:B59"/>
    <mergeCell ref="A55:B55"/>
    <mergeCell ref="A51:B51"/>
    <mergeCell ref="A38:C38"/>
    <mergeCell ref="A44:B44"/>
    <mergeCell ref="A39:C39"/>
    <mergeCell ref="A40:E40"/>
  </mergeCells>
  <dataValidations count="1">
    <dataValidation type="list" allowBlank="1" showInputMessage="1" showErrorMessage="1" sqref="B18" xr:uid="{9150BC33-F5C3-4E41-B99C-87AC690873EE}">
      <formula1>"PVCantos"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017E38-94C8-48B1-84C9-0F55ECBEC07D}">
          <x14:formula1>
            <xm:f>Herrajes!$A$2:$A$220</xm:f>
          </x14:formula1>
          <xm:sqref>A30:A39</xm:sqref>
        </x14:dataValidation>
        <x14:dataValidation type="list" allowBlank="1" showInputMessage="1" showErrorMessage="1" xr:uid="{139038AC-3139-4D48-889D-C5267E691268}">
          <x14:formula1>
            <xm:f>Armado!$A$2:$A$43</xm:f>
          </x14:formula1>
          <xm:sqref>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D8AF9-0840-4B43-9587-E702DDAE8FA1}">
  <sheetPr codeName="Hoja11"/>
  <dimension ref="A1:O40"/>
  <sheetViews>
    <sheetView workbookViewId="0">
      <selection activeCell="D11" sqref="D11"/>
    </sheetView>
  </sheetViews>
  <sheetFormatPr baseColWidth="10" defaultColWidth="11.44140625" defaultRowHeight="14.4" x14ac:dyDescent="0.3"/>
  <cols>
    <col min="1" max="1" width="28.44140625" style="98" customWidth="1"/>
    <col min="2" max="2" width="22.33203125" style="98" bestFit="1" customWidth="1"/>
    <col min="3" max="3" width="18.44140625" style="98" bestFit="1" customWidth="1"/>
    <col min="4" max="5" width="15.109375" style="98" customWidth="1"/>
    <col min="6" max="6" width="21.5546875" style="107" bestFit="1" customWidth="1"/>
    <col min="8" max="8" width="12.5546875" customWidth="1"/>
    <col min="10" max="10" width="12.5546875" bestFit="1" customWidth="1"/>
    <col min="14" max="14" width="16.5546875" customWidth="1"/>
    <col min="15" max="15" width="21.88671875" customWidth="1"/>
  </cols>
  <sheetData>
    <row r="1" spans="1:15" x14ac:dyDescent="0.3">
      <c r="A1" s="138" t="s">
        <v>164</v>
      </c>
      <c r="B1" s="138"/>
      <c r="C1" s="138"/>
      <c r="D1" s="138"/>
      <c r="E1" s="138"/>
      <c r="F1" s="138"/>
    </row>
    <row r="2" spans="1:15" x14ac:dyDescent="0.3">
      <c r="A2" s="139"/>
      <c r="B2" s="139"/>
      <c r="C2" s="139"/>
      <c r="D2" s="139"/>
      <c r="E2" s="139"/>
      <c r="F2" s="139"/>
    </row>
    <row r="3" spans="1:15" ht="28.8" x14ac:dyDescent="0.3">
      <c r="A3" s="102" t="s">
        <v>165</v>
      </c>
      <c r="B3" s="103" t="s">
        <v>166</v>
      </c>
      <c r="C3" s="103" t="s">
        <v>167</v>
      </c>
      <c r="D3" s="104" t="s">
        <v>168</v>
      </c>
      <c r="E3" s="112"/>
      <c r="F3" s="105" t="s">
        <v>169</v>
      </c>
      <c r="I3" t="s">
        <v>170</v>
      </c>
    </row>
    <row r="4" spans="1:15" x14ac:dyDescent="0.3">
      <c r="A4" s="100"/>
      <c r="B4" s="100" t="s">
        <v>171</v>
      </c>
      <c r="C4" s="101">
        <v>145.80000000000001</v>
      </c>
      <c r="D4" s="101">
        <v>24.7</v>
      </c>
      <c r="E4" s="101"/>
      <c r="F4" s="106">
        <f>($J$4/8)/D4</f>
        <v>607.28744939271257</v>
      </c>
      <c r="I4" t="s">
        <v>172</v>
      </c>
      <c r="J4" s="34">
        <v>120000</v>
      </c>
    </row>
    <row r="5" spans="1:15" x14ac:dyDescent="0.3">
      <c r="B5" s="98" t="s">
        <v>173</v>
      </c>
      <c r="C5" s="99">
        <v>80.900000000000006</v>
      </c>
      <c r="D5" s="99">
        <v>44.5</v>
      </c>
      <c r="E5" s="99"/>
      <c r="F5" s="107">
        <f>($J$4/8)/D5</f>
        <v>337.07865168539325</v>
      </c>
    </row>
    <row r="6" spans="1:15" x14ac:dyDescent="0.3">
      <c r="A6" s="98">
        <v>3</v>
      </c>
      <c r="B6" s="98" t="s">
        <v>174</v>
      </c>
      <c r="C6" s="98">
        <v>152</v>
      </c>
      <c r="D6" s="98">
        <f>((C6*A6)/60)/60</f>
        <v>0.12666666666666665</v>
      </c>
      <c r="F6" s="111">
        <f>1/D6</f>
        <v>7.8947368421052646</v>
      </c>
    </row>
    <row r="7" spans="1:15" x14ac:dyDescent="0.3">
      <c r="A7" s="98">
        <v>5</v>
      </c>
      <c r="B7" s="98" t="s">
        <v>175</v>
      </c>
      <c r="C7" s="98">
        <v>152</v>
      </c>
      <c r="D7" s="98">
        <f t="shared" ref="D7:D10" si="0">((C7*A7)/60)/60</f>
        <v>0.21111111111111111</v>
      </c>
      <c r="F7" s="111">
        <f t="shared" ref="F7:F10" si="1">1/D7</f>
        <v>4.7368421052631575</v>
      </c>
      <c r="L7" s="127" t="s">
        <v>176</v>
      </c>
      <c r="M7" s="128"/>
      <c r="N7" s="128"/>
      <c r="O7" s="129"/>
    </row>
    <row r="8" spans="1:15" x14ac:dyDescent="0.3">
      <c r="A8" s="98">
        <v>2</v>
      </c>
      <c r="B8" s="98" t="s">
        <v>177</v>
      </c>
      <c r="C8" s="98">
        <v>152</v>
      </c>
      <c r="D8" s="98">
        <f t="shared" si="0"/>
        <v>8.4444444444444447E-2</v>
      </c>
      <c r="F8" s="111">
        <f t="shared" si="1"/>
        <v>11.842105263157894</v>
      </c>
      <c r="L8" s="110" t="s">
        <v>178</v>
      </c>
      <c r="M8" s="110" t="s">
        <v>2</v>
      </c>
      <c r="N8" s="110" t="s">
        <v>179</v>
      </c>
      <c r="O8" s="110" t="s">
        <v>180</v>
      </c>
    </row>
    <row r="9" spans="1:15" x14ac:dyDescent="0.3">
      <c r="A9" s="98">
        <v>3</v>
      </c>
      <c r="B9" s="98" t="s">
        <v>181</v>
      </c>
      <c r="C9" s="98">
        <v>152</v>
      </c>
      <c r="D9" s="98">
        <f t="shared" si="0"/>
        <v>0.12666666666666665</v>
      </c>
      <c r="F9" s="111">
        <f t="shared" si="1"/>
        <v>7.8947368421052646</v>
      </c>
      <c r="L9" s="3" t="str" cm="1">
        <f t="array" ref="L9">_xlfn.UNIQUE(_xlfn._xlws.FILTER(Despiece!B:B,COUNTIF(Mecanizado!A:A,Despiece!B:B)&gt;0,""))</f>
        <v/>
      </c>
      <c r="M9" s="3" t="str">
        <f>IF(SUMIF(Despiece!B:B,  Mecanizado!K9,Despiece!C:C)=0,"",SUMIF(Despiece!B:B,  Mecanizado!K9,Despiece!C:C))</f>
        <v/>
      </c>
      <c r="N9" s="26" t="str">
        <f t="shared" ref="N9:N39" si="2">IF(SUMIF(A9:A92,  L9, J9:J92)=0,"",SUMIF(A9:A92,  L9, J9:J92))</f>
        <v/>
      </c>
      <c r="O9" s="26" t="str">
        <f t="shared" ref="O9:O39" si="3">IFERROR(M9*N9,"")</f>
        <v/>
      </c>
    </row>
    <row r="10" spans="1:15" x14ac:dyDescent="0.3">
      <c r="A10" s="98">
        <v>1</v>
      </c>
      <c r="B10" s="98" t="s">
        <v>182</v>
      </c>
      <c r="C10" s="98">
        <v>152</v>
      </c>
      <c r="D10" s="98">
        <f t="shared" si="0"/>
        <v>4.2222222222222223E-2</v>
      </c>
      <c r="F10" s="111">
        <f t="shared" si="1"/>
        <v>23.684210526315788</v>
      </c>
      <c r="L10" s="3"/>
      <c r="M10" s="3" t="str">
        <f>IF(SUMIF(Despiece!B:B,  Mecanizado!K10,Despiece!C:C)=0,"",SUMIF(Despiece!B:B,  Mecanizado!K10,Despiece!C:C))</f>
        <v/>
      </c>
      <c r="N10" s="26" t="str">
        <f>IF(SUMIF(A10:A93,  L10, J10:J93)=0,"",SUMIF(A10:A93,  L10, J10:J93))</f>
        <v/>
      </c>
      <c r="O10" s="26" t="str">
        <f t="shared" si="3"/>
        <v/>
      </c>
    </row>
    <row r="11" spans="1:15" x14ac:dyDescent="0.3">
      <c r="L11" s="3"/>
      <c r="M11" s="3" t="str">
        <f>IF(SUMIF(Despiece!B:B,  Mecanizado!K11,Despiece!C:C)=0,"",SUMIF(Despiece!B:B,  Mecanizado!K11,Despiece!C:C))</f>
        <v/>
      </c>
      <c r="N11" s="26" t="str">
        <f t="shared" si="2"/>
        <v/>
      </c>
      <c r="O11" s="26" t="str">
        <f t="shared" si="3"/>
        <v/>
      </c>
    </row>
    <row r="12" spans="1:15" x14ac:dyDescent="0.3">
      <c r="L12" s="3"/>
      <c r="M12" s="3" t="str">
        <f>IF(SUMIF(Despiece!B:B,  Mecanizado!K12,Despiece!C:C)=0,"",SUMIF(Despiece!B:B,  Mecanizado!K12,Despiece!C:C))</f>
        <v/>
      </c>
      <c r="N12" s="26" t="str">
        <f t="shared" si="2"/>
        <v/>
      </c>
      <c r="O12" s="26" t="str">
        <f t="shared" si="3"/>
        <v/>
      </c>
    </row>
    <row r="13" spans="1:15" x14ac:dyDescent="0.3">
      <c r="L13" s="3"/>
      <c r="M13" s="3" t="str">
        <f>IF(SUMIF(Despiece!B:B,  Mecanizado!K13,Despiece!C:C)=0,"",SUMIF(Despiece!B:B,  Mecanizado!K13,Despiece!C:C))</f>
        <v/>
      </c>
      <c r="N13" s="26" t="str">
        <f t="shared" si="2"/>
        <v/>
      </c>
      <c r="O13" s="26" t="str">
        <f t="shared" si="3"/>
        <v/>
      </c>
    </row>
    <row r="14" spans="1:15" x14ac:dyDescent="0.3">
      <c r="L14" s="3"/>
      <c r="M14" s="3" t="str">
        <f>IF(SUMIF(Despiece!B:B,  Mecanizado!K14,Despiece!C:C)=0,"",SUMIF(Despiece!B:B,  Mecanizado!K14,Despiece!C:C))</f>
        <v/>
      </c>
      <c r="N14" s="26" t="str">
        <f t="shared" si="2"/>
        <v/>
      </c>
      <c r="O14" s="26" t="str">
        <f t="shared" si="3"/>
        <v/>
      </c>
    </row>
    <row r="15" spans="1:15" x14ac:dyDescent="0.3">
      <c r="L15" s="3"/>
      <c r="M15" s="3" t="str">
        <f>IF(SUMIF(Despiece!B:B,  Mecanizado!K15,Despiece!C:C)=0,"",SUMIF(Despiece!B:B,  Mecanizado!K15,Despiece!C:C))</f>
        <v/>
      </c>
      <c r="N15" s="26" t="str">
        <f t="shared" si="2"/>
        <v/>
      </c>
      <c r="O15" s="26" t="str">
        <f t="shared" si="3"/>
        <v/>
      </c>
    </row>
    <row r="16" spans="1:15" x14ac:dyDescent="0.3">
      <c r="L16" s="3"/>
      <c r="M16" s="3" t="str">
        <f>IF(SUMIF(Despiece!B:B,  Mecanizado!K16,Despiece!C:C)=0,"",SUMIF(Despiece!B:B,  Mecanizado!K16,Despiece!C:C))</f>
        <v/>
      </c>
      <c r="N16" s="26" t="str">
        <f t="shared" si="2"/>
        <v/>
      </c>
      <c r="O16" s="26" t="str">
        <f t="shared" si="3"/>
        <v/>
      </c>
    </row>
    <row r="17" spans="12:15" x14ac:dyDescent="0.3">
      <c r="L17" s="3"/>
      <c r="M17" s="3" t="str">
        <f>IF(SUMIF(Despiece!B:B,  Mecanizado!K17,Despiece!C:C)=0,"",SUMIF(Despiece!B:B,  Mecanizado!K17,Despiece!C:C))</f>
        <v/>
      </c>
      <c r="N17" s="26" t="str">
        <f t="shared" si="2"/>
        <v/>
      </c>
      <c r="O17" s="26" t="str">
        <f t="shared" si="3"/>
        <v/>
      </c>
    </row>
    <row r="18" spans="12:15" x14ac:dyDescent="0.3">
      <c r="L18" s="3"/>
      <c r="M18" s="3" t="str">
        <f>IF(SUMIF(Despiece!B:B,  Mecanizado!K18,Despiece!C:C)=0,"",SUMIF(Despiece!B:B,  Mecanizado!K18,Despiece!C:C))</f>
        <v/>
      </c>
      <c r="N18" s="26" t="str">
        <f t="shared" si="2"/>
        <v/>
      </c>
      <c r="O18" s="26" t="str">
        <f t="shared" si="3"/>
        <v/>
      </c>
    </row>
    <row r="19" spans="12:15" x14ac:dyDescent="0.3">
      <c r="L19" s="3"/>
      <c r="M19" s="3" t="str">
        <f>IF(SUMIF(Despiece!B:B,  Mecanizado!K19,Despiece!C:C)=0,"",SUMIF(Despiece!B:B,  Mecanizado!K19,Despiece!C:C))</f>
        <v/>
      </c>
      <c r="N19" s="26" t="str">
        <f t="shared" si="2"/>
        <v/>
      </c>
      <c r="O19" s="26" t="str">
        <f t="shared" si="3"/>
        <v/>
      </c>
    </row>
    <row r="20" spans="12:15" x14ac:dyDescent="0.3">
      <c r="L20" s="3"/>
      <c r="M20" s="3" t="str">
        <f>IF(SUMIF(Despiece!B:B,  Mecanizado!K20,Despiece!C:C)=0,"",SUMIF(Despiece!B:B,  Mecanizado!K20,Despiece!C:C))</f>
        <v/>
      </c>
      <c r="N20" s="26" t="str">
        <f t="shared" si="2"/>
        <v/>
      </c>
      <c r="O20" s="26" t="str">
        <f t="shared" si="3"/>
        <v/>
      </c>
    </row>
    <row r="21" spans="12:15" x14ac:dyDescent="0.3">
      <c r="L21" s="3"/>
      <c r="M21" s="3" t="str">
        <f>IF(SUMIF(Despiece!B:B,  Mecanizado!K21,Despiece!C:C)=0,"",SUMIF(Despiece!B:B,  Mecanizado!K21,Despiece!C:C))</f>
        <v/>
      </c>
      <c r="N21" s="26" t="str">
        <f t="shared" si="2"/>
        <v/>
      </c>
      <c r="O21" s="26" t="str">
        <f t="shared" si="3"/>
        <v/>
      </c>
    </row>
    <row r="22" spans="12:15" x14ac:dyDescent="0.3">
      <c r="L22" s="3"/>
      <c r="M22" s="3" t="str">
        <f>IF(SUMIF(Despiece!B:B,  Mecanizado!K22,Despiece!C:C)=0,"",SUMIF(Despiece!B:B,  Mecanizado!K22,Despiece!C:C))</f>
        <v/>
      </c>
      <c r="N22" s="26" t="str">
        <f t="shared" si="2"/>
        <v/>
      </c>
      <c r="O22" s="26" t="str">
        <f t="shared" si="3"/>
        <v/>
      </c>
    </row>
    <row r="23" spans="12:15" x14ac:dyDescent="0.3">
      <c r="L23" s="3"/>
      <c r="M23" s="3" t="str">
        <f>IF(SUMIF(Despiece!B:B,  Mecanizado!K23,Despiece!C:C)=0,"",SUMIF(Despiece!B:B,  Mecanizado!K23,Despiece!C:C))</f>
        <v/>
      </c>
      <c r="N23" s="26" t="str">
        <f t="shared" si="2"/>
        <v/>
      </c>
      <c r="O23" s="26" t="str">
        <f t="shared" si="3"/>
        <v/>
      </c>
    </row>
    <row r="24" spans="12:15" x14ac:dyDescent="0.3">
      <c r="L24" s="3"/>
      <c r="M24" s="3" t="str">
        <f>IF(SUMIF(Despiece!B:B,  Mecanizado!K24,Despiece!C:C)=0,"",SUMIF(Despiece!B:B,  Mecanizado!K24,Despiece!C:C))</f>
        <v/>
      </c>
      <c r="N24" s="26" t="str">
        <f t="shared" si="2"/>
        <v/>
      </c>
      <c r="O24" s="26" t="str">
        <f t="shared" si="3"/>
        <v/>
      </c>
    </row>
    <row r="25" spans="12:15" x14ac:dyDescent="0.3">
      <c r="L25" s="3"/>
      <c r="M25" s="3" t="str">
        <f>IF(SUMIF(Despiece!B:B,  Mecanizado!K25,Despiece!C:C)=0,"",SUMIF(Despiece!B:B,  Mecanizado!K25,Despiece!C:C))</f>
        <v/>
      </c>
      <c r="N25" s="26" t="str">
        <f t="shared" si="2"/>
        <v/>
      </c>
      <c r="O25" s="26" t="str">
        <f t="shared" si="3"/>
        <v/>
      </c>
    </row>
    <row r="26" spans="12:15" x14ac:dyDescent="0.3">
      <c r="L26" s="3"/>
      <c r="M26" s="3" t="str">
        <f>IF(SUMIF(Despiece!B:B,  Mecanizado!K26,Despiece!C:C)=0,"",SUMIF(Despiece!B:B,  Mecanizado!K26,Despiece!C:C))</f>
        <v/>
      </c>
      <c r="N26" s="26" t="str">
        <f t="shared" si="2"/>
        <v/>
      </c>
      <c r="O26" s="26" t="str">
        <f t="shared" si="3"/>
        <v/>
      </c>
    </row>
    <row r="27" spans="12:15" x14ac:dyDescent="0.3">
      <c r="L27" s="3"/>
      <c r="M27" s="3" t="str">
        <f>IF(SUMIF(Despiece!B:B,  Mecanizado!K27,Despiece!C:C)=0,"",SUMIF(Despiece!B:B,  Mecanizado!K27,Despiece!C:C))</f>
        <v/>
      </c>
      <c r="N27" s="26" t="str">
        <f t="shared" si="2"/>
        <v/>
      </c>
      <c r="O27" s="26" t="str">
        <f t="shared" si="3"/>
        <v/>
      </c>
    </row>
    <row r="28" spans="12:15" x14ac:dyDescent="0.3">
      <c r="L28" s="3"/>
      <c r="M28" s="3" t="str">
        <f>IF(SUMIF(Despiece!B:B,  Mecanizado!K28,Despiece!C:C)=0,"",SUMIF(Despiece!B:B,  Mecanizado!K28,Despiece!C:C))</f>
        <v/>
      </c>
      <c r="N28" s="26" t="str">
        <f t="shared" si="2"/>
        <v/>
      </c>
      <c r="O28" s="26" t="str">
        <f t="shared" si="3"/>
        <v/>
      </c>
    </row>
    <row r="29" spans="12:15" x14ac:dyDescent="0.3">
      <c r="L29" s="3"/>
      <c r="M29" s="3" t="str">
        <f>IF(SUMIF(Despiece!B:B,  Mecanizado!K29,Despiece!C:C)=0,"",SUMIF(Despiece!B:B,  Mecanizado!K29,Despiece!C:C))</f>
        <v/>
      </c>
      <c r="N29" s="26" t="str">
        <f t="shared" si="2"/>
        <v/>
      </c>
      <c r="O29" s="26" t="str">
        <f t="shared" si="3"/>
        <v/>
      </c>
    </row>
    <row r="30" spans="12:15" x14ac:dyDescent="0.3">
      <c r="L30" s="3"/>
      <c r="M30" s="3" t="str">
        <f>IF(SUMIF(Despiece!B:B,  Mecanizado!K30,Despiece!C:C)=0,"",SUMIF(Despiece!B:B,  Mecanizado!K30,Despiece!C:C))</f>
        <v/>
      </c>
      <c r="N30" s="26" t="str">
        <f t="shared" si="2"/>
        <v/>
      </c>
      <c r="O30" s="26" t="str">
        <f t="shared" si="3"/>
        <v/>
      </c>
    </row>
    <row r="31" spans="12:15" x14ac:dyDescent="0.3">
      <c r="L31" s="3"/>
      <c r="M31" s="3" t="str">
        <f>IF(SUMIF(Despiece!B:B,  Mecanizado!K31,Despiece!C:C)=0,"",SUMIF(Despiece!B:B,  Mecanizado!K31,Despiece!C:C))</f>
        <v/>
      </c>
      <c r="N31" s="26" t="str">
        <f t="shared" si="2"/>
        <v/>
      </c>
      <c r="O31" s="26" t="str">
        <f t="shared" si="3"/>
        <v/>
      </c>
    </row>
    <row r="32" spans="12:15" x14ac:dyDescent="0.3">
      <c r="L32" s="3"/>
      <c r="M32" s="3" t="str">
        <f>IF(SUMIF(Despiece!B:B,  Mecanizado!K32,Despiece!C:C)=0,"",SUMIF(Despiece!B:B,  Mecanizado!K32,Despiece!C:C))</f>
        <v/>
      </c>
      <c r="N32" s="26" t="str">
        <f t="shared" si="2"/>
        <v/>
      </c>
      <c r="O32" s="26" t="str">
        <f t="shared" si="3"/>
        <v/>
      </c>
    </row>
    <row r="33" spans="12:15" x14ac:dyDescent="0.3">
      <c r="L33" s="3"/>
      <c r="M33" s="3" t="str">
        <f>IF(SUMIF(Despiece!B:B,  Mecanizado!K33,Despiece!C:C)=0,"",SUMIF(Despiece!B:B,  Mecanizado!K33,Despiece!C:C))</f>
        <v/>
      </c>
      <c r="N33" s="26" t="str">
        <f t="shared" si="2"/>
        <v/>
      </c>
      <c r="O33" s="26" t="str">
        <f t="shared" si="3"/>
        <v/>
      </c>
    </row>
    <row r="34" spans="12:15" x14ac:dyDescent="0.3">
      <c r="L34" s="3"/>
      <c r="M34" s="3" t="str">
        <f>IF(SUMIF(Despiece!B:B,  Mecanizado!K34,Despiece!C:C)=0,"",SUMIF(Despiece!B:B,  Mecanizado!K34,Despiece!C:C))</f>
        <v/>
      </c>
      <c r="N34" s="26" t="str">
        <f t="shared" si="2"/>
        <v/>
      </c>
      <c r="O34" s="26" t="str">
        <f t="shared" si="3"/>
        <v/>
      </c>
    </row>
    <row r="35" spans="12:15" x14ac:dyDescent="0.3">
      <c r="L35" s="3"/>
      <c r="M35" s="3" t="str">
        <f>IF(SUMIF(Despiece!B:B,  Mecanizado!K35,Despiece!C:C)=0,"",SUMIF(Despiece!B:B,  Mecanizado!K35,Despiece!C:C))</f>
        <v/>
      </c>
      <c r="N35" s="26" t="str">
        <f t="shared" si="2"/>
        <v/>
      </c>
      <c r="O35" s="26" t="str">
        <f t="shared" si="3"/>
        <v/>
      </c>
    </row>
    <row r="36" spans="12:15" x14ac:dyDescent="0.3">
      <c r="L36" s="3"/>
      <c r="M36" s="3" t="str">
        <f>IF(SUMIF(Despiece!B:B,  Mecanizado!K36,Despiece!C:C)=0,"",SUMIF(Despiece!B:B,  Mecanizado!K36,Despiece!C:C))</f>
        <v/>
      </c>
      <c r="N36" s="26" t="str">
        <f t="shared" si="2"/>
        <v/>
      </c>
      <c r="O36" s="26" t="str">
        <f t="shared" si="3"/>
        <v/>
      </c>
    </row>
    <row r="37" spans="12:15" x14ac:dyDescent="0.3">
      <c r="L37" s="3"/>
      <c r="M37" s="3" t="str">
        <f>IF(SUMIF(Despiece!B:B,  Mecanizado!K37,Despiece!C:C)=0,"",SUMIF(Despiece!B:B,  Mecanizado!K37,Despiece!C:C))</f>
        <v/>
      </c>
      <c r="N37" s="26" t="str">
        <f t="shared" si="2"/>
        <v/>
      </c>
      <c r="O37" s="26" t="str">
        <f t="shared" si="3"/>
        <v/>
      </c>
    </row>
    <row r="38" spans="12:15" x14ac:dyDescent="0.3">
      <c r="L38" s="3"/>
      <c r="M38" s="3" t="str">
        <f>IF(SUMIF(Despiece!B:B,  Mecanizado!K38,Despiece!C:C)=0,"",SUMIF(Despiece!B:B,  Mecanizado!K38,Despiece!C:C))</f>
        <v/>
      </c>
      <c r="N38" s="26" t="str">
        <f t="shared" si="2"/>
        <v/>
      </c>
      <c r="O38" s="26" t="str">
        <f t="shared" si="3"/>
        <v/>
      </c>
    </row>
    <row r="39" spans="12:15" x14ac:dyDescent="0.3">
      <c r="L39" s="3"/>
      <c r="M39" s="3" t="str">
        <f>IF(SUMIF(Despiece!B:B,  Mecanizado!K39,Despiece!C:C)=0,"",SUMIF(Despiece!B:B,  Mecanizado!K39,Despiece!C:C))</f>
        <v/>
      </c>
      <c r="N39" s="26" t="str">
        <f t="shared" si="2"/>
        <v/>
      </c>
      <c r="O39" s="26" t="str">
        <f t="shared" si="3"/>
        <v/>
      </c>
    </row>
    <row r="40" spans="12:15" x14ac:dyDescent="0.3">
      <c r="L40" s="140" t="s">
        <v>124</v>
      </c>
      <c r="M40" s="141"/>
      <c r="N40" s="142"/>
      <c r="O40" s="26">
        <f>SUM(O9:O39)</f>
        <v>0</v>
      </c>
    </row>
  </sheetData>
  <mergeCells count="3">
    <mergeCell ref="A1:F2"/>
    <mergeCell ref="L7:O7"/>
    <mergeCell ref="L40:N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98F2-56D7-48B6-BE33-3F5B9209159E}">
  <sheetPr codeName="Hoja4"/>
  <dimension ref="A1:G131"/>
  <sheetViews>
    <sheetView workbookViewId="0">
      <selection activeCell="D131" sqref="D131"/>
    </sheetView>
  </sheetViews>
  <sheetFormatPr baseColWidth="10" defaultColWidth="11.44140625" defaultRowHeight="14.4" x14ac:dyDescent="0.3"/>
  <cols>
    <col min="1" max="1" width="22.88671875" customWidth="1"/>
    <col min="3" max="3" width="34.44140625" customWidth="1"/>
    <col min="6" max="6" width="29.109375" customWidth="1"/>
    <col min="7" max="12" width="67.109375" customWidth="1"/>
    <col min="13" max="14" width="12.33203125" customWidth="1"/>
  </cols>
  <sheetData>
    <row r="1" spans="1:7" ht="15" thickBot="1" x14ac:dyDescent="0.35">
      <c r="A1" s="4" t="s">
        <v>183</v>
      </c>
      <c r="B1" s="5" t="s">
        <v>184</v>
      </c>
      <c r="C1" s="5" t="s">
        <v>185</v>
      </c>
      <c r="D1" s="5" t="s">
        <v>114</v>
      </c>
      <c r="E1" s="5" t="s">
        <v>186</v>
      </c>
      <c r="F1" s="6" t="s">
        <v>187</v>
      </c>
      <c r="G1" s="119" t="s">
        <v>786</v>
      </c>
    </row>
    <row r="2" spans="1:7" ht="15" thickBot="1" x14ac:dyDescent="0.35">
      <c r="A2" s="23" t="s">
        <v>16</v>
      </c>
      <c r="B2" s="24" t="s">
        <v>785</v>
      </c>
      <c r="C2" s="24" t="s">
        <v>189</v>
      </c>
      <c r="D2" s="24">
        <v>1.83</v>
      </c>
      <c r="E2" s="24">
        <v>6</v>
      </c>
      <c r="F2" s="7">
        <v>67953</v>
      </c>
    </row>
    <row r="3" spans="1:7" ht="15" thickBot="1" x14ac:dyDescent="0.35">
      <c r="A3" s="23" t="s">
        <v>16</v>
      </c>
      <c r="B3" s="3" t="s">
        <v>188</v>
      </c>
      <c r="C3" s="3" t="s">
        <v>189</v>
      </c>
      <c r="D3" s="3">
        <v>1.83</v>
      </c>
      <c r="E3" s="3">
        <v>9</v>
      </c>
      <c r="F3" s="8">
        <v>78108</v>
      </c>
    </row>
    <row r="4" spans="1:7" ht="15" thickBot="1" x14ac:dyDescent="0.35">
      <c r="A4" s="23" t="s">
        <v>16</v>
      </c>
      <c r="B4" s="3" t="s">
        <v>188</v>
      </c>
      <c r="C4" s="3" t="s">
        <v>189</v>
      </c>
      <c r="D4" s="3">
        <v>1.83</v>
      </c>
      <c r="E4" s="3">
        <v>12</v>
      </c>
      <c r="F4" s="8">
        <v>96567</v>
      </c>
    </row>
    <row r="5" spans="1:7" ht="15" thickBot="1" x14ac:dyDescent="0.35">
      <c r="A5" s="23" t="s">
        <v>16</v>
      </c>
      <c r="B5" s="3" t="s">
        <v>188</v>
      </c>
      <c r="C5" s="3" t="s">
        <v>189</v>
      </c>
      <c r="D5" s="3">
        <v>1.83</v>
      </c>
      <c r="E5" s="3">
        <v>15</v>
      </c>
      <c r="F5" s="8">
        <v>112773</v>
      </c>
    </row>
    <row r="6" spans="1:7" ht="15" thickBot="1" x14ac:dyDescent="0.35">
      <c r="A6" s="23" t="s">
        <v>16</v>
      </c>
      <c r="B6" s="3" t="s">
        <v>188</v>
      </c>
      <c r="C6" s="3" t="s">
        <v>189</v>
      </c>
      <c r="D6" s="3">
        <v>1.83</v>
      </c>
      <c r="E6" s="3">
        <v>18</v>
      </c>
      <c r="F6" s="8">
        <v>132689</v>
      </c>
    </row>
    <row r="7" spans="1:7" ht="15" thickBot="1" x14ac:dyDescent="0.35">
      <c r="A7" s="23" t="s">
        <v>16</v>
      </c>
      <c r="B7" s="3" t="s">
        <v>188</v>
      </c>
      <c r="C7" s="3" t="s">
        <v>189</v>
      </c>
      <c r="D7" s="3">
        <v>1.83</v>
      </c>
      <c r="E7" s="3">
        <v>25</v>
      </c>
      <c r="F7" s="8">
        <v>184018</v>
      </c>
    </row>
    <row r="8" spans="1:7" ht="15" thickBot="1" x14ac:dyDescent="0.35">
      <c r="A8" s="23" t="s">
        <v>16</v>
      </c>
      <c r="B8" s="3" t="s">
        <v>188</v>
      </c>
      <c r="C8" s="3" t="s">
        <v>189</v>
      </c>
      <c r="D8" s="3">
        <v>1.83</v>
      </c>
      <c r="E8" s="3">
        <v>30</v>
      </c>
      <c r="F8" s="8">
        <v>220934</v>
      </c>
    </row>
    <row r="9" spans="1:7" ht="15" thickBot="1" x14ac:dyDescent="0.35">
      <c r="A9" s="23" t="s">
        <v>16</v>
      </c>
      <c r="B9" s="3" t="s">
        <v>188</v>
      </c>
      <c r="C9" s="3" t="s">
        <v>189</v>
      </c>
      <c r="D9" s="3">
        <v>1.83</v>
      </c>
      <c r="E9" s="3">
        <v>36</v>
      </c>
      <c r="F9" s="8">
        <v>257394</v>
      </c>
    </row>
    <row r="10" spans="1:7" ht="15" thickBot="1" x14ac:dyDescent="0.35">
      <c r="A10" s="23" t="s">
        <v>190</v>
      </c>
      <c r="B10" s="3" t="s">
        <v>191</v>
      </c>
      <c r="C10" s="3" t="s">
        <v>189</v>
      </c>
      <c r="D10" s="3">
        <v>1.83</v>
      </c>
      <c r="E10" s="3">
        <v>6</v>
      </c>
      <c r="F10" s="8">
        <v>84263</v>
      </c>
    </row>
    <row r="11" spans="1:7" ht="15" thickBot="1" x14ac:dyDescent="0.35">
      <c r="A11" s="23" t="s">
        <v>190</v>
      </c>
      <c r="B11" s="3" t="s">
        <v>191</v>
      </c>
      <c r="C11" s="3" t="s">
        <v>189</v>
      </c>
      <c r="D11" s="3">
        <v>1.83</v>
      </c>
      <c r="E11" s="3">
        <v>9</v>
      </c>
      <c r="F11" s="8">
        <v>96817</v>
      </c>
    </row>
    <row r="12" spans="1:7" ht="15" thickBot="1" x14ac:dyDescent="0.35">
      <c r="A12" s="23" t="s">
        <v>190</v>
      </c>
      <c r="B12" s="3" t="s">
        <v>191</v>
      </c>
      <c r="C12" s="3" t="s">
        <v>189</v>
      </c>
      <c r="D12" s="3">
        <v>1.83</v>
      </c>
      <c r="E12" s="3">
        <v>12</v>
      </c>
      <c r="F12" s="8">
        <v>119658</v>
      </c>
    </row>
    <row r="13" spans="1:7" ht="15" thickBot="1" x14ac:dyDescent="0.35">
      <c r="A13" s="23" t="s">
        <v>190</v>
      </c>
      <c r="B13" s="3" t="s">
        <v>191</v>
      </c>
      <c r="C13" s="3" t="s">
        <v>189</v>
      </c>
      <c r="D13" s="3">
        <v>1.83</v>
      </c>
      <c r="E13" s="3">
        <v>15</v>
      </c>
      <c r="F13" s="8">
        <v>139792</v>
      </c>
    </row>
    <row r="14" spans="1:7" ht="15" thickBot="1" x14ac:dyDescent="0.35">
      <c r="A14" s="23" t="s">
        <v>190</v>
      </c>
      <c r="B14" s="3" t="s">
        <v>191</v>
      </c>
      <c r="C14" s="3" t="s">
        <v>189</v>
      </c>
      <c r="D14" s="3">
        <v>1.83</v>
      </c>
      <c r="E14" s="3">
        <v>18</v>
      </c>
      <c r="F14" s="8">
        <v>173380</v>
      </c>
    </row>
    <row r="15" spans="1:7" ht="15" thickBot="1" x14ac:dyDescent="0.35">
      <c r="A15" s="23" t="s">
        <v>190</v>
      </c>
      <c r="B15" s="3" t="s">
        <v>191</v>
      </c>
      <c r="C15" s="3" t="s">
        <v>189</v>
      </c>
      <c r="D15" s="3">
        <v>1.83</v>
      </c>
      <c r="E15" s="3">
        <v>25</v>
      </c>
      <c r="F15" s="8">
        <v>228004</v>
      </c>
    </row>
    <row r="16" spans="1:7" ht="15" thickBot="1" x14ac:dyDescent="0.35">
      <c r="A16" s="23" t="s">
        <v>190</v>
      </c>
      <c r="B16" s="3" t="s">
        <v>191</v>
      </c>
      <c r="C16" s="3" t="s">
        <v>189</v>
      </c>
      <c r="D16" s="3">
        <v>1.83</v>
      </c>
      <c r="E16" s="3">
        <v>30</v>
      </c>
      <c r="F16" s="8">
        <v>273590</v>
      </c>
    </row>
    <row r="17" spans="1:6" ht="15" thickBot="1" x14ac:dyDescent="0.35">
      <c r="A17" s="23" t="s">
        <v>190</v>
      </c>
      <c r="B17" s="9" t="s">
        <v>191</v>
      </c>
      <c r="C17" s="9" t="s">
        <v>189</v>
      </c>
      <c r="D17" s="9">
        <v>1.83</v>
      </c>
      <c r="E17" s="9">
        <v>36</v>
      </c>
      <c r="F17" s="10">
        <v>318827</v>
      </c>
    </row>
    <row r="18" spans="1:6" x14ac:dyDescent="0.3">
      <c r="A18" s="13" t="s">
        <v>192</v>
      </c>
      <c r="B18" s="14" t="s">
        <v>188</v>
      </c>
      <c r="C18" s="14" t="s">
        <v>193</v>
      </c>
      <c r="D18" s="14">
        <v>1.83</v>
      </c>
      <c r="E18" s="14">
        <v>6</v>
      </c>
      <c r="F18" s="15">
        <v>126272</v>
      </c>
    </row>
    <row r="19" spans="1:6" x14ac:dyDescent="0.3">
      <c r="A19" s="13" t="s">
        <v>192</v>
      </c>
      <c r="B19" s="3" t="s">
        <v>188</v>
      </c>
      <c r="C19" s="3" t="s">
        <v>193</v>
      </c>
      <c r="D19" s="3">
        <v>1.83</v>
      </c>
      <c r="E19" s="3">
        <v>9</v>
      </c>
      <c r="F19" s="8">
        <v>150861</v>
      </c>
    </row>
    <row r="20" spans="1:6" x14ac:dyDescent="0.3">
      <c r="A20" s="13" t="s">
        <v>192</v>
      </c>
      <c r="B20" s="3" t="s">
        <v>188</v>
      </c>
      <c r="C20" s="3" t="s">
        <v>193</v>
      </c>
      <c r="D20" s="3">
        <v>1.83</v>
      </c>
      <c r="E20" s="3">
        <v>12</v>
      </c>
      <c r="F20" s="8">
        <v>169635</v>
      </c>
    </row>
    <row r="21" spans="1:6" x14ac:dyDescent="0.3">
      <c r="A21" s="13" t="s">
        <v>192</v>
      </c>
      <c r="B21" s="3" t="s">
        <v>188</v>
      </c>
      <c r="C21" s="3" t="s">
        <v>193</v>
      </c>
      <c r="D21" s="3">
        <v>1.83</v>
      </c>
      <c r="E21" s="3">
        <v>15</v>
      </c>
      <c r="F21" s="8">
        <v>178311</v>
      </c>
    </row>
    <row r="22" spans="1:6" x14ac:dyDescent="0.3">
      <c r="A22" s="13" t="s">
        <v>192</v>
      </c>
      <c r="B22" s="3" t="s">
        <v>188</v>
      </c>
      <c r="C22" s="3" t="s">
        <v>193</v>
      </c>
      <c r="D22" s="3">
        <v>1.83</v>
      </c>
      <c r="E22" s="3">
        <v>18</v>
      </c>
      <c r="F22" s="8">
        <v>197322</v>
      </c>
    </row>
    <row r="23" spans="1:6" x14ac:dyDescent="0.3">
      <c r="A23" s="13" t="s">
        <v>192</v>
      </c>
      <c r="B23" s="3" t="s">
        <v>188</v>
      </c>
      <c r="C23" s="3" t="s">
        <v>193</v>
      </c>
      <c r="D23" s="3">
        <v>1.83</v>
      </c>
      <c r="E23" s="3">
        <v>25</v>
      </c>
      <c r="F23" s="8">
        <v>274534</v>
      </c>
    </row>
    <row r="24" spans="1:6" x14ac:dyDescent="0.3">
      <c r="A24" s="13" t="s">
        <v>192</v>
      </c>
      <c r="B24" s="3" t="s">
        <v>188</v>
      </c>
      <c r="C24" s="3" t="s">
        <v>193</v>
      </c>
      <c r="D24" s="3">
        <v>1.83</v>
      </c>
      <c r="E24" s="3">
        <v>30</v>
      </c>
      <c r="F24" s="8">
        <v>306044</v>
      </c>
    </row>
    <row r="25" spans="1:6" x14ac:dyDescent="0.3">
      <c r="A25" s="13" t="s">
        <v>192</v>
      </c>
      <c r="B25" s="3" t="s">
        <v>188</v>
      </c>
      <c r="C25" s="3" t="s">
        <v>193</v>
      </c>
      <c r="D25" s="3">
        <v>1.83</v>
      </c>
      <c r="E25" s="3">
        <v>36</v>
      </c>
      <c r="F25" s="8">
        <v>306392</v>
      </c>
    </row>
    <row r="26" spans="1:6" x14ac:dyDescent="0.3">
      <c r="A26" s="13" t="s">
        <v>194</v>
      </c>
      <c r="B26" s="3" t="s">
        <v>191</v>
      </c>
      <c r="C26" s="3" t="s">
        <v>193</v>
      </c>
      <c r="D26" s="3">
        <v>1.83</v>
      </c>
      <c r="E26" s="3">
        <v>6</v>
      </c>
      <c r="F26" s="8">
        <v>152506</v>
      </c>
    </row>
    <row r="27" spans="1:6" x14ac:dyDescent="0.3">
      <c r="A27" s="13" t="s">
        <v>194</v>
      </c>
      <c r="B27" s="3" t="s">
        <v>191</v>
      </c>
      <c r="C27" s="3" t="s">
        <v>193</v>
      </c>
      <c r="D27" s="3">
        <v>1.83</v>
      </c>
      <c r="E27" s="3">
        <v>9</v>
      </c>
      <c r="F27" s="8">
        <v>173728</v>
      </c>
    </row>
    <row r="28" spans="1:6" x14ac:dyDescent="0.3">
      <c r="A28" s="13" t="s">
        <v>194</v>
      </c>
      <c r="B28" s="3" t="s">
        <v>191</v>
      </c>
      <c r="C28" s="3" t="s">
        <v>193</v>
      </c>
      <c r="D28" s="3">
        <v>1.83</v>
      </c>
      <c r="E28" s="3">
        <v>12</v>
      </c>
      <c r="F28" s="8">
        <v>180102</v>
      </c>
    </row>
    <row r="29" spans="1:6" x14ac:dyDescent="0.3">
      <c r="A29" s="13" t="s">
        <v>194</v>
      </c>
      <c r="B29" s="3" t="s">
        <v>191</v>
      </c>
      <c r="C29" s="3" t="s">
        <v>193</v>
      </c>
      <c r="D29" s="3">
        <v>1.83</v>
      </c>
      <c r="E29" s="3">
        <v>15</v>
      </c>
      <c r="F29" s="8">
        <v>198711</v>
      </c>
    </row>
    <row r="30" spans="1:6" x14ac:dyDescent="0.3">
      <c r="A30" s="13" t="s">
        <v>194</v>
      </c>
      <c r="B30" s="3" t="s">
        <v>191</v>
      </c>
      <c r="C30" s="3" t="s">
        <v>193</v>
      </c>
      <c r="D30" s="3">
        <v>1.83</v>
      </c>
      <c r="E30" s="3">
        <v>18</v>
      </c>
      <c r="F30" s="8">
        <v>220308</v>
      </c>
    </row>
    <row r="31" spans="1:6" x14ac:dyDescent="0.3">
      <c r="A31" s="13" t="s">
        <v>194</v>
      </c>
      <c r="B31" s="3" t="s">
        <v>191</v>
      </c>
      <c r="C31" s="3" t="s">
        <v>193</v>
      </c>
      <c r="D31" s="3">
        <v>1.83</v>
      </c>
      <c r="E31" s="3">
        <v>25</v>
      </c>
      <c r="F31" s="8">
        <v>316175</v>
      </c>
    </row>
    <row r="32" spans="1:6" x14ac:dyDescent="0.3">
      <c r="A32" s="13" t="s">
        <v>194</v>
      </c>
      <c r="B32" s="3" t="s">
        <v>191</v>
      </c>
      <c r="C32" s="3" t="s">
        <v>193</v>
      </c>
      <c r="D32" s="3">
        <v>1.83</v>
      </c>
      <c r="E32" s="3">
        <v>30</v>
      </c>
      <c r="F32" s="8">
        <v>352354</v>
      </c>
    </row>
    <row r="33" spans="1:6" ht="15" thickBot="1" x14ac:dyDescent="0.35">
      <c r="A33" s="13" t="s">
        <v>194</v>
      </c>
      <c r="B33" s="9" t="s">
        <v>191</v>
      </c>
      <c r="C33" s="9" t="s">
        <v>193</v>
      </c>
      <c r="D33" s="9">
        <v>1.83</v>
      </c>
      <c r="E33" s="9">
        <v>36</v>
      </c>
      <c r="F33" s="10">
        <v>353038</v>
      </c>
    </row>
    <row r="34" spans="1:6" x14ac:dyDescent="0.3">
      <c r="A34" s="13" t="s">
        <v>195</v>
      </c>
      <c r="B34" s="14" t="s">
        <v>188</v>
      </c>
      <c r="C34" s="14" t="s">
        <v>196</v>
      </c>
      <c r="D34" s="14">
        <v>1.83</v>
      </c>
      <c r="E34" s="14">
        <v>6</v>
      </c>
      <c r="F34" s="15">
        <v>117801</v>
      </c>
    </row>
    <row r="35" spans="1:6" x14ac:dyDescent="0.3">
      <c r="A35" s="13" t="s">
        <v>195</v>
      </c>
      <c r="B35" s="3" t="s">
        <v>188</v>
      </c>
      <c r="C35" s="14" t="s">
        <v>196</v>
      </c>
      <c r="D35" s="3">
        <v>1.83</v>
      </c>
      <c r="E35" s="3">
        <v>9</v>
      </c>
      <c r="F35" s="8">
        <v>139932</v>
      </c>
    </row>
    <row r="36" spans="1:6" x14ac:dyDescent="0.3">
      <c r="A36" s="13" t="s">
        <v>195</v>
      </c>
      <c r="B36" s="3" t="s">
        <v>188</v>
      </c>
      <c r="C36" s="14" t="s">
        <v>196</v>
      </c>
      <c r="D36" s="3">
        <v>1.83</v>
      </c>
      <c r="E36" s="3">
        <v>12</v>
      </c>
      <c r="F36" s="8">
        <v>157343</v>
      </c>
    </row>
    <row r="37" spans="1:6" x14ac:dyDescent="0.3">
      <c r="A37" s="13" t="s">
        <v>195</v>
      </c>
      <c r="B37" s="3" t="s">
        <v>188</v>
      </c>
      <c r="C37" s="14" t="s">
        <v>196</v>
      </c>
      <c r="D37" s="3">
        <v>1.83</v>
      </c>
      <c r="E37" s="3">
        <v>15</v>
      </c>
      <c r="F37" s="8">
        <v>170499</v>
      </c>
    </row>
    <row r="38" spans="1:6" x14ac:dyDescent="0.3">
      <c r="A38" s="13" t="s">
        <v>195</v>
      </c>
      <c r="B38" s="3" t="s">
        <v>188</v>
      </c>
      <c r="C38" s="14" t="s">
        <v>196</v>
      </c>
      <c r="D38" s="3">
        <v>1.83</v>
      </c>
      <c r="E38" s="3">
        <v>18</v>
      </c>
      <c r="F38" s="8">
        <v>188679</v>
      </c>
    </row>
    <row r="39" spans="1:6" x14ac:dyDescent="0.3">
      <c r="A39" s="13" t="s">
        <v>195</v>
      </c>
      <c r="B39" s="3" t="s">
        <v>188</v>
      </c>
      <c r="C39" s="14" t="s">
        <v>196</v>
      </c>
      <c r="D39" s="3">
        <v>1.83</v>
      </c>
      <c r="E39" s="3">
        <v>25</v>
      </c>
      <c r="F39" s="8">
        <v>254638</v>
      </c>
    </row>
    <row r="40" spans="1:6" x14ac:dyDescent="0.3">
      <c r="A40" s="13" t="s">
        <v>195</v>
      </c>
      <c r="B40" s="3" t="s">
        <v>188</v>
      </c>
      <c r="C40" s="14" t="s">
        <v>196</v>
      </c>
      <c r="D40" s="3">
        <v>1.83</v>
      </c>
      <c r="E40" s="3">
        <v>30</v>
      </c>
      <c r="F40" s="8">
        <v>283862</v>
      </c>
    </row>
    <row r="41" spans="1:6" x14ac:dyDescent="0.3">
      <c r="A41" s="13" t="s">
        <v>195</v>
      </c>
      <c r="B41" s="3" t="s">
        <v>188</v>
      </c>
      <c r="C41" s="14" t="s">
        <v>196</v>
      </c>
      <c r="D41" s="3">
        <v>1.83</v>
      </c>
      <c r="E41" s="3">
        <v>36</v>
      </c>
      <c r="F41" s="8">
        <v>284188</v>
      </c>
    </row>
    <row r="42" spans="1:6" x14ac:dyDescent="0.3">
      <c r="A42" s="13" t="s">
        <v>197</v>
      </c>
      <c r="B42" s="3" t="s">
        <v>191</v>
      </c>
      <c r="C42" s="14" t="s">
        <v>196</v>
      </c>
      <c r="D42" s="3">
        <v>1.83</v>
      </c>
      <c r="E42" s="3">
        <v>6</v>
      </c>
      <c r="F42" s="8">
        <v>146813</v>
      </c>
    </row>
    <row r="43" spans="1:6" x14ac:dyDescent="0.3">
      <c r="A43" s="13" t="s">
        <v>197</v>
      </c>
      <c r="B43" s="3" t="s">
        <v>191</v>
      </c>
      <c r="C43" s="14" t="s">
        <v>196</v>
      </c>
      <c r="D43" s="3">
        <v>1.83</v>
      </c>
      <c r="E43" s="3">
        <v>9</v>
      </c>
      <c r="F43" s="8">
        <v>161142</v>
      </c>
    </row>
    <row r="44" spans="1:6" x14ac:dyDescent="0.3">
      <c r="A44" s="13" t="s">
        <v>197</v>
      </c>
      <c r="B44" s="3" t="s">
        <v>191</v>
      </c>
      <c r="C44" s="14" t="s">
        <v>196</v>
      </c>
      <c r="D44" s="3">
        <v>1.83</v>
      </c>
      <c r="E44" s="3">
        <v>12</v>
      </c>
      <c r="F44" s="8">
        <v>167045</v>
      </c>
    </row>
    <row r="45" spans="1:6" x14ac:dyDescent="0.3">
      <c r="A45" s="13" t="s">
        <v>197</v>
      </c>
      <c r="B45" s="3" t="s">
        <v>191</v>
      </c>
      <c r="C45" s="14" t="s">
        <v>196</v>
      </c>
      <c r="D45" s="3">
        <v>1.83</v>
      </c>
      <c r="E45" s="3">
        <v>15</v>
      </c>
      <c r="F45" s="8">
        <v>196081</v>
      </c>
    </row>
    <row r="46" spans="1:6" x14ac:dyDescent="0.3">
      <c r="A46" s="13" t="s">
        <v>197</v>
      </c>
      <c r="B46" s="3" t="s">
        <v>191</v>
      </c>
      <c r="C46" s="14" t="s">
        <v>196</v>
      </c>
      <c r="D46" s="3">
        <v>1.83</v>
      </c>
      <c r="E46" s="3">
        <v>18</v>
      </c>
      <c r="F46" s="8">
        <v>217390</v>
      </c>
    </row>
    <row r="47" spans="1:6" x14ac:dyDescent="0.3">
      <c r="A47" s="13" t="s">
        <v>197</v>
      </c>
      <c r="B47" s="3" t="s">
        <v>191</v>
      </c>
      <c r="C47" s="14" t="s">
        <v>196</v>
      </c>
      <c r="D47" s="3">
        <v>1.83</v>
      </c>
      <c r="E47" s="3">
        <v>25</v>
      </c>
      <c r="F47" s="8">
        <v>293258</v>
      </c>
    </row>
    <row r="48" spans="1:6" x14ac:dyDescent="0.3">
      <c r="A48" s="13" t="s">
        <v>197</v>
      </c>
      <c r="B48" s="3" t="s">
        <v>191</v>
      </c>
      <c r="C48" s="14" t="s">
        <v>196</v>
      </c>
      <c r="D48" s="3">
        <v>1.83</v>
      </c>
      <c r="E48" s="3">
        <v>30</v>
      </c>
      <c r="F48" s="8">
        <v>326815</v>
      </c>
    </row>
    <row r="49" spans="1:6" x14ac:dyDescent="0.3">
      <c r="A49" s="13" t="s">
        <v>197</v>
      </c>
      <c r="B49" s="25" t="s">
        <v>191</v>
      </c>
      <c r="C49" s="14" t="s">
        <v>196</v>
      </c>
      <c r="D49" s="25">
        <v>1.83</v>
      </c>
      <c r="E49" s="25">
        <v>36</v>
      </c>
      <c r="F49" s="11">
        <v>327446</v>
      </c>
    </row>
    <row r="50" spans="1:6" x14ac:dyDescent="0.3">
      <c r="A50" s="13" t="s">
        <v>198</v>
      </c>
      <c r="B50" s="14" t="s">
        <v>188</v>
      </c>
      <c r="C50" s="14" t="s">
        <v>196</v>
      </c>
      <c r="D50" s="14">
        <v>1.83</v>
      </c>
      <c r="E50" s="14">
        <v>6</v>
      </c>
      <c r="F50" s="15">
        <v>117801</v>
      </c>
    </row>
    <row r="51" spans="1:6" x14ac:dyDescent="0.3">
      <c r="A51" s="13" t="s">
        <v>198</v>
      </c>
      <c r="B51" s="3" t="s">
        <v>188</v>
      </c>
      <c r="C51" s="14" t="s">
        <v>196</v>
      </c>
      <c r="D51" s="3">
        <v>1.83</v>
      </c>
      <c r="E51" s="3">
        <v>9</v>
      </c>
      <c r="F51" s="8">
        <v>139932</v>
      </c>
    </row>
    <row r="52" spans="1:6" x14ac:dyDescent="0.3">
      <c r="A52" s="13" t="s">
        <v>198</v>
      </c>
      <c r="B52" s="3" t="s">
        <v>188</v>
      </c>
      <c r="C52" s="14" t="s">
        <v>196</v>
      </c>
      <c r="D52" s="3">
        <v>1.83</v>
      </c>
      <c r="E52" s="3">
        <v>12</v>
      </c>
      <c r="F52" s="8">
        <v>157343</v>
      </c>
    </row>
    <row r="53" spans="1:6" x14ac:dyDescent="0.3">
      <c r="A53" s="13" t="s">
        <v>198</v>
      </c>
      <c r="B53" s="3" t="s">
        <v>188</v>
      </c>
      <c r="C53" s="14" t="s">
        <v>196</v>
      </c>
      <c r="D53" s="3">
        <v>1.83</v>
      </c>
      <c r="E53" s="3">
        <v>15</v>
      </c>
      <c r="F53" s="8">
        <v>170499</v>
      </c>
    </row>
    <row r="54" spans="1:6" x14ac:dyDescent="0.3">
      <c r="A54" s="13" t="s">
        <v>198</v>
      </c>
      <c r="B54" s="3" t="s">
        <v>188</v>
      </c>
      <c r="C54" s="14" t="s">
        <v>196</v>
      </c>
      <c r="D54" s="3">
        <v>1.83</v>
      </c>
      <c r="E54" s="3">
        <v>18</v>
      </c>
      <c r="F54" s="8">
        <v>188679</v>
      </c>
    </row>
    <row r="55" spans="1:6" x14ac:dyDescent="0.3">
      <c r="A55" s="13" t="s">
        <v>198</v>
      </c>
      <c r="B55" s="3" t="s">
        <v>188</v>
      </c>
      <c r="C55" s="14" t="s">
        <v>196</v>
      </c>
      <c r="D55" s="3">
        <v>1.83</v>
      </c>
      <c r="E55" s="3">
        <v>25</v>
      </c>
      <c r="F55" s="8">
        <v>254638</v>
      </c>
    </row>
    <row r="56" spans="1:6" x14ac:dyDescent="0.3">
      <c r="A56" s="13" t="s">
        <v>198</v>
      </c>
      <c r="B56" s="3" t="s">
        <v>188</v>
      </c>
      <c r="C56" s="14" t="s">
        <v>196</v>
      </c>
      <c r="D56" s="3">
        <v>1.83</v>
      </c>
      <c r="E56" s="3">
        <v>30</v>
      </c>
      <c r="F56" s="8">
        <v>283862</v>
      </c>
    </row>
    <row r="57" spans="1:6" x14ac:dyDescent="0.3">
      <c r="A57" s="13" t="s">
        <v>198</v>
      </c>
      <c r="B57" s="3" t="s">
        <v>188</v>
      </c>
      <c r="C57" s="14" t="s">
        <v>196</v>
      </c>
      <c r="D57" s="3">
        <v>1.83</v>
      </c>
      <c r="E57" s="3">
        <v>36</v>
      </c>
      <c r="F57" s="8">
        <v>284188</v>
      </c>
    </row>
    <row r="58" spans="1:6" x14ac:dyDescent="0.3">
      <c r="A58" s="13" t="s">
        <v>199</v>
      </c>
      <c r="B58" s="3" t="s">
        <v>191</v>
      </c>
      <c r="C58" s="14" t="s">
        <v>196</v>
      </c>
      <c r="D58" s="3">
        <v>1.83</v>
      </c>
      <c r="E58" s="3">
        <v>6</v>
      </c>
      <c r="F58" s="8">
        <v>146813</v>
      </c>
    </row>
    <row r="59" spans="1:6" x14ac:dyDescent="0.3">
      <c r="A59" s="13" t="s">
        <v>199</v>
      </c>
      <c r="B59" s="3" t="s">
        <v>191</v>
      </c>
      <c r="C59" s="14" t="s">
        <v>196</v>
      </c>
      <c r="D59" s="3">
        <v>1.83</v>
      </c>
      <c r="E59" s="3">
        <v>9</v>
      </c>
      <c r="F59" s="8">
        <v>161142</v>
      </c>
    </row>
    <row r="60" spans="1:6" x14ac:dyDescent="0.3">
      <c r="A60" s="13" t="s">
        <v>199</v>
      </c>
      <c r="B60" s="3" t="s">
        <v>191</v>
      </c>
      <c r="C60" s="14" t="s">
        <v>196</v>
      </c>
      <c r="D60" s="3">
        <v>1.83</v>
      </c>
      <c r="E60" s="3">
        <v>12</v>
      </c>
      <c r="F60" s="8">
        <v>167045</v>
      </c>
    </row>
    <row r="61" spans="1:6" x14ac:dyDescent="0.3">
      <c r="A61" s="13" t="s">
        <v>199</v>
      </c>
      <c r="B61" s="3" t="s">
        <v>191</v>
      </c>
      <c r="C61" s="14" t="s">
        <v>196</v>
      </c>
      <c r="D61" s="3">
        <v>1.83</v>
      </c>
      <c r="E61" s="3">
        <v>15</v>
      </c>
      <c r="F61" s="8">
        <v>196081</v>
      </c>
    </row>
    <row r="62" spans="1:6" x14ac:dyDescent="0.3">
      <c r="A62" s="13" t="s">
        <v>199</v>
      </c>
      <c r="B62" s="3" t="s">
        <v>191</v>
      </c>
      <c r="C62" s="14" t="s">
        <v>196</v>
      </c>
      <c r="D62" s="3">
        <v>1.83</v>
      </c>
      <c r="E62" s="3">
        <v>18</v>
      </c>
      <c r="F62" s="8">
        <v>217390</v>
      </c>
    </row>
    <row r="63" spans="1:6" x14ac:dyDescent="0.3">
      <c r="A63" s="13" t="s">
        <v>199</v>
      </c>
      <c r="B63" s="3" t="s">
        <v>191</v>
      </c>
      <c r="C63" s="14" t="s">
        <v>196</v>
      </c>
      <c r="D63" s="3">
        <v>1.83</v>
      </c>
      <c r="E63" s="3">
        <v>25</v>
      </c>
      <c r="F63" s="8">
        <v>293258</v>
      </c>
    </row>
    <row r="64" spans="1:6" x14ac:dyDescent="0.3">
      <c r="A64" s="13" t="s">
        <v>199</v>
      </c>
      <c r="B64" s="3" t="s">
        <v>191</v>
      </c>
      <c r="C64" s="14" t="s">
        <v>196</v>
      </c>
      <c r="D64" s="3">
        <v>1.83</v>
      </c>
      <c r="E64" s="3">
        <v>30</v>
      </c>
      <c r="F64" s="8">
        <v>326815</v>
      </c>
    </row>
    <row r="65" spans="1:6" ht="15" thickBot="1" x14ac:dyDescent="0.35">
      <c r="A65" s="13" t="s">
        <v>199</v>
      </c>
      <c r="B65" s="25" t="s">
        <v>191</v>
      </c>
      <c r="C65" s="14" t="s">
        <v>196</v>
      </c>
      <c r="D65" s="25">
        <v>1.83</v>
      </c>
      <c r="E65" s="25">
        <v>36</v>
      </c>
      <c r="F65" s="11">
        <v>327446</v>
      </c>
    </row>
    <row r="66" spans="1:6" ht="15" thickBot="1" x14ac:dyDescent="0.35">
      <c r="A66" s="12" t="s">
        <v>200</v>
      </c>
      <c r="B66" s="24" t="s">
        <v>188</v>
      </c>
      <c r="C66" s="24" t="s">
        <v>201</v>
      </c>
      <c r="D66" s="24">
        <v>1.83</v>
      </c>
      <c r="E66" s="24">
        <v>6</v>
      </c>
      <c r="F66" s="7">
        <v>119432</v>
      </c>
    </row>
    <row r="67" spans="1:6" ht="15" thickBot="1" x14ac:dyDescent="0.35">
      <c r="A67" s="12" t="s">
        <v>200</v>
      </c>
      <c r="B67" s="3" t="s">
        <v>188</v>
      </c>
      <c r="C67" s="3" t="s">
        <v>201</v>
      </c>
      <c r="D67" s="3">
        <v>1.83</v>
      </c>
      <c r="E67" s="3">
        <v>9</v>
      </c>
      <c r="F67" s="8">
        <v>146677</v>
      </c>
    </row>
    <row r="68" spans="1:6" ht="15" thickBot="1" x14ac:dyDescent="0.35">
      <c r="A68" s="12" t="s">
        <v>200</v>
      </c>
      <c r="B68" s="3" t="s">
        <v>188</v>
      </c>
      <c r="C68" s="3" t="s">
        <v>201</v>
      </c>
      <c r="D68" s="3">
        <v>1.83</v>
      </c>
      <c r="E68" s="3">
        <v>12</v>
      </c>
      <c r="F68" s="8">
        <v>165192</v>
      </c>
    </row>
    <row r="69" spans="1:6" ht="15" thickBot="1" x14ac:dyDescent="0.35">
      <c r="A69" s="12" t="s">
        <v>200</v>
      </c>
      <c r="B69" s="3" t="s">
        <v>188</v>
      </c>
      <c r="C69" s="3" t="s">
        <v>201</v>
      </c>
      <c r="D69" s="3">
        <v>1.83</v>
      </c>
      <c r="E69" s="3">
        <v>15</v>
      </c>
      <c r="F69" s="8">
        <v>177677</v>
      </c>
    </row>
    <row r="70" spans="1:6" ht="15" thickBot="1" x14ac:dyDescent="0.35">
      <c r="A70" s="12" t="s">
        <v>200</v>
      </c>
      <c r="B70" s="3" t="s">
        <v>188</v>
      </c>
      <c r="C70" s="3" t="s">
        <v>201</v>
      </c>
      <c r="D70" s="3">
        <v>1.83</v>
      </c>
      <c r="E70" s="3">
        <v>18</v>
      </c>
      <c r="F70" s="8">
        <v>197966</v>
      </c>
    </row>
    <row r="71" spans="1:6" ht="15" thickBot="1" x14ac:dyDescent="0.35">
      <c r="A71" s="12" t="s">
        <v>200</v>
      </c>
      <c r="B71" s="3" t="s">
        <v>188</v>
      </c>
      <c r="C71" s="3" t="s">
        <v>201</v>
      </c>
      <c r="D71" s="3">
        <v>1.83</v>
      </c>
      <c r="E71" s="3">
        <v>25</v>
      </c>
      <c r="F71" s="8">
        <v>267320</v>
      </c>
    </row>
    <row r="72" spans="1:6" ht="15" thickBot="1" x14ac:dyDescent="0.35">
      <c r="A72" s="12" t="s">
        <v>200</v>
      </c>
      <c r="B72" s="3" t="s">
        <v>188</v>
      </c>
      <c r="C72" s="3" t="s">
        <v>201</v>
      </c>
      <c r="D72" s="3">
        <v>1.83</v>
      </c>
      <c r="E72" s="3">
        <v>30</v>
      </c>
      <c r="F72" s="8">
        <v>297784</v>
      </c>
    </row>
    <row r="73" spans="1:6" ht="15" thickBot="1" x14ac:dyDescent="0.35">
      <c r="A73" s="12" t="s">
        <v>200</v>
      </c>
      <c r="B73" s="3" t="s">
        <v>188</v>
      </c>
      <c r="C73" s="3" t="s">
        <v>201</v>
      </c>
      <c r="D73" s="3">
        <v>1.83</v>
      </c>
      <c r="E73" s="3">
        <v>36</v>
      </c>
      <c r="F73" s="8">
        <v>298320</v>
      </c>
    </row>
    <row r="74" spans="1:6" ht="15" thickBot="1" x14ac:dyDescent="0.35">
      <c r="A74" s="12" t="s">
        <v>202</v>
      </c>
      <c r="B74" s="9" t="s">
        <v>191</v>
      </c>
      <c r="C74" s="3" t="s">
        <v>201</v>
      </c>
      <c r="D74" s="3">
        <v>1.83</v>
      </c>
      <c r="E74" s="3">
        <v>6</v>
      </c>
      <c r="F74" s="8">
        <v>158348</v>
      </c>
    </row>
    <row r="75" spans="1:6" ht="15" thickBot="1" x14ac:dyDescent="0.35">
      <c r="A75" s="12" t="s">
        <v>202</v>
      </c>
      <c r="B75" s="9" t="s">
        <v>191</v>
      </c>
      <c r="C75" s="3" t="s">
        <v>201</v>
      </c>
      <c r="D75" s="3">
        <v>1.83</v>
      </c>
      <c r="E75" s="3">
        <v>9</v>
      </c>
      <c r="F75" s="8">
        <v>170405</v>
      </c>
    </row>
    <row r="76" spans="1:6" ht="15" thickBot="1" x14ac:dyDescent="0.35">
      <c r="A76" s="12" t="s">
        <v>202</v>
      </c>
      <c r="B76" s="9" t="s">
        <v>191</v>
      </c>
      <c r="C76" s="3" t="s">
        <v>201</v>
      </c>
      <c r="D76" s="3">
        <v>1.83</v>
      </c>
      <c r="E76" s="3">
        <v>12</v>
      </c>
      <c r="F76" s="8">
        <v>176745</v>
      </c>
    </row>
    <row r="77" spans="1:6" ht="15" thickBot="1" x14ac:dyDescent="0.35">
      <c r="A77" s="12" t="s">
        <v>202</v>
      </c>
      <c r="B77" s="9" t="s">
        <v>191</v>
      </c>
      <c r="C77" s="3" t="s">
        <v>201</v>
      </c>
      <c r="D77" s="3">
        <v>1.83</v>
      </c>
      <c r="E77" s="3">
        <v>15</v>
      </c>
      <c r="F77" s="8">
        <v>206322</v>
      </c>
    </row>
    <row r="78" spans="1:6" ht="15" thickBot="1" x14ac:dyDescent="0.35">
      <c r="A78" s="12" t="s">
        <v>202</v>
      </c>
      <c r="B78" s="9" t="s">
        <v>191</v>
      </c>
      <c r="C78" s="3" t="s">
        <v>201</v>
      </c>
      <c r="D78" s="3">
        <v>1.83</v>
      </c>
      <c r="E78" s="3">
        <v>18</v>
      </c>
      <c r="F78" s="8">
        <v>229909</v>
      </c>
    </row>
    <row r="79" spans="1:6" ht="15" thickBot="1" x14ac:dyDescent="0.35">
      <c r="A79" s="12" t="s">
        <v>202</v>
      </c>
      <c r="B79" s="9" t="s">
        <v>191</v>
      </c>
      <c r="C79" s="3" t="s">
        <v>201</v>
      </c>
      <c r="D79" s="3">
        <v>1.83</v>
      </c>
      <c r="E79" s="3">
        <v>25</v>
      </c>
      <c r="F79" s="8">
        <v>310425</v>
      </c>
    </row>
    <row r="80" spans="1:6" ht="15" thickBot="1" x14ac:dyDescent="0.35">
      <c r="A80" s="12" t="s">
        <v>202</v>
      </c>
      <c r="B80" s="9" t="s">
        <v>191</v>
      </c>
      <c r="C80" s="3" t="s">
        <v>201</v>
      </c>
      <c r="D80" s="3">
        <v>1.83</v>
      </c>
      <c r="E80" s="3">
        <v>30</v>
      </c>
      <c r="F80" s="8">
        <v>345901</v>
      </c>
    </row>
    <row r="81" spans="1:6" ht="15" thickBot="1" x14ac:dyDescent="0.35">
      <c r="A81" s="12" t="s">
        <v>202</v>
      </c>
      <c r="B81" s="9" t="s">
        <v>191</v>
      </c>
      <c r="C81" s="9" t="s">
        <v>201</v>
      </c>
      <c r="D81" s="9">
        <v>1.83</v>
      </c>
      <c r="E81" s="9">
        <v>36</v>
      </c>
      <c r="F81" s="10">
        <v>346526</v>
      </c>
    </row>
    <row r="82" spans="1:6" ht="15" thickBot="1" x14ac:dyDescent="0.35">
      <c r="A82" s="12" t="s">
        <v>203</v>
      </c>
      <c r="B82" s="24" t="s">
        <v>188</v>
      </c>
      <c r="C82" s="24" t="s">
        <v>201</v>
      </c>
      <c r="D82" s="24">
        <v>1.83</v>
      </c>
      <c r="E82" s="24">
        <v>6</v>
      </c>
      <c r="F82" s="7">
        <v>119432</v>
      </c>
    </row>
    <row r="83" spans="1:6" ht="15" thickBot="1" x14ac:dyDescent="0.35">
      <c r="A83" s="12" t="s">
        <v>203</v>
      </c>
      <c r="B83" s="3" t="s">
        <v>188</v>
      </c>
      <c r="C83" s="3" t="s">
        <v>201</v>
      </c>
      <c r="D83" s="3">
        <v>1.83</v>
      </c>
      <c r="E83" s="3">
        <v>9</v>
      </c>
      <c r="F83" s="8">
        <v>146677</v>
      </c>
    </row>
    <row r="84" spans="1:6" ht="15" thickBot="1" x14ac:dyDescent="0.35">
      <c r="A84" s="12" t="s">
        <v>203</v>
      </c>
      <c r="B84" s="3" t="s">
        <v>188</v>
      </c>
      <c r="C84" s="3" t="s">
        <v>201</v>
      </c>
      <c r="D84" s="3">
        <v>1.83</v>
      </c>
      <c r="E84" s="3">
        <v>12</v>
      </c>
      <c r="F84" s="8">
        <v>165192</v>
      </c>
    </row>
    <row r="85" spans="1:6" ht="15" thickBot="1" x14ac:dyDescent="0.35">
      <c r="A85" s="12" t="s">
        <v>203</v>
      </c>
      <c r="B85" s="3" t="s">
        <v>188</v>
      </c>
      <c r="C85" s="3" t="s">
        <v>201</v>
      </c>
      <c r="D85" s="3">
        <v>1.83</v>
      </c>
      <c r="E85" s="3">
        <v>15</v>
      </c>
      <c r="F85" s="8">
        <v>177677</v>
      </c>
    </row>
    <row r="86" spans="1:6" ht="15" thickBot="1" x14ac:dyDescent="0.35">
      <c r="A86" s="12" t="s">
        <v>203</v>
      </c>
      <c r="B86" s="3" t="s">
        <v>188</v>
      </c>
      <c r="C86" s="3" t="s">
        <v>201</v>
      </c>
      <c r="D86" s="3">
        <v>1.83</v>
      </c>
      <c r="E86" s="3">
        <v>18</v>
      </c>
      <c r="F86" s="8">
        <v>197966</v>
      </c>
    </row>
    <row r="87" spans="1:6" ht="15" thickBot="1" x14ac:dyDescent="0.35">
      <c r="A87" s="12" t="s">
        <v>203</v>
      </c>
      <c r="B87" s="3" t="s">
        <v>188</v>
      </c>
      <c r="C87" s="3" t="s">
        <v>201</v>
      </c>
      <c r="D87" s="3">
        <v>1.83</v>
      </c>
      <c r="E87" s="3">
        <v>25</v>
      </c>
      <c r="F87" s="8">
        <v>267320</v>
      </c>
    </row>
    <row r="88" spans="1:6" ht="15" thickBot="1" x14ac:dyDescent="0.35">
      <c r="A88" s="12" t="s">
        <v>203</v>
      </c>
      <c r="B88" s="3" t="s">
        <v>188</v>
      </c>
      <c r="C88" s="3" t="s">
        <v>201</v>
      </c>
      <c r="D88" s="3">
        <v>1.83</v>
      </c>
      <c r="E88" s="3">
        <v>30</v>
      </c>
      <c r="F88" s="8">
        <v>297784</v>
      </c>
    </row>
    <row r="89" spans="1:6" ht="15" thickBot="1" x14ac:dyDescent="0.35">
      <c r="A89" s="12" t="s">
        <v>203</v>
      </c>
      <c r="B89" s="3" t="s">
        <v>188</v>
      </c>
      <c r="C89" s="3" t="s">
        <v>201</v>
      </c>
      <c r="D89" s="3">
        <v>1.83</v>
      </c>
      <c r="E89" s="3">
        <v>36</v>
      </c>
      <c r="F89" s="8">
        <v>298320</v>
      </c>
    </row>
    <row r="90" spans="1:6" ht="15" thickBot="1" x14ac:dyDescent="0.35">
      <c r="A90" s="12" t="s">
        <v>204</v>
      </c>
      <c r="B90" s="3" t="s">
        <v>191</v>
      </c>
      <c r="C90" s="3" t="s">
        <v>201</v>
      </c>
      <c r="D90" s="3">
        <v>1.83</v>
      </c>
      <c r="E90" s="3">
        <v>6</v>
      </c>
      <c r="F90" s="8">
        <v>158348</v>
      </c>
    </row>
    <row r="91" spans="1:6" ht="15" thickBot="1" x14ac:dyDescent="0.35">
      <c r="A91" s="12" t="s">
        <v>204</v>
      </c>
      <c r="B91" s="3" t="s">
        <v>191</v>
      </c>
      <c r="C91" s="3" t="s">
        <v>201</v>
      </c>
      <c r="D91" s="3">
        <v>1.83</v>
      </c>
      <c r="E91" s="3">
        <v>9</v>
      </c>
      <c r="F91" s="8">
        <v>170405</v>
      </c>
    </row>
    <row r="92" spans="1:6" ht="15" thickBot="1" x14ac:dyDescent="0.35">
      <c r="A92" s="12" t="s">
        <v>204</v>
      </c>
      <c r="B92" s="3" t="s">
        <v>191</v>
      </c>
      <c r="C92" s="3" t="s">
        <v>201</v>
      </c>
      <c r="D92" s="3">
        <v>1.83</v>
      </c>
      <c r="E92" s="3">
        <v>12</v>
      </c>
      <c r="F92" s="8">
        <v>176745</v>
      </c>
    </row>
    <row r="93" spans="1:6" ht="15" thickBot="1" x14ac:dyDescent="0.35">
      <c r="A93" s="12" t="s">
        <v>204</v>
      </c>
      <c r="B93" s="3" t="s">
        <v>191</v>
      </c>
      <c r="C93" s="3" t="s">
        <v>201</v>
      </c>
      <c r="D93" s="3">
        <v>1.83</v>
      </c>
      <c r="E93" s="3">
        <v>15</v>
      </c>
      <c r="F93" s="8">
        <v>206322</v>
      </c>
    </row>
    <row r="94" spans="1:6" ht="15" thickBot="1" x14ac:dyDescent="0.35">
      <c r="A94" s="12" t="s">
        <v>204</v>
      </c>
      <c r="B94" s="3" t="s">
        <v>191</v>
      </c>
      <c r="C94" s="3" t="s">
        <v>201</v>
      </c>
      <c r="D94" s="3">
        <v>1.83</v>
      </c>
      <c r="E94" s="3">
        <v>18</v>
      </c>
      <c r="F94" s="8">
        <v>229909</v>
      </c>
    </row>
    <row r="95" spans="1:6" ht="15" thickBot="1" x14ac:dyDescent="0.35">
      <c r="A95" s="12" t="s">
        <v>204</v>
      </c>
      <c r="B95" s="3" t="s">
        <v>191</v>
      </c>
      <c r="C95" s="3" t="s">
        <v>201</v>
      </c>
      <c r="D95" s="3">
        <v>1.83</v>
      </c>
      <c r="E95" s="3">
        <v>25</v>
      </c>
      <c r="F95" s="8">
        <v>310425</v>
      </c>
    </row>
    <row r="96" spans="1:6" ht="15" thickBot="1" x14ac:dyDescent="0.35">
      <c r="A96" s="12" t="s">
        <v>204</v>
      </c>
      <c r="B96" s="3" t="s">
        <v>191</v>
      </c>
      <c r="C96" s="3" t="s">
        <v>201</v>
      </c>
      <c r="D96" s="3">
        <v>1.83</v>
      </c>
      <c r="E96" s="3">
        <v>30</v>
      </c>
      <c r="F96" s="8">
        <v>345901</v>
      </c>
    </row>
    <row r="97" spans="1:6" ht="15" thickBot="1" x14ac:dyDescent="0.35">
      <c r="A97" s="12" t="s">
        <v>204</v>
      </c>
      <c r="B97" s="9" t="s">
        <v>191</v>
      </c>
      <c r="C97" s="9" t="s">
        <v>201</v>
      </c>
      <c r="D97" s="9">
        <v>1.83</v>
      </c>
      <c r="E97" s="9">
        <v>36</v>
      </c>
      <c r="F97" s="10">
        <v>346526</v>
      </c>
    </row>
    <row r="98" spans="1:6" x14ac:dyDescent="0.3">
      <c r="A98" s="13" t="s">
        <v>205</v>
      </c>
      <c r="B98" s="14" t="s">
        <v>188</v>
      </c>
      <c r="C98" s="14" t="s">
        <v>201</v>
      </c>
      <c r="D98" s="14">
        <v>1.83</v>
      </c>
      <c r="E98" s="14">
        <v>9</v>
      </c>
      <c r="F98" s="15">
        <v>115097</v>
      </c>
    </row>
    <row r="99" spans="1:6" x14ac:dyDescent="0.3">
      <c r="A99" s="13" t="s">
        <v>205</v>
      </c>
      <c r="B99" s="3" t="s">
        <v>188</v>
      </c>
      <c r="C99" s="3" t="s">
        <v>201</v>
      </c>
      <c r="D99" s="3">
        <v>1.83</v>
      </c>
      <c r="E99" s="3">
        <v>12</v>
      </c>
      <c r="F99" s="8">
        <v>153463</v>
      </c>
    </row>
    <row r="100" spans="1:6" x14ac:dyDescent="0.3">
      <c r="A100" s="13" t="s">
        <v>205</v>
      </c>
      <c r="B100" s="3" t="s">
        <v>188</v>
      </c>
      <c r="C100" s="3" t="s">
        <v>201</v>
      </c>
      <c r="D100" s="3">
        <v>1.83</v>
      </c>
      <c r="E100" s="3">
        <v>15</v>
      </c>
      <c r="F100" s="8">
        <v>191829</v>
      </c>
    </row>
    <row r="101" spans="1:6" x14ac:dyDescent="0.3">
      <c r="A101" s="13" t="s">
        <v>205</v>
      </c>
      <c r="B101" s="3" t="s">
        <v>188</v>
      </c>
      <c r="C101" s="3" t="s">
        <v>201</v>
      </c>
      <c r="D101" s="3">
        <v>1.83</v>
      </c>
      <c r="E101" s="3">
        <v>18</v>
      </c>
      <c r="F101" s="8">
        <v>230194</v>
      </c>
    </row>
    <row r="102" spans="1:6" x14ac:dyDescent="0.3">
      <c r="A102" s="13" t="s">
        <v>205</v>
      </c>
      <c r="B102" s="3" t="s">
        <v>188</v>
      </c>
      <c r="C102" s="3" t="s">
        <v>201</v>
      </c>
      <c r="D102" s="3">
        <v>1.83</v>
      </c>
      <c r="E102" s="3">
        <v>25</v>
      </c>
      <c r="F102" s="8">
        <v>319715</v>
      </c>
    </row>
    <row r="103" spans="1:6" x14ac:dyDescent="0.3">
      <c r="A103" s="13" t="s">
        <v>205</v>
      </c>
      <c r="B103" s="3" t="s">
        <v>188</v>
      </c>
      <c r="C103" s="3" t="s">
        <v>201</v>
      </c>
      <c r="D103" s="3">
        <v>1.83</v>
      </c>
      <c r="E103" s="3">
        <v>30</v>
      </c>
      <c r="F103" s="8">
        <v>383657</v>
      </c>
    </row>
    <row r="104" spans="1:6" x14ac:dyDescent="0.3">
      <c r="A104" s="13" t="s">
        <v>205</v>
      </c>
      <c r="B104" s="3" t="s">
        <v>188</v>
      </c>
      <c r="C104" s="3" t="s">
        <v>201</v>
      </c>
      <c r="D104" s="3">
        <v>1.83</v>
      </c>
      <c r="E104" s="3">
        <v>36</v>
      </c>
      <c r="F104" s="8">
        <v>460389</v>
      </c>
    </row>
    <row r="105" spans="1:6" x14ac:dyDescent="0.3">
      <c r="A105" s="13" t="s">
        <v>206</v>
      </c>
      <c r="B105" s="3" t="s">
        <v>191</v>
      </c>
      <c r="C105" s="3" t="s">
        <v>201</v>
      </c>
      <c r="D105" s="3">
        <v>1.83</v>
      </c>
      <c r="E105" s="3">
        <v>9</v>
      </c>
      <c r="F105" s="8">
        <v>125948</v>
      </c>
    </row>
    <row r="106" spans="1:6" x14ac:dyDescent="0.3">
      <c r="A106" s="13" t="s">
        <v>206</v>
      </c>
      <c r="B106" s="3" t="s">
        <v>191</v>
      </c>
      <c r="C106" s="3" t="s">
        <v>201</v>
      </c>
      <c r="D106" s="3">
        <v>1.83</v>
      </c>
      <c r="E106" s="3">
        <v>12</v>
      </c>
      <c r="F106" s="8">
        <v>167931</v>
      </c>
    </row>
    <row r="107" spans="1:6" x14ac:dyDescent="0.3">
      <c r="A107" s="13" t="s">
        <v>206</v>
      </c>
      <c r="B107" s="3" t="s">
        <v>191</v>
      </c>
      <c r="C107" s="3" t="s">
        <v>201</v>
      </c>
      <c r="D107" s="3">
        <v>1.83</v>
      </c>
      <c r="E107" s="3">
        <v>15</v>
      </c>
      <c r="F107" s="8">
        <v>209914</v>
      </c>
    </row>
    <row r="108" spans="1:6" x14ac:dyDescent="0.3">
      <c r="A108" s="13" t="s">
        <v>206</v>
      </c>
      <c r="B108" s="3" t="s">
        <v>191</v>
      </c>
      <c r="C108" s="3" t="s">
        <v>201</v>
      </c>
      <c r="D108" s="3">
        <v>1.83</v>
      </c>
      <c r="E108" s="3">
        <v>18</v>
      </c>
      <c r="F108" s="8">
        <v>251896</v>
      </c>
    </row>
    <row r="109" spans="1:6" x14ac:dyDescent="0.3">
      <c r="A109" s="13" t="s">
        <v>206</v>
      </c>
      <c r="B109" s="3" t="s">
        <v>191</v>
      </c>
      <c r="C109" s="3" t="s">
        <v>201</v>
      </c>
      <c r="D109" s="3">
        <v>1.83</v>
      </c>
      <c r="E109" s="3">
        <v>25</v>
      </c>
      <c r="F109" s="8">
        <v>349856</v>
      </c>
    </row>
    <row r="110" spans="1:6" x14ac:dyDescent="0.3">
      <c r="A110" s="13" t="s">
        <v>206</v>
      </c>
      <c r="B110" s="3" t="s">
        <v>191</v>
      </c>
      <c r="C110" s="3" t="s">
        <v>201</v>
      </c>
      <c r="D110" s="3">
        <v>1.83</v>
      </c>
      <c r="E110" s="3">
        <v>30</v>
      </c>
      <c r="F110" s="8">
        <v>419827</v>
      </c>
    </row>
    <row r="111" spans="1:6" ht="15" thickBot="1" x14ac:dyDescent="0.35">
      <c r="A111" s="13" t="s">
        <v>206</v>
      </c>
      <c r="B111" s="9" t="s">
        <v>191</v>
      </c>
      <c r="C111" s="9" t="s">
        <v>201</v>
      </c>
      <c r="D111" s="9">
        <v>1.83</v>
      </c>
      <c r="E111" s="9">
        <v>36</v>
      </c>
      <c r="F111" s="10">
        <v>503793</v>
      </c>
    </row>
    <row r="112" spans="1:6" x14ac:dyDescent="0.3">
      <c r="A112" s="13" t="s">
        <v>206</v>
      </c>
      <c r="B112" s="14" t="s">
        <v>191</v>
      </c>
      <c r="C112" s="14" t="s">
        <v>201</v>
      </c>
      <c r="D112" s="14">
        <v>1.83</v>
      </c>
      <c r="E112" s="14">
        <v>15</v>
      </c>
      <c r="F112" s="15">
        <v>259014</v>
      </c>
    </row>
    <row r="113" spans="1:6" ht="15" thickBot="1" x14ac:dyDescent="0.35">
      <c r="A113" s="13" t="s">
        <v>206</v>
      </c>
      <c r="B113" s="9" t="s">
        <v>191</v>
      </c>
      <c r="C113" s="9" t="s">
        <v>201</v>
      </c>
      <c r="D113" s="9">
        <v>1.83</v>
      </c>
      <c r="E113" s="9">
        <v>18</v>
      </c>
      <c r="F113" s="10">
        <v>270808</v>
      </c>
    </row>
    <row r="114" spans="1:6" x14ac:dyDescent="0.3">
      <c r="A114" s="13" t="s">
        <v>206</v>
      </c>
      <c r="B114" s="14" t="s">
        <v>191</v>
      </c>
      <c r="C114" s="14" t="s">
        <v>193</v>
      </c>
      <c r="D114" s="14">
        <v>1.83</v>
      </c>
      <c r="E114" s="14">
        <v>9</v>
      </c>
      <c r="F114" s="15">
        <v>83894</v>
      </c>
    </row>
    <row r="115" spans="1:6" x14ac:dyDescent="0.3">
      <c r="A115" s="13" t="s">
        <v>206</v>
      </c>
      <c r="B115" s="3" t="s">
        <v>191</v>
      </c>
      <c r="C115" s="3" t="s">
        <v>193</v>
      </c>
      <c r="D115" s="3">
        <v>1.83</v>
      </c>
      <c r="E115" s="3">
        <v>0</v>
      </c>
      <c r="F115" s="8">
        <v>109799</v>
      </c>
    </row>
    <row r="116" spans="1:6" x14ac:dyDescent="0.3">
      <c r="A116" s="13" t="s">
        <v>206</v>
      </c>
      <c r="B116" s="3" t="s">
        <v>191</v>
      </c>
      <c r="C116" s="3" t="s">
        <v>193</v>
      </c>
      <c r="D116" s="3">
        <v>1.83</v>
      </c>
      <c r="E116" s="3">
        <v>15</v>
      </c>
      <c r="F116" s="8">
        <v>122524</v>
      </c>
    </row>
    <row r="117" spans="1:6" x14ac:dyDescent="0.3">
      <c r="A117" s="13" t="s">
        <v>206</v>
      </c>
      <c r="B117" s="25" t="s">
        <v>191</v>
      </c>
      <c r="C117" s="25" t="s">
        <v>193</v>
      </c>
      <c r="D117" s="25">
        <v>1.83</v>
      </c>
      <c r="E117" s="25">
        <v>18</v>
      </c>
      <c r="F117" s="11">
        <v>153514</v>
      </c>
    </row>
    <row r="118" spans="1:6" x14ac:dyDescent="0.3">
      <c r="A118" s="13" t="s">
        <v>206</v>
      </c>
      <c r="B118" s="3" t="s">
        <v>191</v>
      </c>
      <c r="C118" s="3" t="s">
        <v>193</v>
      </c>
      <c r="D118" s="3">
        <v>1.83</v>
      </c>
      <c r="E118" s="3">
        <v>12</v>
      </c>
      <c r="F118" s="8">
        <v>109799</v>
      </c>
    </row>
    <row r="119" spans="1:6" x14ac:dyDescent="0.3">
      <c r="A119" s="13" t="s">
        <v>206</v>
      </c>
      <c r="B119" s="3" t="s">
        <v>191</v>
      </c>
      <c r="C119" s="3" t="s">
        <v>193</v>
      </c>
      <c r="D119" s="3">
        <v>1.83</v>
      </c>
      <c r="E119" s="3">
        <v>15</v>
      </c>
      <c r="F119" s="8">
        <v>122524</v>
      </c>
    </row>
    <row r="120" spans="1:6" ht="15" thickBot="1" x14ac:dyDescent="0.35">
      <c r="A120" s="13" t="s">
        <v>206</v>
      </c>
      <c r="B120" s="25" t="s">
        <v>191</v>
      </c>
      <c r="C120" s="25" t="s">
        <v>193</v>
      </c>
      <c r="D120" s="25">
        <v>1.83</v>
      </c>
      <c r="E120" s="25">
        <v>18</v>
      </c>
      <c r="F120" s="11">
        <v>153514</v>
      </c>
    </row>
    <row r="121" spans="1:6" ht="15" thickBot="1" x14ac:dyDescent="0.35">
      <c r="A121" s="12" t="s">
        <v>207</v>
      </c>
      <c r="B121" s="24" t="s">
        <v>188</v>
      </c>
      <c r="C121" s="24" t="s">
        <v>208</v>
      </c>
      <c r="D121" s="24">
        <v>1.83</v>
      </c>
      <c r="E121" s="24">
        <v>4</v>
      </c>
      <c r="F121" s="7">
        <v>60000</v>
      </c>
    </row>
    <row r="122" spans="1:6" ht="15" thickBot="1" x14ac:dyDescent="0.35">
      <c r="A122" s="12" t="s">
        <v>209</v>
      </c>
      <c r="B122" s="3" t="s">
        <v>188</v>
      </c>
      <c r="C122" s="3" t="s">
        <v>208</v>
      </c>
      <c r="D122" s="3">
        <v>1.83</v>
      </c>
      <c r="E122" s="3">
        <v>5.5</v>
      </c>
      <c r="F122" s="8">
        <v>68000</v>
      </c>
    </row>
    <row r="123" spans="1:6" ht="15" thickBot="1" x14ac:dyDescent="0.35">
      <c r="A123" s="12" t="s">
        <v>209</v>
      </c>
      <c r="B123" s="3" t="s">
        <v>188</v>
      </c>
      <c r="C123" s="3" t="s">
        <v>208</v>
      </c>
      <c r="D123" s="3">
        <v>1.83</v>
      </c>
      <c r="E123" s="3">
        <v>9</v>
      </c>
      <c r="F123" s="8">
        <v>87000</v>
      </c>
    </row>
    <row r="124" spans="1:6" ht="15" thickBot="1" x14ac:dyDescent="0.35">
      <c r="A124" s="12" t="s">
        <v>209</v>
      </c>
      <c r="B124" s="3" t="s">
        <v>188</v>
      </c>
      <c r="C124" s="3" t="s">
        <v>208</v>
      </c>
      <c r="D124" s="3">
        <v>1.83</v>
      </c>
      <c r="E124" s="3">
        <v>12</v>
      </c>
      <c r="F124" s="8">
        <v>120000</v>
      </c>
    </row>
    <row r="125" spans="1:6" ht="15" thickBot="1" x14ac:dyDescent="0.35">
      <c r="A125" s="12" t="s">
        <v>209</v>
      </c>
      <c r="B125" s="3" t="s">
        <v>188</v>
      </c>
      <c r="C125" s="3" t="s">
        <v>208</v>
      </c>
      <c r="D125" s="3">
        <v>1.83</v>
      </c>
      <c r="E125" s="3">
        <v>15</v>
      </c>
      <c r="F125" s="8">
        <v>150000</v>
      </c>
    </row>
    <row r="126" spans="1:6" ht="15" thickBot="1" x14ac:dyDescent="0.35">
      <c r="A126" s="12" t="s">
        <v>209</v>
      </c>
      <c r="B126" s="3" t="s">
        <v>188</v>
      </c>
      <c r="C126" s="3" t="s">
        <v>208</v>
      </c>
      <c r="D126" s="3">
        <v>1.83</v>
      </c>
      <c r="E126" s="3">
        <v>18</v>
      </c>
      <c r="F126" s="8">
        <v>185000</v>
      </c>
    </row>
    <row r="127" spans="1:6" ht="15" thickBot="1" x14ac:dyDescent="0.35">
      <c r="A127" s="12" t="s">
        <v>41</v>
      </c>
      <c r="B127" s="3" t="s">
        <v>191</v>
      </c>
      <c r="C127" s="3" t="s">
        <v>208</v>
      </c>
      <c r="D127" s="3">
        <v>1.83</v>
      </c>
      <c r="E127" s="3">
        <v>5.5</v>
      </c>
      <c r="F127" s="8">
        <v>128500</v>
      </c>
    </row>
    <row r="128" spans="1:6" ht="15" thickBot="1" x14ac:dyDescent="0.35">
      <c r="A128" s="12" t="s">
        <v>41</v>
      </c>
      <c r="B128" s="3" t="s">
        <v>191</v>
      </c>
      <c r="C128" s="3" t="s">
        <v>208</v>
      </c>
      <c r="D128" s="3">
        <v>1.83</v>
      </c>
      <c r="E128" s="3">
        <v>9</v>
      </c>
      <c r="F128" s="8">
        <v>126207</v>
      </c>
    </row>
    <row r="129" spans="1:6" ht="15" thickBot="1" x14ac:dyDescent="0.35">
      <c r="A129" s="12" t="s">
        <v>41</v>
      </c>
      <c r="B129" s="3" t="s">
        <v>191</v>
      </c>
      <c r="C129" s="3" t="s">
        <v>208</v>
      </c>
      <c r="D129" s="3">
        <v>1.83</v>
      </c>
      <c r="E129" s="3">
        <v>12</v>
      </c>
      <c r="F129" s="8">
        <v>176310</v>
      </c>
    </row>
    <row r="130" spans="1:6" ht="15" thickBot="1" x14ac:dyDescent="0.35">
      <c r="A130" s="12" t="s">
        <v>41</v>
      </c>
      <c r="B130" s="3" t="s">
        <v>191</v>
      </c>
      <c r="C130" s="3" t="s">
        <v>208</v>
      </c>
      <c r="D130" s="3">
        <v>1.83</v>
      </c>
      <c r="E130" s="3">
        <v>15</v>
      </c>
      <c r="F130" s="8">
        <v>213444</v>
      </c>
    </row>
    <row r="131" spans="1:6" ht="15" thickBot="1" x14ac:dyDescent="0.35">
      <c r="A131" s="12" t="s">
        <v>41</v>
      </c>
      <c r="B131" s="9" t="s">
        <v>191</v>
      </c>
      <c r="C131" s="9" t="s">
        <v>208</v>
      </c>
      <c r="D131" s="9">
        <v>1.84</v>
      </c>
      <c r="E131" s="9">
        <v>18</v>
      </c>
      <c r="F131" s="10">
        <v>297972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0A412-43CF-476D-BF84-C72C21A0547B}">
  <sheetPr codeName="Hoja3"/>
  <dimension ref="A1:D74"/>
  <sheetViews>
    <sheetView workbookViewId="0">
      <selection activeCell="C2" sqref="C2"/>
    </sheetView>
  </sheetViews>
  <sheetFormatPr baseColWidth="10" defaultColWidth="11.44140625" defaultRowHeight="14.4" x14ac:dyDescent="0.3"/>
  <cols>
    <col min="1" max="1" width="17.88671875" customWidth="1"/>
    <col min="2" max="2" width="25.6640625" customWidth="1"/>
    <col min="3" max="3" width="13.109375" customWidth="1"/>
    <col min="4" max="4" width="31.88671875" customWidth="1"/>
  </cols>
  <sheetData>
    <row r="1" spans="1:4" x14ac:dyDescent="0.3">
      <c r="A1" s="20" t="s">
        <v>184</v>
      </c>
      <c r="B1" s="20" t="s">
        <v>132</v>
      </c>
      <c r="C1" s="20" t="s">
        <v>186</v>
      </c>
      <c r="D1" s="20" t="s">
        <v>187</v>
      </c>
    </row>
    <row r="2" spans="1:4" x14ac:dyDescent="0.3">
      <c r="A2" s="19" t="s">
        <v>49</v>
      </c>
      <c r="B2" s="19" t="s">
        <v>210</v>
      </c>
      <c r="C2" s="3">
        <v>19</v>
      </c>
      <c r="D2" s="21">
        <v>700</v>
      </c>
    </row>
    <row r="3" spans="1:4" x14ac:dyDescent="0.3">
      <c r="A3" s="19" t="s">
        <v>49</v>
      </c>
      <c r="B3" s="19" t="s">
        <v>210</v>
      </c>
      <c r="C3" s="3">
        <v>22</v>
      </c>
      <c r="D3" s="21">
        <v>900</v>
      </c>
    </row>
    <row r="4" spans="1:4" x14ac:dyDescent="0.3">
      <c r="A4" s="19" t="s">
        <v>49</v>
      </c>
      <c r="B4" s="19" t="s">
        <v>210</v>
      </c>
      <c r="C4" s="3">
        <v>29</v>
      </c>
      <c r="D4" s="21">
        <v>723</v>
      </c>
    </row>
    <row r="5" spans="1:4" x14ac:dyDescent="0.3">
      <c r="A5" s="19" t="s">
        <v>49</v>
      </c>
      <c r="B5" s="19" t="s">
        <v>210</v>
      </c>
      <c r="C5" s="3">
        <v>34</v>
      </c>
      <c r="D5" s="21">
        <v>923</v>
      </c>
    </row>
    <row r="6" spans="1:4" x14ac:dyDescent="0.3">
      <c r="A6" s="19" t="s">
        <v>49</v>
      </c>
      <c r="B6" s="19" t="s">
        <v>210</v>
      </c>
      <c r="C6" s="3">
        <v>44</v>
      </c>
      <c r="D6" s="21">
        <v>1700</v>
      </c>
    </row>
    <row r="7" spans="1:4" x14ac:dyDescent="0.3">
      <c r="A7" s="19" t="s">
        <v>49</v>
      </c>
      <c r="B7" s="19" t="s">
        <v>210</v>
      </c>
      <c r="C7" s="3">
        <v>90</v>
      </c>
      <c r="D7" s="21">
        <v>4400</v>
      </c>
    </row>
    <row r="8" spans="1:4" x14ac:dyDescent="0.3">
      <c r="A8" s="19" t="s">
        <v>49</v>
      </c>
      <c r="B8" s="19" t="s">
        <v>210</v>
      </c>
      <c r="C8" s="3">
        <v>200</v>
      </c>
      <c r="D8" s="21">
        <v>6900</v>
      </c>
    </row>
    <row r="9" spans="1:4" x14ac:dyDescent="0.3">
      <c r="A9" s="19" t="s">
        <v>54</v>
      </c>
      <c r="B9" s="19" t="s">
        <v>210</v>
      </c>
      <c r="C9" s="3">
        <v>19</v>
      </c>
      <c r="D9" s="21">
        <v>1400</v>
      </c>
    </row>
    <row r="10" spans="1:4" x14ac:dyDescent="0.3">
      <c r="A10" s="19" t="s">
        <v>54</v>
      </c>
      <c r="B10" s="19" t="s">
        <v>210</v>
      </c>
      <c r="C10" s="3">
        <v>22</v>
      </c>
      <c r="D10" s="21">
        <v>5700</v>
      </c>
    </row>
    <row r="11" spans="1:4" x14ac:dyDescent="0.3">
      <c r="A11" s="19" t="s">
        <v>54</v>
      </c>
      <c r="B11" s="19" t="s">
        <v>210</v>
      </c>
      <c r="C11" s="3">
        <v>23</v>
      </c>
      <c r="D11" s="21">
        <v>6500</v>
      </c>
    </row>
    <row r="12" spans="1:4" x14ac:dyDescent="0.3">
      <c r="A12" s="19" t="s">
        <v>54</v>
      </c>
      <c r="B12" s="19" t="s">
        <v>210</v>
      </c>
      <c r="C12" s="3">
        <v>44</v>
      </c>
      <c r="D12" s="21">
        <v>5111</v>
      </c>
    </row>
    <row r="13" spans="1:4" x14ac:dyDescent="0.3">
      <c r="A13" s="19" t="s">
        <v>54</v>
      </c>
      <c r="B13" s="19" t="s">
        <v>210</v>
      </c>
      <c r="C13" s="3">
        <v>90</v>
      </c>
      <c r="D13" s="21">
        <v>6100</v>
      </c>
    </row>
    <row r="14" spans="1:4" x14ac:dyDescent="0.3">
      <c r="A14" s="19" t="s">
        <v>211</v>
      </c>
      <c r="B14" s="19" t="s">
        <v>210</v>
      </c>
      <c r="C14" s="3">
        <v>19</v>
      </c>
      <c r="D14" s="21">
        <v>2100</v>
      </c>
    </row>
    <row r="15" spans="1:4" x14ac:dyDescent="0.3">
      <c r="A15" s="19" t="s">
        <v>211</v>
      </c>
      <c r="B15" s="19" t="s">
        <v>210</v>
      </c>
      <c r="C15" s="3">
        <v>22</v>
      </c>
      <c r="D15" s="21">
        <v>2500</v>
      </c>
    </row>
    <row r="16" spans="1:4" x14ac:dyDescent="0.3">
      <c r="A16" s="19" t="s">
        <v>211</v>
      </c>
      <c r="B16" s="19" t="s">
        <v>210</v>
      </c>
      <c r="C16" s="3">
        <v>29</v>
      </c>
      <c r="D16" s="21">
        <v>3200</v>
      </c>
    </row>
    <row r="17" spans="1:4" x14ac:dyDescent="0.3">
      <c r="A17" s="19" t="s">
        <v>211</v>
      </c>
      <c r="B17" s="19" t="s">
        <v>210</v>
      </c>
      <c r="C17" s="3">
        <v>33</v>
      </c>
      <c r="D17" s="21">
        <v>3600</v>
      </c>
    </row>
    <row r="18" spans="1:4" x14ac:dyDescent="0.3">
      <c r="A18" s="19" t="s">
        <v>211</v>
      </c>
      <c r="B18" s="19" t="s">
        <v>210</v>
      </c>
      <c r="C18" s="3">
        <v>44</v>
      </c>
      <c r="D18" s="21">
        <v>5700</v>
      </c>
    </row>
    <row r="19" spans="1:4" x14ac:dyDescent="0.3">
      <c r="A19" s="19" t="s">
        <v>212</v>
      </c>
      <c r="B19" s="3" t="s">
        <v>213</v>
      </c>
      <c r="C19" s="3">
        <v>13</v>
      </c>
      <c r="D19" s="26">
        <v>216</v>
      </c>
    </row>
    <row r="20" spans="1:4" x14ac:dyDescent="0.3">
      <c r="A20" s="19" t="s">
        <v>212</v>
      </c>
      <c r="B20" s="3" t="s">
        <v>213</v>
      </c>
      <c r="C20" s="3">
        <v>19</v>
      </c>
      <c r="D20" s="26">
        <v>315</v>
      </c>
    </row>
    <row r="21" spans="1:4" x14ac:dyDescent="0.3">
      <c r="A21" s="19" t="s">
        <v>212</v>
      </c>
      <c r="B21" s="3" t="s">
        <v>213</v>
      </c>
      <c r="C21" s="3">
        <v>22</v>
      </c>
      <c r="D21" s="26">
        <v>365</v>
      </c>
    </row>
    <row r="22" spans="1:4" ht="15" customHeight="1" x14ac:dyDescent="0.3">
      <c r="A22" s="19" t="s">
        <v>212</v>
      </c>
      <c r="B22" s="3" t="s">
        <v>213</v>
      </c>
      <c r="C22" s="3">
        <v>29</v>
      </c>
      <c r="D22" s="26">
        <v>480</v>
      </c>
    </row>
    <row r="23" spans="1:4" x14ac:dyDescent="0.3">
      <c r="A23" s="19" t="s">
        <v>212</v>
      </c>
      <c r="B23" s="3" t="s">
        <v>213</v>
      </c>
      <c r="C23" s="3">
        <v>34</v>
      </c>
      <c r="D23" s="26">
        <v>546</v>
      </c>
    </row>
    <row r="24" spans="1:4" x14ac:dyDescent="0.3">
      <c r="A24" s="19" t="s">
        <v>212</v>
      </c>
      <c r="B24" s="3" t="s">
        <v>213</v>
      </c>
      <c r="C24" s="3">
        <v>40</v>
      </c>
      <c r="D24" s="26">
        <v>662</v>
      </c>
    </row>
    <row r="25" spans="1:4" x14ac:dyDescent="0.3">
      <c r="A25" s="19" t="s">
        <v>212</v>
      </c>
      <c r="B25" s="3" t="s">
        <v>213</v>
      </c>
      <c r="C25" s="3">
        <v>44</v>
      </c>
      <c r="D25" s="26">
        <v>729</v>
      </c>
    </row>
    <row r="26" spans="1:4" x14ac:dyDescent="0.3">
      <c r="A26" s="19" t="s">
        <v>212</v>
      </c>
      <c r="B26" s="3" t="s">
        <v>213</v>
      </c>
      <c r="C26" s="3">
        <v>60</v>
      </c>
      <c r="D26" s="26">
        <v>994</v>
      </c>
    </row>
    <row r="27" spans="1:4" x14ac:dyDescent="0.3">
      <c r="A27" s="19" t="s">
        <v>214</v>
      </c>
      <c r="B27" s="3" t="s">
        <v>213</v>
      </c>
      <c r="C27" s="3">
        <v>13</v>
      </c>
      <c r="D27" s="26">
        <v>430</v>
      </c>
    </row>
    <row r="28" spans="1:4" x14ac:dyDescent="0.3">
      <c r="A28" s="19" t="s">
        <v>214</v>
      </c>
      <c r="B28" s="3" t="s">
        <v>213</v>
      </c>
      <c r="C28" s="3">
        <v>19</v>
      </c>
      <c r="D28" s="26">
        <v>629</v>
      </c>
    </row>
    <row r="29" spans="1:4" x14ac:dyDescent="0.3">
      <c r="A29" s="19" t="s">
        <v>214</v>
      </c>
      <c r="B29" s="3" t="s">
        <v>213</v>
      </c>
      <c r="C29" s="3">
        <v>22</v>
      </c>
      <c r="D29" s="26">
        <v>729</v>
      </c>
    </row>
    <row r="30" spans="1:4" x14ac:dyDescent="0.3">
      <c r="A30" s="19" t="s">
        <v>214</v>
      </c>
      <c r="B30" s="3" t="s">
        <v>213</v>
      </c>
      <c r="C30" s="3">
        <v>29</v>
      </c>
      <c r="D30" s="26">
        <v>960</v>
      </c>
    </row>
    <row r="31" spans="1:4" x14ac:dyDescent="0.3">
      <c r="A31" s="19" t="s">
        <v>214</v>
      </c>
      <c r="B31" s="3" t="s">
        <v>213</v>
      </c>
      <c r="C31" s="3">
        <v>33</v>
      </c>
      <c r="D31" s="26">
        <v>1094</v>
      </c>
    </row>
    <row r="32" spans="1:4" x14ac:dyDescent="0.3">
      <c r="A32" s="19" t="s">
        <v>214</v>
      </c>
      <c r="B32" s="3" t="s">
        <v>213</v>
      </c>
      <c r="C32" s="3">
        <v>40</v>
      </c>
      <c r="D32" s="26">
        <v>1325</v>
      </c>
    </row>
    <row r="33" spans="1:4" x14ac:dyDescent="0.3">
      <c r="A33" s="19" t="s">
        <v>214</v>
      </c>
      <c r="B33" s="3" t="s">
        <v>213</v>
      </c>
      <c r="C33" s="3">
        <v>44</v>
      </c>
      <c r="D33" s="26">
        <v>1457</v>
      </c>
    </row>
    <row r="34" spans="1:4" x14ac:dyDescent="0.3">
      <c r="A34" s="19" t="s">
        <v>214</v>
      </c>
      <c r="B34" s="3" t="s">
        <v>213</v>
      </c>
      <c r="C34" s="3">
        <v>60</v>
      </c>
      <c r="D34" s="26">
        <v>1987</v>
      </c>
    </row>
    <row r="35" spans="1:4" x14ac:dyDescent="0.3">
      <c r="A35" s="19" t="s">
        <v>215</v>
      </c>
      <c r="B35" s="3" t="s">
        <v>213</v>
      </c>
      <c r="C35" s="3">
        <v>19</v>
      </c>
      <c r="D35" s="26">
        <v>1169</v>
      </c>
    </row>
    <row r="36" spans="1:4" x14ac:dyDescent="0.3">
      <c r="A36" s="19" t="s">
        <v>215</v>
      </c>
      <c r="B36" s="3" t="s">
        <v>213</v>
      </c>
      <c r="C36" s="3">
        <v>22</v>
      </c>
      <c r="D36" s="26">
        <v>1353</v>
      </c>
    </row>
    <row r="37" spans="1:4" x14ac:dyDescent="0.3">
      <c r="A37" s="19" t="s">
        <v>215</v>
      </c>
      <c r="B37" s="3" t="s">
        <v>213</v>
      </c>
      <c r="C37" s="3">
        <v>40</v>
      </c>
      <c r="D37" s="26">
        <v>2460</v>
      </c>
    </row>
    <row r="38" spans="1:4" x14ac:dyDescent="0.3">
      <c r="A38" s="19" t="s">
        <v>216</v>
      </c>
      <c r="B38" s="3" t="s">
        <v>217</v>
      </c>
      <c r="C38" s="3">
        <v>13</v>
      </c>
      <c r="D38" s="26">
        <v>343</v>
      </c>
    </row>
    <row r="39" spans="1:4" x14ac:dyDescent="0.3">
      <c r="A39" s="19" t="s">
        <v>216</v>
      </c>
      <c r="B39" s="3" t="s">
        <v>217</v>
      </c>
      <c r="C39" s="3">
        <v>19</v>
      </c>
      <c r="D39" s="26">
        <v>406</v>
      </c>
    </row>
    <row r="40" spans="1:4" x14ac:dyDescent="0.3">
      <c r="A40" s="19" t="s">
        <v>216</v>
      </c>
      <c r="B40" s="3" t="s">
        <v>217</v>
      </c>
      <c r="C40" s="3">
        <v>22</v>
      </c>
      <c r="D40" s="26">
        <v>470</v>
      </c>
    </row>
    <row r="41" spans="1:4" x14ac:dyDescent="0.3">
      <c r="A41" s="19" t="s">
        <v>216</v>
      </c>
      <c r="B41" s="3" t="s">
        <v>217</v>
      </c>
      <c r="C41" s="3">
        <v>29</v>
      </c>
      <c r="D41" s="26">
        <v>620</v>
      </c>
    </row>
    <row r="42" spans="1:4" x14ac:dyDescent="0.3">
      <c r="A42" s="19" t="s">
        <v>216</v>
      </c>
      <c r="B42" s="3" t="s">
        <v>217</v>
      </c>
      <c r="C42" s="3">
        <v>34</v>
      </c>
      <c r="D42" s="26">
        <v>705</v>
      </c>
    </row>
    <row r="43" spans="1:4" x14ac:dyDescent="0.3">
      <c r="A43" s="19" t="s">
        <v>216</v>
      </c>
      <c r="B43" s="3" t="s">
        <v>217</v>
      </c>
      <c r="C43" s="3">
        <v>40</v>
      </c>
      <c r="D43" s="26">
        <v>855</v>
      </c>
    </row>
    <row r="44" spans="1:4" x14ac:dyDescent="0.3">
      <c r="A44" s="19" t="s">
        <v>216</v>
      </c>
      <c r="B44" s="3" t="s">
        <v>217</v>
      </c>
      <c r="C44" s="3">
        <v>44</v>
      </c>
      <c r="D44" s="26">
        <v>940</v>
      </c>
    </row>
    <row r="45" spans="1:4" x14ac:dyDescent="0.3">
      <c r="A45" s="19" t="s">
        <v>216</v>
      </c>
      <c r="B45" s="3" t="s">
        <v>217</v>
      </c>
      <c r="C45" s="3">
        <v>60</v>
      </c>
      <c r="D45" s="26">
        <v>1282</v>
      </c>
    </row>
    <row r="46" spans="1:4" x14ac:dyDescent="0.3">
      <c r="A46" s="19" t="s">
        <v>218</v>
      </c>
      <c r="B46" s="3" t="s">
        <v>217</v>
      </c>
      <c r="C46" s="3">
        <v>35</v>
      </c>
      <c r="D46" s="26">
        <v>1393</v>
      </c>
    </row>
    <row r="47" spans="1:4" x14ac:dyDescent="0.3">
      <c r="A47" s="19" t="s">
        <v>218</v>
      </c>
      <c r="B47" s="3" t="s">
        <v>217</v>
      </c>
      <c r="C47" s="3">
        <v>40</v>
      </c>
      <c r="D47" s="26">
        <v>1612</v>
      </c>
    </row>
    <row r="48" spans="1:4" x14ac:dyDescent="0.3">
      <c r="A48" s="19" t="s">
        <v>218</v>
      </c>
      <c r="B48" s="3" t="s">
        <v>217</v>
      </c>
      <c r="C48" s="3">
        <v>19</v>
      </c>
      <c r="D48" s="26">
        <v>1335</v>
      </c>
    </row>
    <row r="49" spans="1:4" x14ac:dyDescent="0.3">
      <c r="A49" s="19" t="s">
        <v>218</v>
      </c>
      <c r="B49" s="3" t="s">
        <v>217</v>
      </c>
      <c r="C49" s="3">
        <v>22</v>
      </c>
      <c r="D49" s="26">
        <v>1545</v>
      </c>
    </row>
    <row r="50" spans="1:4" x14ac:dyDescent="0.3">
      <c r="A50" s="19" t="s">
        <v>219</v>
      </c>
      <c r="B50" s="3" t="s">
        <v>220</v>
      </c>
      <c r="C50" s="3">
        <v>13</v>
      </c>
      <c r="D50" s="26">
        <v>361</v>
      </c>
    </row>
    <row r="51" spans="1:4" x14ac:dyDescent="0.3">
      <c r="A51" s="19" t="s">
        <v>219</v>
      </c>
      <c r="B51" s="3" t="s">
        <v>220</v>
      </c>
      <c r="C51" s="3">
        <v>19</v>
      </c>
      <c r="D51" s="26">
        <v>512</v>
      </c>
    </row>
    <row r="52" spans="1:4" x14ac:dyDescent="0.3">
      <c r="A52" s="19" t="s">
        <v>219</v>
      </c>
      <c r="B52" s="3" t="s">
        <v>220</v>
      </c>
      <c r="C52" s="3">
        <v>22</v>
      </c>
      <c r="D52" s="26">
        <v>569</v>
      </c>
    </row>
    <row r="53" spans="1:4" x14ac:dyDescent="0.3">
      <c r="A53" s="19" t="s">
        <v>219</v>
      </c>
      <c r="B53" s="3" t="s">
        <v>220</v>
      </c>
      <c r="C53" s="3">
        <v>29</v>
      </c>
      <c r="D53" s="26">
        <v>763</v>
      </c>
    </row>
    <row r="54" spans="1:4" x14ac:dyDescent="0.3">
      <c r="A54" s="19" t="s">
        <v>219</v>
      </c>
      <c r="B54" s="3" t="s">
        <v>220</v>
      </c>
      <c r="C54" s="3">
        <v>34</v>
      </c>
      <c r="D54" s="26">
        <v>866</v>
      </c>
    </row>
    <row r="55" spans="1:4" x14ac:dyDescent="0.3">
      <c r="A55" s="19" t="s">
        <v>219</v>
      </c>
      <c r="B55" s="3" t="s">
        <v>220</v>
      </c>
      <c r="C55" s="3">
        <v>40</v>
      </c>
      <c r="D55" s="26">
        <v>1045</v>
      </c>
    </row>
    <row r="56" spans="1:4" x14ac:dyDescent="0.3">
      <c r="A56" s="19" t="s">
        <v>219</v>
      </c>
      <c r="B56" s="3" t="s">
        <v>220</v>
      </c>
      <c r="C56" s="3">
        <v>44</v>
      </c>
      <c r="D56" s="26">
        <v>1146</v>
      </c>
    </row>
    <row r="57" spans="1:4" x14ac:dyDescent="0.3">
      <c r="A57" s="19" t="s">
        <v>219</v>
      </c>
      <c r="B57" s="3" t="s">
        <v>220</v>
      </c>
      <c r="C57" s="3">
        <v>60</v>
      </c>
      <c r="D57" s="26">
        <v>1530</v>
      </c>
    </row>
    <row r="58" spans="1:4" x14ac:dyDescent="0.3">
      <c r="A58" s="19" t="s">
        <v>77</v>
      </c>
      <c r="B58" s="3" t="s">
        <v>220</v>
      </c>
      <c r="C58" s="3">
        <v>13</v>
      </c>
      <c r="D58" s="26">
        <v>695</v>
      </c>
    </row>
    <row r="59" spans="1:4" x14ac:dyDescent="0.3">
      <c r="A59" s="19" t="s">
        <v>77</v>
      </c>
      <c r="B59" s="3" t="s">
        <v>220</v>
      </c>
      <c r="C59" s="3">
        <v>19</v>
      </c>
      <c r="D59" s="26">
        <v>1017</v>
      </c>
    </row>
    <row r="60" spans="1:4" x14ac:dyDescent="0.3">
      <c r="A60" s="19" t="s">
        <v>77</v>
      </c>
      <c r="B60" s="3" t="s">
        <v>220</v>
      </c>
      <c r="C60" s="3">
        <v>22</v>
      </c>
      <c r="D60" s="26">
        <v>1258</v>
      </c>
    </row>
    <row r="61" spans="1:4" x14ac:dyDescent="0.3">
      <c r="A61" s="19" t="s">
        <v>77</v>
      </c>
      <c r="B61" s="3" t="s">
        <v>220</v>
      </c>
      <c r="C61" s="3">
        <v>29</v>
      </c>
      <c r="D61" s="26">
        <v>1560</v>
      </c>
    </row>
    <row r="62" spans="1:4" x14ac:dyDescent="0.3">
      <c r="A62" s="19" t="s">
        <v>77</v>
      </c>
      <c r="B62" s="3" t="s">
        <v>220</v>
      </c>
      <c r="C62" s="3">
        <v>33</v>
      </c>
      <c r="D62" s="26">
        <v>1882</v>
      </c>
    </row>
    <row r="63" spans="1:4" x14ac:dyDescent="0.3">
      <c r="A63" s="19" t="s">
        <v>77</v>
      </c>
      <c r="B63" s="3" t="s">
        <v>220</v>
      </c>
      <c r="C63" s="3">
        <v>40</v>
      </c>
      <c r="D63" s="26">
        <v>2150</v>
      </c>
    </row>
    <row r="64" spans="1:4" x14ac:dyDescent="0.3">
      <c r="A64" s="19" t="s">
        <v>77</v>
      </c>
      <c r="B64" s="3" t="s">
        <v>220</v>
      </c>
      <c r="C64" s="3">
        <v>44</v>
      </c>
      <c r="D64" s="26">
        <v>2345</v>
      </c>
    </row>
    <row r="65" spans="1:4" x14ac:dyDescent="0.3">
      <c r="A65" s="19" t="s">
        <v>221</v>
      </c>
      <c r="B65" s="3" t="s">
        <v>220</v>
      </c>
      <c r="C65" s="3">
        <v>22</v>
      </c>
      <c r="D65" s="26">
        <v>1833</v>
      </c>
    </row>
    <row r="66" spans="1:4" x14ac:dyDescent="0.3">
      <c r="A66" s="19" t="s">
        <v>221</v>
      </c>
      <c r="B66" s="3" t="s">
        <v>220</v>
      </c>
      <c r="C66" s="3">
        <v>29</v>
      </c>
      <c r="D66" s="26">
        <v>2093</v>
      </c>
    </row>
    <row r="67" spans="1:4" x14ac:dyDescent="0.3">
      <c r="A67" s="19" t="s">
        <v>221</v>
      </c>
      <c r="B67" s="3" t="s">
        <v>220</v>
      </c>
      <c r="C67" s="3">
        <v>35</v>
      </c>
      <c r="D67" s="26">
        <v>3345</v>
      </c>
    </row>
    <row r="68" spans="1:4" x14ac:dyDescent="0.3">
      <c r="A68" s="19" t="s">
        <v>221</v>
      </c>
      <c r="B68" s="3" t="s">
        <v>220</v>
      </c>
      <c r="C68" s="3">
        <v>44</v>
      </c>
      <c r="D68" s="26">
        <v>3808</v>
      </c>
    </row>
    <row r="69" spans="1:4" x14ac:dyDescent="0.3">
      <c r="A69" s="19" t="s">
        <v>222</v>
      </c>
      <c r="B69" s="3" t="s">
        <v>223</v>
      </c>
      <c r="C69" s="3">
        <v>13</v>
      </c>
      <c r="D69" s="26">
        <v>567</v>
      </c>
    </row>
    <row r="70" spans="1:4" x14ac:dyDescent="0.3">
      <c r="A70" s="19" t="s">
        <v>222</v>
      </c>
      <c r="B70" s="3" t="s">
        <v>223</v>
      </c>
      <c r="C70" s="3">
        <v>19</v>
      </c>
      <c r="D70" s="26">
        <v>595</v>
      </c>
    </row>
    <row r="71" spans="1:4" x14ac:dyDescent="0.3">
      <c r="A71" s="19" t="s">
        <v>222</v>
      </c>
      <c r="B71" s="3" t="s">
        <v>223</v>
      </c>
      <c r="C71" s="3">
        <v>40</v>
      </c>
      <c r="D71" s="26">
        <v>1321</v>
      </c>
    </row>
    <row r="72" spans="1:4" x14ac:dyDescent="0.3">
      <c r="A72" s="19" t="s">
        <v>224</v>
      </c>
      <c r="B72" s="3" t="s">
        <v>223</v>
      </c>
      <c r="C72" s="3">
        <v>22</v>
      </c>
      <c r="D72" s="26">
        <v>2184</v>
      </c>
    </row>
    <row r="73" spans="1:4" x14ac:dyDescent="0.3">
      <c r="A73" s="19" t="s">
        <v>224</v>
      </c>
      <c r="B73" s="3" t="s">
        <v>223</v>
      </c>
      <c r="C73" s="3">
        <v>35</v>
      </c>
      <c r="D73" s="26">
        <v>4308</v>
      </c>
    </row>
    <row r="74" spans="1:4" x14ac:dyDescent="0.3">
      <c r="A74" s="19" t="s">
        <v>224</v>
      </c>
      <c r="B74" s="3" t="s">
        <v>223</v>
      </c>
      <c r="C74" s="3">
        <v>44</v>
      </c>
      <c r="D74" s="26">
        <v>4536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B8645-B76E-41A1-AA99-1FE30ACD75E9}">
  <sheetPr codeName="Hoja6"/>
  <dimension ref="A1:C220"/>
  <sheetViews>
    <sheetView topLeftCell="A61" workbookViewId="0">
      <selection activeCell="B35" sqref="B35"/>
    </sheetView>
  </sheetViews>
  <sheetFormatPr baseColWidth="10" defaultColWidth="11.44140625" defaultRowHeight="14.4" x14ac:dyDescent="0.3"/>
  <cols>
    <col min="1" max="1" width="59.6640625" customWidth="1"/>
    <col min="2" max="2" width="26" customWidth="1"/>
    <col min="3" max="3" width="30.5546875" customWidth="1"/>
    <col min="4" max="4" width="18.5546875" customWidth="1"/>
  </cols>
  <sheetData>
    <row r="1" spans="1:3" x14ac:dyDescent="0.3">
      <c r="A1" s="20" t="s">
        <v>183</v>
      </c>
      <c r="B1" s="20" t="s">
        <v>132</v>
      </c>
      <c r="C1" s="20" t="s">
        <v>187</v>
      </c>
    </row>
    <row r="2" spans="1:3" x14ac:dyDescent="0.3">
      <c r="A2" s="3" t="s">
        <v>225</v>
      </c>
      <c r="B2" s="3" t="s">
        <v>226</v>
      </c>
      <c r="C2" s="26">
        <v>659</v>
      </c>
    </row>
    <row r="3" spans="1:3" x14ac:dyDescent="0.3">
      <c r="A3" s="3" t="s">
        <v>134</v>
      </c>
      <c r="B3" s="3" t="s">
        <v>226</v>
      </c>
      <c r="C3" s="26">
        <v>2350</v>
      </c>
    </row>
    <row r="4" spans="1:3" x14ac:dyDescent="0.3">
      <c r="A4" s="3" t="s">
        <v>133</v>
      </c>
      <c r="B4" s="3" t="s">
        <v>226</v>
      </c>
      <c r="C4" s="26">
        <v>530</v>
      </c>
    </row>
    <row r="5" spans="1:3" x14ac:dyDescent="0.3">
      <c r="A5" s="3" t="s">
        <v>227</v>
      </c>
      <c r="B5" s="3" t="s">
        <v>226</v>
      </c>
      <c r="C5" s="26">
        <v>62289</v>
      </c>
    </row>
    <row r="6" spans="1:3" x14ac:dyDescent="0.3">
      <c r="A6" s="3" t="s">
        <v>228</v>
      </c>
      <c r="B6" s="3" t="s">
        <v>226</v>
      </c>
      <c r="C6" s="26">
        <v>195406</v>
      </c>
    </row>
    <row r="7" spans="1:3" x14ac:dyDescent="0.3">
      <c r="A7" s="3" t="s">
        <v>229</v>
      </c>
      <c r="B7" s="3" t="s">
        <v>226</v>
      </c>
      <c r="C7" s="26">
        <v>206608</v>
      </c>
    </row>
    <row r="8" spans="1:3" x14ac:dyDescent="0.3">
      <c r="A8" s="3" t="s">
        <v>230</v>
      </c>
      <c r="B8" s="3" t="s">
        <v>226</v>
      </c>
      <c r="C8" s="26">
        <v>2188</v>
      </c>
    </row>
    <row r="9" spans="1:3" x14ac:dyDescent="0.3">
      <c r="A9" s="3" t="s">
        <v>231</v>
      </c>
      <c r="B9" s="3" t="s">
        <v>226</v>
      </c>
      <c r="C9" s="26">
        <v>1038</v>
      </c>
    </row>
    <row r="10" spans="1:3" x14ac:dyDescent="0.3">
      <c r="A10" s="3" t="s">
        <v>232</v>
      </c>
      <c r="B10" s="3" t="s">
        <v>233</v>
      </c>
      <c r="C10" s="21">
        <v>19970</v>
      </c>
    </row>
    <row r="11" spans="1:3" x14ac:dyDescent="0.3">
      <c r="A11" s="3" t="s">
        <v>234</v>
      </c>
      <c r="B11" s="3" t="s">
        <v>233</v>
      </c>
      <c r="C11" s="21">
        <v>4273</v>
      </c>
    </row>
    <row r="12" spans="1:3" x14ac:dyDescent="0.3">
      <c r="A12" s="3" t="s">
        <v>235</v>
      </c>
      <c r="B12" s="3" t="s">
        <v>233</v>
      </c>
      <c r="C12" s="21">
        <v>17170</v>
      </c>
    </row>
    <row r="13" spans="1:3" x14ac:dyDescent="0.3">
      <c r="A13" s="3" t="s">
        <v>236</v>
      </c>
      <c r="B13" s="3" t="s">
        <v>233</v>
      </c>
      <c r="C13" s="21">
        <v>21773</v>
      </c>
    </row>
    <row r="14" spans="1:3" x14ac:dyDescent="0.3">
      <c r="A14" s="3" t="s">
        <v>237</v>
      </c>
      <c r="B14" s="3" t="s">
        <v>233</v>
      </c>
      <c r="C14" s="21">
        <v>21773</v>
      </c>
    </row>
    <row r="15" spans="1:3" x14ac:dyDescent="0.3">
      <c r="A15" s="3" t="s">
        <v>238</v>
      </c>
      <c r="B15" s="3" t="s">
        <v>233</v>
      </c>
      <c r="C15" s="21">
        <v>7900</v>
      </c>
    </row>
    <row r="16" spans="1:3" x14ac:dyDescent="0.3">
      <c r="A16" s="3" t="s">
        <v>239</v>
      </c>
      <c r="B16" s="3" t="s">
        <v>226</v>
      </c>
      <c r="C16" s="26">
        <v>817</v>
      </c>
    </row>
    <row r="17" spans="1:3" x14ac:dyDescent="0.3">
      <c r="A17" s="3" t="s">
        <v>240</v>
      </c>
      <c r="B17" s="3" t="s">
        <v>226</v>
      </c>
      <c r="C17" s="26">
        <v>1479</v>
      </c>
    </row>
    <row r="18" spans="1:3" x14ac:dyDescent="0.3">
      <c r="A18" s="3" t="s">
        <v>241</v>
      </c>
      <c r="B18" s="3" t="s">
        <v>242</v>
      </c>
      <c r="C18" s="21">
        <v>72900</v>
      </c>
    </row>
    <row r="19" spans="1:3" x14ac:dyDescent="0.3">
      <c r="A19" s="3" t="s">
        <v>243</v>
      </c>
      <c r="B19" s="3" t="s">
        <v>226</v>
      </c>
      <c r="C19" s="26">
        <v>817</v>
      </c>
    </row>
    <row r="20" spans="1:3" x14ac:dyDescent="0.3">
      <c r="A20" s="3" t="s">
        <v>244</v>
      </c>
      <c r="B20" s="3" t="s">
        <v>226</v>
      </c>
      <c r="C20" s="26">
        <v>1465</v>
      </c>
    </row>
    <row r="21" spans="1:3" x14ac:dyDescent="0.3">
      <c r="A21" s="3" t="s">
        <v>245</v>
      </c>
      <c r="B21" s="3" t="s">
        <v>226</v>
      </c>
      <c r="C21" s="26">
        <v>85224</v>
      </c>
    </row>
    <row r="22" spans="1:3" x14ac:dyDescent="0.3">
      <c r="A22" s="22" t="s">
        <v>246</v>
      </c>
      <c r="B22" s="3" t="s">
        <v>226</v>
      </c>
      <c r="C22" s="26">
        <v>204361</v>
      </c>
    </row>
    <row r="23" spans="1:3" x14ac:dyDescent="0.3">
      <c r="A23" s="22" t="s">
        <v>247</v>
      </c>
      <c r="B23" s="3" t="s">
        <v>226</v>
      </c>
      <c r="C23" s="26">
        <v>204361</v>
      </c>
    </row>
    <row r="24" spans="1:3" x14ac:dyDescent="0.3">
      <c r="A24" s="3" t="s">
        <v>248</v>
      </c>
      <c r="B24" s="3" t="s">
        <v>226</v>
      </c>
      <c r="C24" s="26">
        <v>130771</v>
      </c>
    </row>
    <row r="25" spans="1:3" x14ac:dyDescent="0.3">
      <c r="A25" s="22" t="s">
        <v>249</v>
      </c>
      <c r="B25" s="3" t="s">
        <v>226</v>
      </c>
      <c r="C25" s="26">
        <v>163936</v>
      </c>
    </row>
    <row r="26" spans="1:3" x14ac:dyDescent="0.3">
      <c r="A26" s="22" t="s">
        <v>250</v>
      </c>
      <c r="B26" s="3" t="s">
        <v>226</v>
      </c>
      <c r="C26" s="26">
        <v>170230</v>
      </c>
    </row>
    <row r="27" spans="1:3" x14ac:dyDescent="0.3">
      <c r="A27" s="3" t="s">
        <v>251</v>
      </c>
      <c r="B27" s="3" t="s">
        <v>226</v>
      </c>
      <c r="C27" s="26">
        <v>36637</v>
      </c>
    </row>
    <row r="28" spans="1:3" x14ac:dyDescent="0.3">
      <c r="A28" s="3" t="s">
        <v>252</v>
      </c>
      <c r="B28" s="3" t="s">
        <v>226</v>
      </c>
      <c r="C28" s="26">
        <v>36634</v>
      </c>
    </row>
    <row r="29" spans="1:3" x14ac:dyDescent="0.3">
      <c r="A29" s="3" t="s">
        <v>253</v>
      </c>
      <c r="B29" s="3" t="s">
        <v>226</v>
      </c>
      <c r="C29" s="26">
        <v>36637</v>
      </c>
    </row>
    <row r="30" spans="1:3" x14ac:dyDescent="0.3">
      <c r="A30" s="3" t="s">
        <v>254</v>
      </c>
      <c r="B30" s="3" t="s">
        <v>226</v>
      </c>
      <c r="C30" s="26">
        <v>36634</v>
      </c>
    </row>
    <row r="31" spans="1:3" x14ac:dyDescent="0.3">
      <c r="A31" s="25" t="s">
        <v>255</v>
      </c>
      <c r="B31" s="3" t="s">
        <v>226</v>
      </c>
      <c r="C31" s="27">
        <v>2911</v>
      </c>
    </row>
    <row r="32" spans="1:3" x14ac:dyDescent="0.3">
      <c r="A32" s="3" t="s">
        <v>256</v>
      </c>
      <c r="B32" s="3" t="s">
        <v>226</v>
      </c>
      <c r="C32" s="26">
        <v>2911</v>
      </c>
    </row>
    <row r="33" spans="1:3" x14ac:dyDescent="0.3">
      <c r="A33" s="3" t="s">
        <v>257</v>
      </c>
      <c r="B33" s="3" t="s">
        <v>226</v>
      </c>
      <c r="C33" s="26">
        <v>2911</v>
      </c>
    </row>
    <row r="34" spans="1:3" x14ac:dyDescent="0.3">
      <c r="A34" s="3" t="s">
        <v>258</v>
      </c>
      <c r="B34" s="3" t="s">
        <v>226</v>
      </c>
      <c r="C34" s="26">
        <v>2911</v>
      </c>
    </row>
    <row r="35" spans="1:3" x14ac:dyDescent="0.3">
      <c r="A35" s="3" t="s">
        <v>259</v>
      </c>
      <c r="B35" s="3" t="s">
        <v>226</v>
      </c>
      <c r="C35" s="26">
        <v>4069</v>
      </c>
    </row>
    <row r="36" spans="1:3" x14ac:dyDescent="0.3">
      <c r="A36" s="3" t="s">
        <v>260</v>
      </c>
      <c r="B36" s="3" t="s">
        <v>226</v>
      </c>
      <c r="C36" s="26">
        <v>2911</v>
      </c>
    </row>
    <row r="37" spans="1:3" x14ac:dyDescent="0.3">
      <c r="A37" s="3" t="s">
        <v>261</v>
      </c>
      <c r="B37" s="3" t="s">
        <v>226</v>
      </c>
      <c r="C37" s="26">
        <v>2911</v>
      </c>
    </row>
    <row r="38" spans="1:3" x14ac:dyDescent="0.3">
      <c r="A38" s="3" t="s">
        <v>262</v>
      </c>
      <c r="B38" s="3" t="s">
        <v>233</v>
      </c>
      <c r="C38" s="21">
        <v>11881</v>
      </c>
    </row>
    <row r="39" spans="1:3" x14ac:dyDescent="0.3">
      <c r="A39" s="3" t="s">
        <v>263</v>
      </c>
      <c r="B39" s="3" t="s">
        <v>233</v>
      </c>
      <c r="C39" s="21">
        <v>11881</v>
      </c>
    </row>
    <row r="40" spans="1:3" x14ac:dyDescent="0.3">
      <c r="A40" s="3" t="s">
        <v>264</v>
      </c>
      <c r="B40" s="3" t="s">
        <v>233</v>
      </c>
      <c r="C40" s="21">
        <v>11881</v>
      </c>
    </row>
    <row r="41" spans="1:3" x14ac:dyDescent="0.3">
      <c r="A41" s="3" t="s">
        <v>265</v>
      </c>
      <c r="B41" s="3" t="s">
        <v>233</v>
      </c>
      <c r="C41" s="21">
        <v>11881</v>
      </c>
    </row>
    <row r="42" spans="1:3" x14ac:dyDescent="0.3">
      <c r="A42" s="3" t="s">
        <v>266</v>
      </c>
      <c r="B42" s="3" t="s">
        <v>226</v>
      </c>
      <c r="C42" s="26">
        <v>530</v>
      </c>
    </row>
    <row r="43" spans="1:3" x14ac:dyDescent="0.3">
      <c r="A43" s="3" t="s">
        <v>267</v>
      </c>
      <c r="B43" s="3" t="s">
        <v>226</v>
      </c>
      <c r="C43" s="26">
        <v>35381</v>
      </c>
    </row>
    <row r="44" spans="1:3" x14ac:dyDescent="0.3">
      <c r="A44" s="3" t="s">
        <v>268</v>
      </c>
      <c r="B44" s="3" t="s">
        <v>226</v>
      </c>
      <c r="C44" s="26">
        <v>32764</v>
      </c>
    </row>
    <row r="45" spans="1:3" x14ac:dyDescent="0.3">
      <c r="A45" s="3" t="s">
        <v>269</v>
      </c>
      <c r="B45" s="3" t="s">
        <v>226</v>
      </c>
      <c r="C45" s="26">
        <v>87005</v>
      </c>
    </row>
    <row r="46" spans="1:3" x14ac:dyDescent="0.3">
      <c r="A46" s="3" t="s">
        <v>270</v>
      </c>
      <c r="B46" s="3" t="s">
        <v>226</v>
      </c>
      <c r="C46" s="26">
        <v>9650</v>
      </c>
    </row>
    <row r="47" spans="1:3" x14ac:dyDescent="0.3">
      <c r="A47" s="3" t="s">
        <v>271</v>
      </c>
      <c r="B47" s="3" t="s">
        <v>226</v>
      </c>
      <c r="C47" s="26">
        <v>3501</v>
      </c>
    </row>
    <row r="48" spans="1:3" x14ac:dyDescent="0.3">
      <c r="A48" s="3" t="s">
        <v>272</v>
      </c>
      <c r="B48" s="3" t="s">
        <v>226</v>
      </c>
      <c r="C48" s="26">
        <v>3545</v>
      </c>
    </row>
    <row r="49" spans="1:3" x14ac:dyDescent="0.3">
      <c r="A49" s="3" t="s">
        <v>273</v>
      </c>
      <c r="B49" s="3" t="s">
        <v>226</v>
      </c>
      <c r="C49" s="26">
        <v>9650</v>
      </c>
    </row>
    <row r="50" spans="1:3" x14ac:dyDescent="0.3">
      <c r="A50" s="3" t="s">
        <v>274</v>
      </c>
      <c r="B50" s="3" t="s">
        <v>242</v>
      </c>
      <c r="C50" s="21">
        <v>39900</v>
      </c>
    </row>
    <row r="51" spans="1:3" x14ac:dyDescent="0.3">
      <c r="A51" s="3" t="s">
        <v>275</v>
      </c>
      <c r="B51" s="3" t="s">
        <v>226</v>
      </c>
      <c r="C51" s="26">
        <v>28900</v>
      </c>
    </row>
    <row r="52" spans="1:3" x14ac:dyDescent="0.3">
      <c r="A52" s="3" t="s">
        <v>276</v>
      </c>
      <c r="B52" s="3" t="s">
        <v>226</v>
      </c>
      <c r="C52" s="26">
        <v>22806</v>
      </c>
    </row>
    <row r="53" spans="1:3" x14ac:dyDescent="0.3">
      <c r="A53" s="3" t="s">
        <v>277</v>
      </c>
      <c r="B53" s="3" t="s">
        <v>226</v>
      </c>
      <c r="C53" s="26">
        <v>34095</v>
      </c>
    </row>
    <row r="54" spans="1:3" x14ac:dyDescent="0.3">
      <c r="A54" s="3" t="s">
        <v>278</v>
      </c>
      <c r="B54" s="3" t="s">
        <v>226</v>
      </c>
      <c r="C54" s="26">
        <v>40383</v>
      </c>
    </row>
    <row r="55" spans="1:3" x14ac:dyDescent="0.3">
      <c r="A55" s="3" t="s">
        <v>279</v>
      </c>
      <c r="B55" s="3" t="s">
        <v>226</v>
      </c>
      <c r="C55" s="26">
        <v>40830</v>
      </c>
    </row>
    <row r="56" spans="1:3" x14ac:dyDescent="0.3">
      <c r="A56" s="3" t="s">
        <v>280</v>
      </c>
      <c r="B56" s="3" t="s">
        <v>226</v>
      </c>
      <c r="C56" s="26">
        <v>40850</v>
      </c>
    </row>
    <row r="57" spans="1:3" x14ac:dyDescent="0.3">
      <c r="A57" s="3" t="s">
        <v>281</v>
      </c>
      <c r="B57" s="3" t="s">
        <v>226</v>
      </c>
      <c r="C57" s="26">
        <v>4506</v>
      </c>
    </row>
    <row r="58" spans="1:3" x14ac:dyDescent="0.3">
      <c r="A58" s="3" t="s">
        <v>282</v>
      </c>
      <c r="B58" s="3" t="s">
        <v>226</v>
      </c>
      <c r="C58" s="26">
        <v>6901</v>
      </c>
    </row>
    <row r="59" spans="1:3" x14ac:dyDescent="0.3">
      <c r="A59" s="3" t="s">
        <v>283</v>
      </c>
      <c r="B59" s="3" t="s">
        <v>226</v>
      </c>
      <c r="C59" s="26">
        <v>3340</v>
      </c>
    </row>
    <row r="60" spans="1:3" x14ac:dyDescent="0.3">
      <c r="A60" s="3" t="s">
        <v>284</v>
      </c>
      <c r="B60" s="3" t="s">
        <v>226</v>
      </c>
      <c r="C60" s="26">
        <v>6627</v>
      </c>
    </row>
    <row r="61" spans="1:3" x14ac:dyDescent="0.3">
      <c r="A61" s="3" t="s">
        <v>285</v>
      </c>
      <c r="B61" s="3" t="s">
        <v>226</v>
      </c>
      <c r="C61" s="26">
        <v>6289</v>
      </c>
    </row>
    <row r="62" spans="1:3" x14ac:dyDescent="0.3">
      <c r="A62" s="3" t="s">
        <v>285</v>
      </c>
      <c r="B62" s="3" t="s">
        <v>226</v>
      </c>
      <c r="C62" s="26">
        <v>4350</v>
      </c>
    </row>
    <row r="63" spans="1:3" x14ac:dyDescent="0.3">
      <c r="A63" s="3" t="s">
        <v>286</v>
      </c>
      <c r="B63" s="3" t="s">
        <v>226</v>
      </c>
      <c r="C63" s="26">
        <v>7520</v>
      </c>
    </row>
    <row r="64" spans="1:3" x14ac:dyDescent="0.3">
      <c r="A64" s="3" t="s">
        <v>287</v>
      </c>
      <c r="B64" s="3" t="s">
        <v>226</v>
      </c>
      <c r="C64" s="26">
        <v>8911</v>
      </c>
    </row>
    <row r="65" spans="1:3" x14ac:dyDescent="0.3">
      <c r="A65" s="3" t="s">
        <v>288</v>
      </c>
      <c r="B65" s="3" t="s">
        <v>226</v>
      </c>
      <c r="C65" s="26">
        <v>9509</v>
      </c>
    </row>
    <row r="66" spans="1:3" x14ac:dyDescent="0.3">
      <c r="A66" s="3" t="s">
        <v>289</v>
      </c>
      <c r="B66" s="3" t="s">
        <v>226</v>
      </c>
      <c r="C66" s="26">
        <v>4980</v>
      </c>
    </row>
    <row r="67" spans="1:3" x14ac:dyDescent="0.3">
      <c r="A67" s="3" t="s">
        <v>290</v>
      </c>
      <c r="B67" s="3" t="s">
        <v>226</v>
      </c>
      <c r="C67" s="26">
        <v>7650</v>
      </c>
    </row>
    <row r="68" spans="1:3" x14ac:dyDescent="0.3">
      <c r="A68" s="3" t="s">
        <v>291</v>
      </c>
      <c r="B68" s="3" t="s">
        <v>226</v>
      </c>
      <c r="C68" s="26">
        <v>10410</v>
      </c>
    </row>
    <row r="69" spans="1:3" x14ac:dyDescent="0.3">
      <c r="A69" s="3" t="s">
        <v>292</v>
      </c>
      <c r="B69" s="3" t="s">
        <v>226</v>
      </c>
      <c r="C69" s="26">
        <v>5571</v>
      </c>
    </row>
    <row r="70" spans="1:3" x14ac:dyDescent="0.3">
      <c r="A70" s="3" t="s">
        <v>293</v>
      </c>
      <c r="B70" s="3" t="s">
        <v>226</v>
      </c>
      <c r="C70" s="26">
        <v>8847</v>
      </c>
    </row>
    <row r="71" spans="1:3" x14ac:dyDescent="0.3">
      <c r="A71" s="3" t="s">
        <v>294</v>
      </c>
      <c r="B71" s="3" t="s">
        <v>226</v>
      </c>
      <c r="C71" s="26">
        <v>11501</v>
      </c>
    </row>
    <row r="72" spans="1:3" x14ac:dyDescent="0.3">
      <c r="A72" s="3" t="s">
        <v>295</v>
      </c>
      <c r="B72" s="3" t="s">
        <v>226</v>
      </c>
      <c r="C72" s="26">
        <v>9744</v>
      </c>
    </row>
    <row r="73" spans="1:3" x14ac:dyDescent="0.3">
      <c r="A73" s="3" t="s">
        <v>296</v>
      </c>
      <c r="B73" s="3" t="s">
        <v>226</v>
      </c>
      <c r="C73" s="26">
        <v>12500</v>
      </c>
    </row>
    <row r="74" spans="1:3" x14ac:dyDescent="0.3">
      <c r="A74" s="3" t="s">
        <v>297</v>
      </c>
      <c r="B74" s="3" t="s">
        <v>226</v>
      </c>
      <c r="C74" s="26">
        <v>12600</v>
      </c>
    </row>
    <row r="75" spans="1:3" x14ac:dyDescent="0.3">
      <c r="A75" s="3" t="s">
        <v>298</v>
      </c>
      <c r="B75" s="3" t="s">
        <v>226</v>
      </c>
      <c r="C75" s="26">
        <v>16250</v>
      </c>
    </row>
    <row r="76" spans="1:3" x14ac:dyDescent="0.3">
      <c r="A76" s="3" t="s">
        <v>299</v>
      </c>
      <c r="B76" s="3" t="s">
        <v>226</v>
      </c>
      <c r="C76" s="26">
        <v>13962</v>
      </c>
    </row>
    <row r="77" spans="1:3" x14ac:dyDescent="0.3">
      <c r="A77" s="3" t="s">
        <v>300</v>
      </c>
      <c r="B77" s="3" t="s">
        <v>226</v>
      </c>
      <c r="C77" s="26">
        <v>12462</v>
      </c>
    </row>
    <row r="78" spans="1:3" x14ac:dyDescent="0.3">
      <c r="A78" s="3" t="s">
        <v>301</v>
      </c>
      <c r="B78" s="3" t="s">
        <v>226</v>
      </c>
      <c r="C78" s="26">
        <v>12809</v>
      </c>
    </row>
    <row r="79" spans="1:3" x14ac:dyDescent="0.3">
      <c r="A79" s="3" t="s">
        <v>302</v>
      </c>
      <c r="B79" s="3" t="s">
        <v>226</v>
      </c>
      <c r="C79" s="26">
        <v>13794</v>
      </c>
    </row>
    <row r="80" spans="1:3" x14ac:dyDescent="0.3">
      <c r="A80" s="3" t="s">
        <v>303</v>
      </c>
      <c r="B80" s="3" t="s">
        <v>226</v>
      </c>
      <c r="C80" s="26">
        <v>14862</v>
      </c>
    </row>
    <row r="81" spans="1:3" x14ac:dyDescent="0.3">
      <c r="A81" s="3" t="s">
        <v>304</v>
      </c>
      <c r="B81" s="3" t="s">
        <v>226</v>
      </c>
      <c r="C81" s="26">
        <v>16609</v>
      </c>
    </row>
    <row r="82" spans="1:3" x14ac:dyDescent="0.3">
      <c r="A82" s="3" t="s">
        <v>305</v>
      </c>
      <c r="B82" s="3" t="s">
        <v>226</v>
      </c>
      <c r="C82" s="26">
        <v>13000</v>
      </c>
    </row>
    <row r="83" spans="1:3" x14ac:dyDescent="0.3">
      <c r="A83" s="3" t="s">
        <v>306</v>
      </c>
      <c r="B83" s="3" t="s">
        <v>226</v>
      </c>
      <c r="C83" s="26">
        <v>13100</v>
      </c>
    </row>
    <row r="84" spans="1:3" x14ac:dyDescent="0.3">
      <c r="A84" s="3" t="s">
        <v>307</v>
      </c>
      <c r="B84" s="3" t="s">
        <v>226</v>
      </c>
      <c r="C84" s="26">
        <v>15480</v>
      </c>
    </row>
    <row r="85" spans="1:3" x14ac:dyDescent="0.3">
      <c r="A85" s="3" t="s">
        <v>308</v>
      </c>
      <c r="B85" s="3" t="s">
        <v>226</v>
      </c>
      <c r="C85" s="26">
        <v>15225</v>
      </c>
    </row>
    <row r="86" spans="1:3" x14ac:dyDescent="0.3">
      <c r="A86" s="3" t="s">
        <v>309</v>
      </c>
      <c r="B86" s="3" t="s">
        <v>233</v>
      </c>
      <c r="C86" s="21">
        <v>39643</v>
      </c>
    </row>
    <row r="87" spans="1:3" x14ac:dyDescent="0.3">
      <c r="A87" s="3" t="s">
        <v>310</v>
      </c>
      <c r="B87" s="3" t="s">
        <v>233</v>
      </c>
      <c r="C87" s="21">
        <v>41383</v>
      </c>
    </row>
    <row r="88" spans="1:3" x14ac:dyDescent="0.3">
      <c r="A88" s="3" t="s">
        <v>311</v>
      </c>
      <c r="B88" s="3" t="s">
        <v>233</v>
      </c>
      <c r="C88" s="21">
        <v>48524</v>
      </c>
    </row>
    <row r="89" spans="1:3" x14ac:dyDescent="0.3">
      <c r="A89" s="3" t="s">
        <v>312</v>
      </c>
      <c r="B89" s="3" t="s">
        <v>233</v>
      </c>
      <c r="C89" s="21">
        <v>53651</v>
      </c>
    </row>
    <row r="90" spans="1:3" x14ac:dyDescent="0.3">
      <c r="A90" s="3" t="s">
        <v>313</v>
      </c>
      <c r="B90" s="3" t="s">
        <v>233</v>
      </c>
      <c r="C90" s="21">
        <v>59236</v>
      </c>
    </row>
    <row r="91" spans="1:3" x14ac:dyDescent="0.3">
      <c r="A91" s="3" t="s">
        <v>314</v>
      </c>
      <c r="B91" s="3" t="s">
        <v>233</v>
      </c>
      <c r="C91" s="21">
        <v>64454</v>
      </c>
    </row>
    <row r="92" spans="1:3" x14ac:dyDescent="0.3">
      <c r="A92" s="3" t="s">
        <v>315</v>
      </c>
      <c r="B92" s="3" t="s">
        <v>233</v>
      </c>
      <c r="C92" s="21">
        <v>43430</v>
      </c>
    </row>
    <row r="93" spans="1:3" x14ac:dyDescent="0.3">
      <c r="A93" s="3" t="s">
        <v>316</v>
      </c>
      <c r="B93" s="3" t="s">
        <v>233</v>
      </c>
      <c r="C93" s="21">
        <v>47470</v>
      </c>
    </row>
    <row r="94" spans="1:3" x14ac:dyDescent="0.3">
      <c r="A94" s="3" t="s">
        <v>317</v>
      </c>
      <c r="B94" s="3" t="s">
        <v>233</v>
      </c>
      <c r="C94" s="21">
        <v>51510</v>
      </c>
    </row>
    <row r="95" spans="1:3" x14ac:dyDescent="0.3">
      <c r="A95" s="3" t="s">
        <v>318</v>
      </c>
      <c r="B95" s="3" t="s">
        <v>233</v>
      </c>
      <c r="C95" s="21">
        <v>55550</v>
      </c>
    </row>
    <row r="96" spans="1:3" x14ac:dyDescent="0.3">
      <c r="A96" s="3" t="s">
        <v>319</v>
      </c>
      <c r="B96" s="3" t="s">
        <v>233</v>
      </c>
      <c r="C96" s="21">
        <v>59590</v>
      </c>
    </row>
    <row r="97" spans="1:3" x14ac:dyDescent="0.3">
      <c r="A97" s="3" t="s">
        <v>320</v>
      </c>
      <c r="B97" s="3" t="s">
        <v>233</v>
      </c>
      <c r="C97" s="21">
        <v>63630</v>
      </c>
    </row>
    <row r="98" spans="1:3" x14ac:dyDescent="0.3">
      <c r="A98" s="3" t="s">
        <v>321</v>
      </c>
      <c r="B98" s="3" t="s">
        <v>226</v>
      </c>
      <c r="C98" s="26">
        <v>39706</v>
      </c>
    </row>
    <row r="99" spans="1:3" x14ac:dyDescent="0.3">
      <c r="A99" s="3" t="s">
        <v>322</v>
      </c>
      <c r="B99" s="3" t="s">
        <v>226</v>
      </c>
      <c r="C99" s="26">
        <v>43659</v>
      </c>
    </row>
    <row r="100" spans="1:3" x14ac:dyDescent="0.3">
      <c r="A100" s="3" t="s">
        <v>323</v>
      </c>
      <c r="B100" s="3" t="s">
        <v>226</v>
      </c>
      <c r="C100" s="26">
        <v>48889</v>
      </c>
    </row>
    <row r="101" spans="1:3" x14ac:dyDescent="0.3">
      <c r="A101" s="22" t="s">
        <v>324</v>
      </c>
      <c r="B101" s="3" t="s">
        <v>226</v>
      </c>
      <c r="C101" s="26">
        <v>688165</v>
      </c>
    </row>
    <row r="102" spans="1:3" x14ac:dyDescent="0.3">
      <c r="A102" s="22" t="s">
        <v>325</v>
      </c>
      <c r="B102" s="3" t="s">
        <v>226</v>
      </c>
      <c r="C102" s="26">
        <v>642317</v>
      </c>
    </row>
    <row r="103" spans="1:3" x14ac:dyDescent="0.3">
      <c r="A103" s="3" t="s">
        <v>326</v>
      </c>
      <c r="B103" s="3"/>
      <c r="C103" s="21">
        <v>110066</v>
      </c>
    </row>
    <row r="104" spans="1:3" x14ac:dyDescent="0.3">
      <c r="A104" s="3" t="s">
        <v>327</v>
      </c>
      <c r="B104" s="3" t="s">
        <v>328</v>
      </c>
      <c r="C104" s="21">
        <v>91294</v>
      </c>
    </row>
    <row r="105" spans="1:3" x14ac:dyDescent="0.3">
      <c r="A105" s="3" t="s">
        <v>329</v>
      </c>
      <c r="B105" s="3" t="s">
        <v>226</v>
      </c>
      <c r="C105" s="26">
        <v>453661</v>
      </c>
    </row>
    <row r="106" spans="1:3" x14ac:dyDescent="0.3">
      <c r="A106" s="3" t="s">
        <v>330</v>
      </c>
      <c r="B106" s="3" t="s">
        <v>226</v>
      </c>
      <c r="C106" s="26">
        <v>453661</v>
      </c>
    </row>
    <row r="107" spans="1:3" x14ac:dyDescent="0.3">
      <c r="A107" s="3" t="s">
        <v>331</v>
      </c>
      <c r="B107" s="3" t="s">
        <v>332</v>
      </c>
      <c r="C107" s="21">
        <v>20347</v>
      </c>
    </row>
    <row r="108" spans="1:3" x14ac:dyDescent="0.3">
      <c r="A108" s="3" t="s">
        <v>333</v>
      </c>
      <c r="B108" s="3" t="s">
        <v>334</v>
      </c>
      <c r="C108" s="21">
        <v>35000</v>
      </c>
    </row>
    <row r="109" spans="1:3" ht="28.8" x14ac:dyDescent="0.3">
      <c r="A109" s="22" t="s">
        <v>335</v>
      </c>
      <c r="B109" s="3" t="s">
        <v>226</v>
      </c>
      <c r="C109" s="26">
        <v>100757</v>
      </c>
    </row>
    <row r="110" spans="1:3" ht="28.8" x14ac:dyDescent="0.3">
      <c r="A110" s="22" t="s">
        <v>336</v>
      </c>
      <c r="B110" s="3" t="s">
        <v>226</v>
      </c>
      <c r="C110" s="26">
        <v>102551</v>
      </c>
    </row>
    <row r="111" spans="1:3" ht="28.8" x14ac:dyDescent="0.3">
      <c r="A111" s="22" t="s">
        <v>337</v>
      </c>
      <c r="B111" s="3" t="s">
        <v>226</v>
      </c>
      <c r="C111" s="26">
        <v>97017</v>
      </c>
    </row>
    <row r="112" spans="1:3" ht="28.8" x14ac:dyDescent="0.3">
      <c r="A112" s="22" t="s">
        <v>338</v>
      </c>
      <c r="B112" s="3" t="s">
        <v>226</v>
      </c>
      <c r="C112" s="26">
        <v>115820</v>
      </c>
    </row>
    <row r="113" spans="1:3" x14ac:dyDescent="0.3">
      <c r="A113" s="3" t="s">
        <v>339</v>
      </c>
      <c r="B113" s="3" t="s">
        <v>226</v>
      </c>
      <c r="C113" s="26">
        <v>33760</v>
      </c>
    </row>
    <row r="114" spans="1:3" x14ac:dyDescent="0.3">
      <c r="A114" s="3" t="s">
        <v>340</v>
      </c>
      <c r="B114" s="3" t="s">
        <v>226</v>
      </c>
      <c r="C114" s="26">
        <v>69973</v>
      </c>
    </row>
    <row r="115" spans="1:3" x14ac:dyDescent="0.3">
      <c r="A115" s="3" t="s">
        <v>341</v>
      </c>
      <c r="B115" s="3" t="s">
        <v>226</v>
      </c>
      <c r="C115" s="26">
        <v>69943</v>
      </c>
    </row>
    <row r="116" spans="1:3" x14ac:dyDescent="0.3">
      <c r="A116" s="3" t="s">
        <v>342</v>
      </c>
      <c r="B116" s="3" t="s">
        <v>226</v>
      </c>
      <c r="C116" s="26">
        <v>355</v>
      </c>
    </row>
    <row r="117" spans="1:3" x14ac:dyDescent="0.3">
      <c r="A117" s="3" t="s">
        <v>343</v>
      </c>
      <c r="B117" s="3" t="s">
        <v>226</v>
      </c>
      <c r="C117" s="26">
        <v>2724</v>
      </c>
    </row>
    <row r="118" spans="1:3" x14ac:dyDescent="0.3">
      <c r="A118" s="3" t="s">
        <v>344</v>
      </c>
      <c r="B118" s="3" t="s">
        <v>226</v>
      </c>
      <c r="C118" s="26">
        <v>53194</v>
      </c>
    </row>
    <row r="119" spans="1:3" x14ac:dyDescent="0.3">
      <c r="A119" s="3" t="s">
        <v>345</v>
      </c>
      <c r="B119" s="3" t="s">
        <v>226</v>
      </c>
      <c r="C119" s="26">
        <v>62648</v>
      </c>
    </row>
    <row r="120" spans="1:3" x14ac:dyDescent="0.3">
      <c r="A120" s="3" t="s">
        <v>346</v>
      </c>
      <c r="B120" s="3" t="s">
        <v>226</v>
      </c>
      <c r="C120" s="26">
        <v>72538</v>
      </c>
    </row>
    <row r="121" spans="1:3" x14ac:dyDescent="0.3">
      <c r="A121" s="3" t="s">
        <v>347</v>
      </c>
      <c r="B121" s="3" t="s">
        <v>226</v>
      </c>
      <c r="C121" s="26">
        <v>280</v>
      </c>
    </row>
    <row r="122" spans="1:3" x14ac:dyDescent="0.3">
      <c r="A122" s="3" t="s">
        <v>348</v>
      </c>
      <c r="B122" s="3" t="s">
        <v>242</v>
      </c>
      <c r="C122" s="21">
        <v>24900</v>
      </c>
    </row>
    <row r="123" spans="1:3" x14ac:dyDescent="0.3">
      <c r="A123" s="3" t="s">
        <v>349</v>
      </c>
      <c r="B123" s="3" t="s">
        <v>226</v>
      </c>
      <c r="C123" s="26">
        <v>72317</v>
      </c>
    </row>
    <row r="124" spans="1:3" x14ac:dyDescent="0.3">
      <c r="A124" s="3" t="s">
        <v>350</v>
      </c>
      <c r="B124" s="3" t="s">
        <v>226</v>
      </c>
      <c r="C124" s="26">
        <v>79052</v>
      </c>
    </row>
    <row r="125" spans="1:3" x14ac:dyDescent="0.3">
      <c r="A125" s="3" t="s">
        <v>351</v>
      </c>
      <c r="B125" s="3" t="s">
        <v>226</v>
      </c>
      <c r="C125" s="26">
        <v>83829</v>
      </c>
    </row>
    <row r="126" spans="1:3" x14ac:dyDescent="0.3">
      <c r="A126" s="3" t="s">
        <v>352</v>
      </c>
      <c r="B126" s="3" t="s">
        <v>226</v>
      </c>
      <c r="C126" s="26">
        <v>86327</v>
      </c>
    </row>
    <row r="127" spans="1:3" x14ac:dyDescent="0.3">
      <c r="A127" s="3" t="s">
        <v>353</v>
      </c>
      <c r="B127" s="3" t="s">
        <v>226</v>
      </c>
      <c r="C127" s="26">
        <v>87399</v>
      </c>
    </row>
    <row r="128" spans="1:3" x14ac:dyDescent="0.3">
      <c r="A128" s="3" t="s">
        <v>354</v>
      </c>
      <c r="B128" s="3" t="s">
        <v>226</v>
      </c>
      <c r="C128" s="26">
        <v>33311</v>
      </c>
    </row>
    <row r="129" spans="1:3" x14ac:dyDescent="0.3">
      <c r="A129" s="3" t="s">
        <v>355</v>
      </c>
      <c r="B129" s="3" t="s">
        <v>226</v>
      </c>
      <c r="C129" s="26">
        <v>65264</v>
      </c>
    </row>
    <row r="130" spans="1:3" x14ac:dyDescent="0.3">
      <c r="A130" s="3" t="s">
        <v>356</v>
      </c>
      <c r="B130" s="3" t="s">
        <v>226</v>
      </c>
      <c r="C130" s="26">
        <v>69638</v>
      </c>
    </row>
    <row r="131" spans="1:3" x14ac:dyDescent="0.3">
      <c r="A131" s="3" t="s">
        <v>357</v>
      </c>
      <c r="B131" s="3" t="s">
        <v>226</v>
      </c>
      <c r="C131" s="26">
        <v>75961</v>
      </c>
    </row>
    <row r="132" spans="1:3" x14ac:dyDescent="0.3">
      <c r="A132" s="3" t="s">
        <v>358</v>
      </c>
      <c r="B132" s="3" t="s">
        <v>226</v>
      </c>
      <c r="C132" s="26">
        <v>75961</v>
      </c>
    </row>
    <row r="133" spans="1:3" x14ac:dyDescent="0.3">
      <c r="A133" s="3" t="s">
        <v>359</v>
      </c>
      <c r="B133" s="3" t="s">
        <v>226</v>
      </c>
      <c r="C133" s="26">
        <v>35981</v>
      </c>
    </row>
    <row r="134" spans="1:3" x14ac:dyDescent="0.3">
      <c r="A134" s="3" t="s">
        <v>360</v>
      </c>
      <c r="B134" s="3" t="s">
        <v>226</v>
      </c>
      <c r="C134" s="26">
        <v>31292</v>
      </c>
    </row>
    <row r="135" spans="1:3" x14ac:dyDescent="0.3">
      <c r="A135" s="3" t="s">
        <v>361</v>
      </c>
      <c r="B135" s="3" t="s">
        <v>226</v>
      </c>
      <c r="C135" s="26">
        <v>22819</v>
      </c>
    </row>
    <row r="136" spans="1:3" x14ac:dyDescent="0.3">
      <c r="A136" s="3" t="s">
        <v>362</v>
      </c>
      <c r="B136" s="3" t="s">
        <v>226</v>
      </c>
      <c r="C136" s="26">
        <v>37123</v>
      </c>
    </row>
    <row r="137" spans="1:3" x14ac:dyDescent="0.3">
      <c r="A137" s="3" t="s">
        <v>363</v>
      </c>
      <c r="B137" s="3" t="s">
        <v>226</v>
      </c>
      <c r="C137" s="26">
        <v>34048</v>
      </c>
    </row>
    <row r="138" spans="1:3" x14ac:dyDescent="0.3">
      <c r="A138" s="3" t="s">
        <v>364</v>
      </c>
      <c r="B138" s="3" t="s">
        <v>226</v>
      </c>
      <c r="C138" s="26">
        <v>14969</v>
      </c>
    </row>
    <row r="139" spans="1:3" x14ac:dyDescent="0.3">
      <c r="A139" s="3" t="s">
        <v>365</v>
      </c>
      <c r="B139" s="3" t="s">
        <v>226</v>
      </c>
      <c r="C139" s="26">
        <v>16123</v>
      </c>
    </row>
    <row r="140" spans="1:3" x14ac:dyDescent="0.3">
      <c r="A140" s="3" t="s">
        <v>366</v>
      </c>
      <c r="B140" s="3" t="s">
        <v>226</v>
      </c>
      <c r="C140" s="26">
        <v>29365</v>
      </c>
    </row>
    <row r="141" spans="1:3" x14ac:dyDescent="0.3">
      <c r="A141" s="3" t="s">
        <v>367</v>
      </c>
      <c r="B141" s="3" t="s">
        <v>226</v>
      </c>
      <c r="C141" s="26">
        <v>32880</v>
      </c>
    </row>
    <row r="142" spans="1:3" x14ac:dyDescent="0.3">
      <c r="A142" s="3" t="s">
        <v>368</v>
      </c>
      <c r="B142" s="3" t="s">
        <v>226</v>
      </c>
      <c r="C142" s="26">
        <v>15983</v>
      </c>
    </row>
    <row r="143" spans="1:3" x14ac:dyDescent="0.3">
      <c r="A143" s="3" t="s">
        <v>369</v>
      </c>
      <c r="B143" s="3" t="s">
        <v>226</v>
      </c>
      <c r="C143" s="26">
        <v>22386</v>
      </c>
    </row>
    <row r="144" spans="1:3" x14ac:dyDescent="0.3">
      <c r="A144" s="3" t="s">
        <v>370</v>
      </c>
      <c r="B144" s="3" t="s">
        <v>226</v>
      </c>
      <c r="C144" s="26">
        <v>24119</v>
      </c>
    </row>
    <row r="145" spans="1:3" x14ac:dyDescent="0.3">
      <c r="A145" s="3" t="s">
        <v>371</v>
      </c>
      <c r="B145" s="3" t="s">
        <v>226</v>
      </c>
      <c r="C145" s="26">
        <v>23059</v>
      </c>
    </row>
    <row r="146" spans="1:3" x14ac:dyDescent="0.3">
      <c r="A146" s="3" t="s">
        <v>372</v>
      </c>
      <c r="B146" s="3" t="s">
        <v>233</v>
      </c>
      <c r="C146" s="21">
        <v>49403</v>
      </c>
    </row>
    <row r="147" spans="1:3" x14ac:dyDescent="0.3">
      <c r="A147" s="3" t="s">
        <v>373</v>
      </c>
      <c r="B147" s="3" t="s">
        <v>226</v>
      </c>
      <c r="C147" s="26">
        <v>15289</v>
      </c>
    </row>
    <row r="148" spans="1:3" x14ac:dyDescent="0.3">
      <c r="A148" s="3" t="s">
        <v>374</v>
      </c>
      <c r="B148" s="3" t="s">
        <v>226</v>
      </c>
      <c r="C148" s="26">
        <v>39452</v>
      </c>
    </row>
    <row r="149" spans="1:3" x14ac:dyDescent="0.3">
      <c r="A149" s="3" t="s">
        <v>375</v>
      </c>
      <c r="B149" s="3" t="s">
        <v>226</v>
      </c>
      <c r="C149" s="26">
        <v>65664</v>
      </c>
    </row>
    <row r="150" spans="1:3" x14ac:dyDescent="0.3">
      <c r="A150" s="3" t="s">
        <v>376</v>
      </c>
      <c r="B150" s="3" t="s">
        <v>226</v>
      </c>
      <c r="C150" s="26">
        <v>48045</v>
      </c>
    </row>
    <row r="151" spans="1:3" x14ac:dyDescent="0.3">
      <c r="A151" s="3" t="s">
        <v>377</v>
      </c>
      <c r="B151" s="3" t="s">
        <v>226</v>
      </c>
      <c r="C151" s="26">
        <v>34048</v>
      </c>
    </row>
    <row r="152" spans="1:3" x14ac:dyDescent="0.3">
      <c r="A152" s="3" t="s">
        <v>378</v>
      </c>
      <c r="B152" s="3" t="s">
        <v>226</v>
      </c>
      <c r="C152" s="26">
        <v>48063</v>
      </c>
    </row>
    <row r="153" spans="1:3" x14ac:dyDescent="0.3">
      <c r="A153" s="3" t="s">
        <v>379</v>
      </c>
      <c r="B153" s="3" t="s">
        <v>226</v>
      </c>
      <c r="C153" s="26">
        <v>43186</v>
      </c>
    </row>
    <row r="154" spans="1:3" x14ac:dyDescent="0.3">
      <c r="A154" s="3" t="s">
        <v>380</v>
      </c>
      <c r="B154" s="3" t="s">
        <v>226</v>
      </c>
      <c r="C154" s="26">
        <v>28996</v>
      </c>
    </row>
    <row r="155" spans="1:3" x14ac:dyDescent="0.3">
      <c r="A155" s="3" t="s">
        <v>381</v>
      </c>
      <c r="B155" s="3" t="s">
        <v>226</v>
      </c>
      <c r="C155" s="26">
        <v>36346</v>
      </c>
    </row>
    <row r="156" spans="1:3" x14ac:dyDescent="0.3">
      <c r="A156" s="3" t="s">
        <v>382</v>
      </c>
      <c r="B156" s="3" t="s">
        <v>226</v>
      </c>
      <c r="C156" s="26">
        <v>24021</v>
      </c>
    </row>
    <row r="157" spans="1:3" x14ac:dyDescent="0.3">
      <c r="A157" s="3" t="s">
        <v>383</v>
      </c>
      <c r="B157" s="3" t="s">
        <v>226</v>
      </c>
      <c r="C157" s="26">
        <v>19539</v>
      </c>
    </row>
    <row r="158" spans="1:3" x14ac:dyDescent="0.3">
      <c r="A158" s="3" t="s">
        <v>384</v>
      </c>
      <c r="B158" s="3" t="s">
        <v>226</v>
      </c>
      <c r="C158" s="26">
        <v>19738</v>
      </c>
    </row>
    <row r="159" spans="1:3" x14ac:dyDescent="0.3">
      <c r="A159" s="3" t="s">
        <v>385</v>
      </c>
      <c r="B159" s="3" t="s">
        <v>226</v>
      </c>
      <c r="C159" s="26">
        <v>19738</v>
      </c>
    </row>
    <row r="160" spans="1:3" x14ac:dyDescent="0.3">
      <c r="A160" s="3" t="s">
        <v>386</v>
      </c>
      <c r="B160" s="3" t="s">
        <v>226</v>
      </c>
      <c r="C160" s="26">
        <v>69756</v>
      </c>
    </row>
    <row r="161" spans="1:3" x14ac:dyDescent="0.3">
      <c r="A161" s="3" t="s">
        <v>387</v>
      </c>
      <c r="B161" s="3" t="s">
        <v>226</v>
      </c>
      <c r="C161" s="26">
        <v>87797</v>
      </c>
    </row>
    <row r="162" spans="1:3" x14ac:dyDescent="0.3">
      <c r="A162" s="3" t="s">
        <v>388</v>
      </c>
      <c r="B162" s="3" t="s">
        <v>226</v>
      </c>
      <c r="C162" s="26">
        <v>32868</v>
      </c>
    </row>
    <row r="163" spans="1:3" x14ac:dyDescent="0.3">
      <c r="A163" s="3" t="s">
        <v>389</v>
      </c>
      <c r="B163" s="3" t="s">
        <v>226</v>
      </c>
      <c r="C163" s="26">
        <v>21137</v>
      </c>
    </row>
    <row r="164" spans="1:3" x14ac:dyDescent="0.3">
      <c r="A164" s="3" t="s">
        <v>390</v>
      </c>
      <c r="B164" s="3" t="s">
        <v>226</v>
      </c>
      <c r="C164" s="26">
        <v>26333</v>
      </c>
    </row>
    <row r="165" spans="1:3" x14ac:dyDescent="0.3">
      <c r="A165" s="3" t="s">
        <v>391</v>
      </c>
      <c r="B165" s="3" t="s">
        <v>226</v>
      </c>
      <c r="C165" s="26">
        <v>47082</v>
      </c>
    </row>
    <row r="166" spans="1:3" x14ac:dyDescent="0.3">
      <c r="A166" s="3" t="s">
        <v>392</v>
      </c>
      <c r="B166" s="3" t="s">
        <v>226</v>
      </c>
      <c r="C166" s="26">
        <v>47082</v>
      </c>
    </row>
    <row r="167" spans="1:3" x14ac:dyDescent="0.3">
      <c r="A167" s="3" t="s">
        <v>393</v>
      </c>
      <c r="B167" s="3" t="s">
        <v>226</v>
      </c>
      <c r="C167" s="26">
        <v>48829</v>
      </c>
    </row>
    <row r="168" spans="1:3" x14ac:dyDescent="0.3">
      <c r="A168" s="3" t="s">
        <v>394</v>
      </c>
      <c r="B168" s="3" t="s">
        <v>226</v>
      </c>
      <c r="C168" s="26">
        <v>45975</v>
      </c>
    </row>
    <row r="169" spans="1:3" x14ac:dyDescent="0.3">
      <c r="A169" s="3" t="s">
        <v>395</v>
      </c>
      <c r="B169" s="3" t="s">
        <v>226</v>
      </c>
      <c r="C169" s="26">
        <v>45975</v>
      </c>
    </row>
    <row r="170" spans="1:3" x14ac:dyDescent="0.3">
      <c r="A170" s="3" t="s">
        <v>396</v>
      </c>
      <c r="B170" s="3" t="s">
        <v>226</v>
      </c>
      <c r="C170" s="26">
        <v>3274</v>
      </c>
    </row>
    <row r="171" spans="1:3" x14ac:dyDescent="0.3">
      <c r="A171" s="3" t="s">
        <v>397</v>
      </c>
      <c r="B171" s="3" t="s">
        <v>226</v>
      </c>
      <c r="C171" s="26">
        <v>3274</v>
      </c>
    </row>
    <row r="172" spans="1:3" x14ac:dyDescent="0.3">
      <c r="A172" s="3" t="s">
        <v>398</v>
      </c>
      <c r="B172" s="3" t="s">
        <v>226</v>
      </c>
      <c r="C172" s="26">
        <v>1575</v>
      </c>
    </row>
    <row r="173" spans="1:3" x14ac:dyDescent="0.3">
      <c r="A173" s="3" t="s">
        <v>399</v>
      </c>
      <c r="B173" s="3" t="s">
        <v>226</v>
      </c>
      <c r="C173" s="26">
        <v>1334</v>
      </c>
    </row>
    <row r="174" spans="1:3" x14ac:dyDescent="0.3">
      <c r="A174" s="3" t="s">
        <v>400</v>
      </c>
      <c r="B174" s="3" t="s">
        <v>226</v>
      </c>
      <c r="C174" s="26">
        <v>1977</v>
      </c>
    </row>
    <row r="175" spans="1:3" x14ac:dyDescent="0.3">
      <c r="A175" s="3" t="s">
        <v>401</v>
      </c>
      <c r="B175" s="3" t="s">
        <v>226</v>
      </c>
      <c r="C175" s="26">
        <v>1977</v>
      </c>
    </row>
    <row r="176" spans="1:3" x14ac:dyDescent="0.3">
      <c r="A176" s="3" t="s">
        <v>402</v>
      </c>
      <c r="B176" s="3" t="s">
        <v>226</v>
      </c>
      <c r="C176" s="26">
        <v>1974</v>
      </c>
    </row>
    <row r="177" spans="1:3" x14ac:dyDescent="0.3">
      <c r="A177" s="3" t="s">
        <v>403</v>
      </c>
      <c r="B177" s="3" t="s">
        <v>226</v>
      </c>
      <c r="C177" s="26">
        <v>2021</v>
      </c>
    </row>
    <row r="178" spans="1:3" x14ac:dyDescent="0.3">
      <c r="A178" s="3" t="s">
        <v>404</v>
      </c>
      <c r="B178" s="3" t="s">
        <v>226</v>
      </c>
      <c r="C178" s="26">
        <v>3954</v>
      </c>
    </row>
    <row r="179" spans="1:3" x14ac:dyDescent="0.3">
      <c r="A179" s="3" t="s">
        <v>405</v>
      </c>
      <c r="B179" s="3" t="s">
        <v>226</v>
      </c>
      <c r="C179" s="26">
        <v>3373</v>
      </c>
    </row>
    <row r="180" spans="1:3" x14ac:dyDescent="0.3">
      <c r="A180" s="3" t="s">
        <v>406</v>
      </c>
      <c r="B180" s="3" t="s">
        <v>226</v>
      </c>
      <c r="C180" s="26">
        <v>4140</v>
      </c>
    </row>
    <row r="181" spans="1:3" x14ac:dyDescent="0.3">
      <c r="A181" s="3" t="s">
        <v>407</v>
      </c>
      <c r="B181" s="3" t="s">
        <v>226</v>
      </c>
      <c r="C181" s="26">
        <v>1977</v>
      </c>
    </row>
    <row r="182" spans="1:3" x14ac:dyDescent="0.3">
      <c r="A182" s="3" t="s">
        <v>408</v>
      </c>
      <c r="B182" s="3" t="s">
        <v>226</v>
      </c>
      <c r="C182" s="26">
        <v>1977</v>
      </c>
    </row>
    <row r="183" spans="1:3" x14ac:dyDescent="0.3">
      <c r="A183" s="3" t="s">
        <v>409</v>
      </c>
      <c r="B183" s="3" t="s">
        <v>226</v>
      </c>
      <c r="C183" s="26">
        <v>963</v>
      </c>
    </row>
    <row r="184" spans="1:3" x14ac:dyDescent="0.3">
      <c r="A184" s="3" t="s">
        <v>410</v>
      </c>
      <c r="B184" s="3" t="s">
        <v>226</v>
      </c>
      <c r="C184" s="26">
        <v>4200</v>
      </c>
    </row>
    <row r="185" spans="1:3" x14ac:dyDescent="0.3">
      <c r="A185" s="3" t="s">
        <v>411</v>
      </c>
      <c r="B185" s="3" t="s">
        <v>226</v>
      </c>
      <c r="C185" s="26">
        <v>2631</v>
      </c>
    </row>
    <row r="186" spans="1:3" x14ac:dyDescent="0.3">
      <c r="A186" s="3" t="s">
        <v>412</v>
      </c>
      <c r="B186" s="3" t="s">
        <v>226</v>
      </c>
      <c r="C186" s="26">
        <v>2857</v>
      </c>
    </row>
    <row r="187" spans="1:3" x14ac:dyDescent="0.3">
      <c r="A187" s="3" t="s">
        <v>413</v>
      </c>
      <c r="B187" s="3" t="s">
        <v>226</v>
      </c>
      <c r="C187" s="26">
        <v>1977</v>
      </c>
    </row>
    <row r="188" spans="1:3" x14ac:dyDescent="0.3">
      <c r="A188" s="3" t="s">
        <v>414</v>
      </c>
      <c r="B188" s="3" t="s">
        <v>226</v>
      </c>
      <c r="C188" s="26">
        <v>1977</v>
      </c>
    </row>
    <row r="189" spans="1:3" x14ac:dyDescent="0.3">
      <c r="A189" s="3" t="s">
        <v>415</v>
      </c>
      <c r="B189" s="3" t="s">
        <v>226</v>
      </c>
      <c r="C189" s="26">
        <v>1829</v>
      </c>
    </row>
    <row r="190" spans="1:3" x14ac:dyDescent="0.3">
      <c r="A190" s="3" t="s">
        <v>416</v>
      </c>
      <c r="B190" s="3" t="s">
        <v>226</v>
      </c>
      <c r="C190" s="26">
        <v>21000</v>
      </c>
    </row>
    <row r="191" spans="1:3" x14ac:dyDescent="0.3">
      <c r="A191" s="3" t="s">
        <v>417</v>
      </c>
      <c r="B191" s="3" t="s">
        <v>226</v>
      </c>
      <c r="C191" s="26">
        <v>21000</v>
      </c>
    </row>
    <row r="192" spans="1:3" x14ac:dyDescent="0.3">
      <c r="A192" s="3" t="s">
        <v>418</v>
      </c>
      <c r="B192" s="3" t="s">
        <v>226</v>
      </c>
      <c r="C192" s="26">
        <v>7000</v>
      </c>
    </row>
    <row r="193" spans="1:3" x14ac:dyDescent="0.3">
      <c r="A193" s="3" t="s">
        <v>419</v>
      </c>
      <c r="B193" s="3" t="s">
        <v>226</v>
      </c>
      <c r="C193" s="26">
        <v>11159</v>
      </c>
    </row>
    <row r="194" spans="1:3" x14ac:dyDescent="0.3">
      <c r="A194" s="3" t="s">
        <v>420</v>
      </c>
      <c r="B194" s="3" t="s">
        <v>226</v>
      </c>
      <c r="C194" s="26">
        <v>19493</v>
      </c>
    </row>
    <row r="195" spans="1:3" x14ac:dyDescent="0.3">
      <c r="A195" s="3" t="s">
        <v>421</v>
      </c>
      <c r="B195" s="3" t="s">
        <v>226</v>
      </c>
      <c r="C195" s="26">
        <v>15615</v>
      </c>
    </row>
    <row r="196" spans="1:3" x14ac:dyDescent="0.3">
      <c r="A196" s="3" t="s">
        <v>422</v>
      </c>
      <c r="B196" s="3" t="s">
        <v>226</v>
      </c>
      <c r="C196" s="26">
        <v>19427</v>
      </c>
    </row>
    <row r="197" spans="1:3" x14ac:dyDescent="0.3">
      <c r="A197" s="3" t="s">
        <v>423</v>
      </c>
      <c r="B197" s="3" t="s">
        <v>226</v>
      </c>
      <c r="C197" s="26">
        <v>72192</v>
      </c>
    </row>
    <row r="198" spans="1:3" x14ac:dyDescent="0.3">
      <c r="A198" s="3" t="s">
        <v>424</v>
      </c>
      <c r="B198" s="3" t="s">
        <v>226</v>
      </c>
      <c r="C198" s="26">
        <v>72192</v>
      </c>
    </row>
    <row r="199" spans="1:3" x14ac:dyDescent="0.3">
      <c r="A199" s="3" t="s">
        <v>425</v>
      </c>
      <c r="B199" s="3" t="s">
        <v>226</v>
      </c>
      <c r="C199" s="26">
        <v>75912</v>
      </c>
    </row>
    <row r="200" spans="1:3" x14ac:dyDescent="0.3">
      <c r="A200" s="3" t="s">
        <v>426</v>
      </c>
      <c r="B200" s="3" t="s">
        <v>226</v>
      </c>
      <c r="C200" s="26">
        <v>75912</v>
      </c>
    </row>
    <row r="201" spans="1:3" x14ac:dyDescent="0.3">
      <c r="A201" s="3" t="s">
        <v>427</v>
      </c>
      <c r="B201" s="3" t="s">
        <v>226</v>
      </c>
      <c r="C201" s="26">
        <v>77011</v>
      </c>
    </row>
    <row r="202" spans="1:3" x14ac:dyDescent="0.3">
      <c r="A202" s="3" t="s">
        <v>428</v>
      </c>
      <c r="B202" s="3" t="s">
        <v>226</v>
      </c>
      <c r="C202" s="26">
        <v>3466</v>
      </c>
    </row>
    <row r="203" spans="1:3" x14ac:dyDescent="0.3">
      <c r="A203" s="3" t="s">
        <v>429</v>
      </c>
      <c r="B203" s="3" t="s">
        <v>226</v>
      </c>
      <c r="C203" s="26">
        <v>3033</v>
      </c>
    </row>
    <row r="204" spans="1:3" x14ac:dyDescent="0.3">
      <c r="A204" s="3" t="s">
        <v>430</v>
      </c>
      <c r="B204" s="3" t="s">
        <v>226</v>
      </c>
      <c r="C204" s="26">
        <v>4718</v>
      </c>
    </row>
    <row r="205" spans="1:3" x14ac:dyDescent="0.3">
      <c r="A205" s="22" t="s">
        <v>431</v>
      </c>
      <c r="B205" s="3" t="s">
        <v>226</v>
      </c>
      <c r="C205" s="26">
        <v>343</v>
      </c>
    </row>
    <row r="206" spans="1:3" x14ac:dyDescent="0.3">
      <c r="A206" s="3" t="s">
        <v>432</v>
      </c>
      <c r="B206" s="3" t="s">
        <v>226</v>
      </c>
      <c r="C206" s="26">
        <v>500</v>
      </c>
    </row>
    <row r="207" spans="1:3" x14ac:dyDescent="0.3">
      <c r="A207" s="3" t="s">
        <v>433</v>
      </c>
      <c r="B207" s="3" t="s">
        <v>226</v>
      </c>
      <c r="C207" s="26">
        <v>35</v>
      </c>
    </row>
    <row r="208" spans="1:3" x14ac:dyDescent="0.3">
      <c r="A208" s="3" t="s">
        <v>434</v>
      </c>
      <c r="B208" s="3" t="s">
        <v>226</v>
      </c>
      <c r="C208" s="26">
        <v>43</v>
      </c>
    </row>
    <row r="209" spans="1:3" x14ac:dyDescent="0.3">
      <c r="A209" s="3" t="s">
        <v>435</v>
      </c>
      <c r="B209" s="3" t="s">
        <v>226</v>
      </c>
      <c r="C209" s="26">
        <v>35</v>
      </c>
    </row>
    <row r="210" spans="1:3" x14ac:dyDescent="0.3">
      <c r="A210" s="3" t="s">
        <v>436</v>
      </c>
      <c r="B210" s="3" t="s">
        <v>226</v>
      </c>
      <c r="C210" s="26">
        <v>36800</v>
      </c>
    </row>
    <row r="211" spans="1:3" x14ac:dyDescent="0.3">
      <c r="A211" s="3" t="s">
        <v>437</v>
      </c>
      <c r="B211" s="3" t="s">
        <v>226</v>
      </c>
      <c r="C211" s="26">
        <v>8691</v>
      </c>
    </row>
    <row r="212" spans="1:3" x14ac:dyDescent="0.3">
      <c r="A212" s="3" t="s">
        <v>438</v>
      </c>
      <c r="B212" s="3" t="s">
        <v>226</v>
      </c>
      <c r="C212" s="26">
        <v>1877</v>
      </c>
    </row>
    <row r="213" spans="1:3" x14ac:dyDescent="0.3">
      <c r="A213" s="3" t="s">
        <v>439</v>
      </c>
      <c r="B213" s="3" t="s">
        <v>226</v>
      </c>
      <c r="C213" s="26">
        <v>1877</v>
      </c>
    </row>
    <row r="214" spans="1:3" x14ac:dyDescent="0.3">
      <c r="A214" s="3" t="s">
        <v>440</v>
      </c>
      <c r="B214" s="3" t="s">
        <v>226</v>
      </c>
      <c r="C214" s="26">
        <v>1877</v>
      </c>
    </row>
    <row r="215" spans="1:3" x14ac:dyDescent="0.3">
      <c r="A215" s="3" t="s">
        <v>441</v>
      </c>
      <c r="B215" s="3" t="s">
        <v>226</v>
      </c>
      <c r="C215" s="26">
        <v>15658</v>
      </c>
    </row>
    <row r="216" spans="1:3" x14ac:dyDescent="0.3">
      <c r="A216" s="3" t="s">
        <v>442</v>
      </c>
      <c r="B216" s="3" t="s">
        <v>226</v>
      </c>
      <c r="C216" s="26">
        <v>3501</v>
      </c>
    </row>
    <row r="217" spans="1:3" x14ac:dyDescent="0.3">
      <c r="A217" s="3" t="s">
        <v>443</v>
      </c>
      <c r="B217" s="3" t="s">
        <v>226</v>
      </c>
      <c r="C217" s="26">
        <v>12558</v>
      </c>
    </row>
    <row r="218" spans="1:3" x14ac:dyDescent="0.3">
      <c r="A218" s="3" t="s">
        <v>444</v>
      </c>
      <c r="B218" s="3" t="s">
        <v>226</v>
      </c>
      <c r="C218" s="26">
        <v>12923</v>
      </c>
    </row>
    <row r="219" spans="1:3" x14ac:dyDescent="0.3">
      <c r="A219" s="3" t="s">
        <v>445</v>
      </c>
      <c r="B219" s="3" t="s">
        <v>226</v>
      </c>
      <c r="C219" s="26">
        <v>42250</v>
      </c>
    </row>
    <row r="220" spans="1:3" x14ac:dyDescent="0.3">
      <c r="A220" s="3" t="s">
        <v>446</v>
      </c>
      <c r="B220" s="3" t="s">
        <v>226</v>
      </c>
      <c r="C220" s="26">
        <v>42250</v>
      </c>
    </row>
  </sheetData>
  <autoFilter ref="A1:C1" xr:uid="{7E7B8645-B76E-41A1-AA99-1FE30ACD75E9}"/>
  <sortState xmlns:xlrd2="http://schemas.microsoft.com/office/spreadsheetml/2017/richdata2" ref="A2:C220">
    <sortCondition ref="A1:A22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DEA1-BAB3-4F15-A34D-9A8BD79A0EB2}">
  <sheetPr codeName="Hoja7"/>
  <dimension ref="A1:K28"/>
  <sheetViews>
    <sheetView workbookViewId="0">
      <selection activeCell="B19" sqref="B19"/>
    </sheetView>
  </sheetViews>
  <sheetFormatPr baseColWidth="10" defaultColWidth="11.44140625" defaultRowHeight="14.4" x14ac:dyDescent="0.3"/>
  <cols>
    <col min="1" max="1" width="19.88671875" customWidth="1"/>
    <col min="2" max="2" width="12" bestFit="1" customWidth="1"/>
    <col min="3" max="3" width="16.109375" customWidth="1"/>
    <col min="4" max="4" width="16.5546875" customWidth="1"/>
  </cols>
  <sheetData>
    <row r="1" spans="1:11" x14ac:dyDescent="0.3">
      <c r="A1" t="s">
        <v>447</v>
      </c>
      <c r="B1">
        <v>4</v>
      </c>
      <c r="C1" s="33">
        <f t="shared" ref="C1:C10" si="0">$A$3/K1</f>
        <v>223.9541341933172</v>
      </c>
      <c r="D1" s="32">
        <f>$B$14/C1</f>
        <v>1317.2340000000002</v>
      </c>
      <c r="G1">
        <v>4</v>
      </c>
      <c r="H1">
        <v>1.83</v>
      </c>
      <c r="I1">
        <v>2.44</v>
      </c>
      <c r="J1">
        <f>G1/1000</f>
        <v>4.0000000000000001E-3</v>
      </c>
      <c r="K1">
        <f>I1*J1*H1</f>
        <v>1.78608E-2</v>
      </c>
    </row>
    <row r="2" spans="1:11" x14ac:dyDescent="0.3">
      <c r="A2" t="s">
        <v>448</v>
      </c>
      <c r="B2">
        <v>5.5</v>
      </c>
      <c r="C2" s="33">
        <f t="shared" si="0"/>
        <v>162.87573395877615</v>
      </c>
      <c r="D2" s="32">
        <f>$B$14/C2</f>
        <v>1811.1967500000001</v>
      </c>
      <c r="G2">
        <v>5.5</v>
      </c>
      <c r="H2">
        <v>1.83</v>
      </c>
      <c r="I2">
        <v>2.44</v>
      </c>
      <c r="J2">
        <f>G2/1000</f>
        <v>5.4999999999999997E-3</v>
      </c>
      <c r="K2">
        <f>I2*J2*H2</f>
        <v>2.45586E-2</v>
      </c>
    </row>
    <row r="3" spans="1:11" x14ac:dyDescent="0.3">
      <c r="A3">
        <v>4</v>
      </c>
      <c r="B3">
        <v>6</v>
      </c>
      <c r="C3" s="33">
        <f t="shared" si="0"/>
        <v>149.30275612887814</v>
      </c>
      <c r="D3" s="32">
        <f t="shared" ref="D3:D9" si="1">$B$14/C3</f>
        <v>1975.8509999999999</v>
      </c>
      <c r="G3">
        <v>6</v>
      </c>
      <c r="H3">
        <v>1.83</v>
      </c>
      <c r="I3">
        <v>2.44</v>
      </c>
      <c r="J3">
        <f>G3/1000</f>
        <v>6.0000000000000001E-3</v>
      </c>
      <c r="K3">
        <f t="shared" ref="K3:K10" si="2">I3*J3*H3</f>
        <v>2.6791200000000001E-2</v>
      </c>
    </row>
    <row r="4" spans="1:11" x14ac:dyDescent="0.3">
      <c r="B4">
        <v>9</v>
      </c>
      <c r="C4" s="33">
        <f t="shared" si="0"/>
        <v>99.535170752585444</v>
      </c>
      <c r="D4" s="32">
        <f t="shared" si="1"/>
        <v>2963.7764999999995</v>
      </c>
      <c r="G4">
        <v>9</v>
      </c>
      <c r="H4">
        <v>1.83</v>
      </c>
      <c r="I4">
        <v>2.44</v>
      </c>
      <c r="J4">
        <f t="shared" ref="J4:J10" si="3">G4/1000</f>
        <v>8.9999999999999993E-3</v>
      </c>
      <c r="K4">
        <f t="shared" si="2"/>
        <v>4.0186799999999995E-2</v>
      </c>
    </row>
    <row r="5" spans="1:11" x14ac:dyDescent="0.3">
      <c r="B5">
        <v>12</v>
      </c>
      <c r="C5" s="33">
        <f t="shared" si="0"/>
        <v>74.651378064439072</v>
      </c>
      <c r="D5" s="32">
        <f t="shared" si="1"/>
        <v>3951.7019999999998</v>
      </c>
      <c r="G5">
        <v>12</v>
      </c>
      <c r="H5">
        <v>1.83</v>
      </c>
      <c r="I5">
        <v>2.44</v>
      </c>
      <c r="J5">
        <f t="shared" si="3"/>
        <v>1.2E-2</v>
      </c>
      <c r="K5">
        <f t="shared" si="2"/>
        <v>5.3582400000000002E-2</v>
      </c>
    </row>
    <row r="6" spans="1:11" x14ac:dyDescent="0.3">
      <c r="B6">
        <v>15</v>
      </c>
      <c r="C6" s="33">
        <f t="shared" si="0"/>
        <v>59.721102451551246</v>
      </c>
      <c r="D6" s="32">
        <f t="shared" si="1"/>
        <v>4939.6275000000005</v>
      </c>
      <c r="G6">
        <v>15</v>
      </c>
      <c r="H6">
        <v>1.83</v>
      </c>
      <c r="I6">
        <v>2.44</v>
      </c>
      <c r="J6">
        <f t="shared" si="3"/>
        <v>1.4999999999999999E-2</v>
      </c>
      <c r="K6">
        <f t="shared" si="2"/>
        <v>6.697800000000001E-2</v>
      </c>
    </row>
    <row r="7" spans="1:11" x14ac:dyDescent="0.3">
      <c r="B7">
        <v>18</v>
      </c>
      <c r="C7" s="33">
        <f t="shared" si="0"/>
        <v>49.767585376292722</v>
      </c>
      <c r="D7" s="32">
        <f t="shared" si="1"/>
        <v>5927.552999999999</v>
      </c>
      <c r="G7">
        <v>18</v>
      </c>
      <c r="H7">
        <v>1.83</v>
      </c>
      <c r="I7">
        <v>2.44</v>
      </c>
      <c r="J7">
        <f t="shared" si="3"/>
        <v>1.7999999999999999E-2</v>
      </c>
      <c r="K7">
        <f t="shared" si="2"/>
        <v>8.0373599999999989E-2</v>
      </c>
    </row>
    <row r="8" spans="1:11" x14ac:dyDescent="0.3">
      <c r="B8">
        <v>25</v>
      </c>
      <c r="C8" s="33">
        <f t="shared" si="0"/>
        <v>35.832661470930752</v>
      </c>
      <c r="D8" s="32">
        <f t="shared" si="1"/>
        <v>8232.7124999999996</v>
      </c>
      <c r="G8">
        <v>25</v>
      </c>
      <c r="H8">
        <v>1.83</v>
      </c>
      <c r="I8">
        <v>2.44</v>
      </c>
      <c r="J8">
        <f t="shared" si="3"/>
        <v>2.5000000000000001E-2</v>
      </c>
      <c r="K8">
        <f t="shared" si="2"/>
        <v>0.11163000000000001</v>
      </c>
    </row>
    <row r="9" spans="1:11" x14ac:dyDescent="0.3">
      <c r="B9">
        <v>30</v>
      </c>
      <c r="C9" s="33">
        <f t="shared" si="0"/>
        <v>29.860551225775623</v>
      </c>
      <c r="D9" s="32">
        <f t="shared" si="1"/>
        <v>9879.255000000001</v>
      </c>
      <c r="G9">
        <v>30</v>
      </c>
      <c r="H9">
        <v>1.83</v>
      </c>
      <c r="I9">
        <v>2.44</v>
      </c>
      <c r="J9">
        <f t="shared" si="3"/>
        <v>0.03</v>
      </c>
      <c r="K9">
        <f t="shared" si="2"/>
        <v>0.13395600000000002</v>
      </c>
    </row>
    <row r="10" spans="1:11" x14ac:dyDescent="0.3">
      <c r="B10">
        <v>36</v>
      </c>
      <c r="C10" s="33">
        <f t="shared" si="0"/>
        <v>24.883792688146361</v>
      </c>
      <c r="D10" s="32">
        <f>$B$14/C10</f>
        <v>11855.105999999998</v>
      </c>
      <c r="G10">
        <v>36</v>
      </c>
      <c r="H10">
        <v>1.83</v>
      </c>
      <c r="I10">
        <v>2.44</v>
      </c>
      <c r="J10">
        <f t="shared" si="3"/>
        <v>3.5999999999999997E-2</v>
      </c>
      <c r="K10">
        <f t="shared" si="2"/>
        <v>0.16074719999999998</v>
      </c>
    </row>
    <row r="12" spans="1:11" x14ac:dyDescent="0.3">
      <c r="A12" t="s">
        <v>449</v>
      </c>
      <c r="B12" s="34">
        <v>175000</v>
      </c>
    </row>
    <row r="13" spans="1:11" x14ac:dyDescent="0.3">
      <c r="A13" t="s">
        <v>172</v>
      </c>
      <c r="B13" s="34">
        <v>120000</v>
      </c>
    </row>
    <row r="14" spans="1:11" x14ac:dyDescent="0.3">
      <c r="A14" t="s">
        <v>450</v>
      </c>
      <c r="B14" s="35">
        <f>SUM(B12:B13)</f>
        <v>295000</v>
      </c>
    </row>
    <row r="17" spans="1:4" x14ac:dyDescent="0.3">
      <c r="A17" s="127" t="s">
        <v>176</v>
      </c>
      <c r="B17" s="128"/>
      <c r="C17" s="128"/>
      <c r="D17" s="129"/>
    </row>
    <row r="18" spans="1:4" x14ac:dyDescent="0.3">
      <c r="A18" s="14" t="s">
        <v>186</v>
      </c>
      <c r="B18" s="14" t="s">
        <v>2</v>
      </c>
      <c r="C18" s="14" t="s">
        <v>451</v>
      </c>
      <c r="D18" s="3" t="s">
        <v>452</v>
      </c>
    </row>
    <row r="19" spans="1:4" x14ac:dyDescent="0.3">
      <c r="A19" s="3" cm="1">
        <f t="array" ref="A19">_xlfn._xlws.FILTER(_xlfn.UNIQUE(cotizador!C6:C15), _xlfn.UNIQUE(cotizador!C6:C15)&lt;&gt;0)</f>
        <v>15</v>
      </c>
      <c r="B19" s="3">
        <f>IF(SUMIF(cotizador!C6:C15,  A19, cotizador!D6:D15)=0,"",SUMIF(cotizador!C6:C15,  A19, cotizador!D6:D15))</f>
        <v>2</v>
      </c>
      <c r="C19" s="26">
        <f t="shared" ref="C19:C27" si="4">IF(SUMIF($B$1:$B$10,  A19, $D$1:$D$10)=0,"",SUMIF($B$1:$B$10,  A19, $D$1:$D$10))</f>
        <v>4939.6275000000005</v>
      </c>
      <c r="D19" s="31">
        <f>IFERROR(B19*C19,"")</f>
        <v>9879.255000000001</v>
      </c>
    </row>
    <row r="20" spans="1:4" x14ac:dyDescent="0.3">
      <c r="A20" s="3"/>
      <c r="B20" s="3" t="str">
        <f>IF(SUMIF(cotizador!C7:C16,  A20, cotizador!D7:D16)=0,"",SUMIF(cotizador!C7:C16,  A20, cotizador!D7:D16))</f>
        <v/>
      </c>
      <c r="C20" s="26" t="str">
        <f t="shared" si="4"/>
        <v/>
      </c>
      <c r="D20" s="31" t="str">
        <f t="shared" ref="D20:D27" si="5">IFERROR(B20*C20,"")</f>
        <v/>
      </c>
    </row>
    <row r="21" spans="1:4" x14ac:dyDescent="0.3">
      <c r="A21" s="3"/>
      <c r="B21" s="3" t="str">
        <f>IF(SUMIF(cotizador!C8:C17,  A21, cotizador!D8:D17)=0,"",SUMIF(cotizador!C8:C17,  A21, cotizador!D8:D17))</f>
        <v/>
      </c>
      <c r="C21" s="26" t="str">
        <f t="shared" si="4"/>
        <v/>
      </c>
      <c r="D21" s="31" t="str">
        <f t="shared" si="5"/>
        <v/>
      </c>
    </row>
    <row r="22" spans="1:4" x14ac:dyDescent="0.3">
      <c r="A22" s="3"/>
      <c r="B22" s="3" t="str">
        <f>IF(SUMIF(cotizador!C9:C18,  A22, cotizador!D9:D18)=0,"",SUMIF(cotizador!C9:C18,  A22, cotizador!D9:D18))</f>
        <v/>
      </c>
      <c r="C22" s="26" t="str">
        <f t="shared" si="4"/>
        <v/>
      </c>
      <c r="D22" s="31" t="str">
        <f t="shared" si="5"/>
        <v/>
      </c>
    </row>
    <row r="23" spans="1:4" x14ac:dyDescent="0.3">
      <c r="A23" s="3"/>
      <c r="B23" s="3" t="str">
        <f>IF(SUMIF(cotizador!C10:C19,  A23, cotizador!D10:D19)=0,"",SUMIF(cotizador!C10:C19,  A23, cotizador!D10:D19))</f>
        <v/>
      </c>
      <c r="C23" s="26" t="str">
        <f t="shared" si="4"/>
        <v/>
      </c>
      <c r="D23" s="31" t="str">
        <f t="shared" si="5"/>
        <v/>
      </c>
    </row>
    <row r="24" spans="1:4" x14ac:dyDescent="0.3">
      <c r="A24" s="3"/>
      <c r="B24" s="3" t="str">
        <f>IF(SUMIF(cotizador!C11:C20,  A24, cotizador!D11:D20)=0,"",SUMIF(cotizador!C11:C20,  A24, cotizador!D11:D20))</f>
        <v/>
      </c>
      <c r="C24" s="26" t="str">
        <f t="shared" si="4"/>
        <v/>
      </c>
      <c r="D24" s="31" t="str">
        <f t="shared" si="5"/>
        <v/>
      </c>
    </row>
    <row r="25" spans="1:4" x14ac:dyDescent="0.3">
      <c r="A25" s="3"/>
      <c r="B25" s="3" t="str">
        <f>IF(SUMIF(cotizador!C12:C21,  A25, cotizador!D12:D21)=0,"",SUMIF(cotizador!C12:C21,  A25, cotizador!D12:D21))</f>
        <v/>
      </c>
      <c r="C25" s="26" t="str">
        <f t="shared" si="4"/>
        <v/>
      </c>
      <c r="D25" s="31" t="str">
        <f t="shared" si="5"/>
        <v/>
      </c>
    </row>
    <row r="26" spans="1:4" x14ac:dyDescent="0.3">
      <c r="A26" s="3"/>
      <c r="B26" s="3" t="str">
        <f>IF(SUMIF(cotizador!C13:C22,  A26, cotizador!D13:D22)=0,"",SUMIF(cotizador!C13:C22,  A26, cotizador!D13:D22))</f>
        <v/>
      </c>
      <c r="C26" s="26" t="str">
        <f t="shared" si="4"/>
        <v/>
      </c>
      <c r="D26" s="31" t="str">
        <f t="shared" si="5"/>
        <v/>
      </c>
    </row>
    <row r="27" spans="1:4" x14ac:dyDescent="0.3">
      <c r="A27" s="3"/>
      <c r="B27" s="3" t="str">
        <f>IF(SUMIF(cotizador!C14:C23,  A27, cotizador!D14:D23)=0,"",SUMIF(cotizador!C14:C23,  A27, cotizador!D14:D23))</f>
        <v/>
      </c>
      <c r="C27" s="26" t="str">
        <f t="shared" si="4"/>
        <v/>
      </c>
      <c r="D27" s="31" t="str">
        <f t="shared" si="5"/>
        <v/>
      </c>
    </row>
    <row r="28" spans="1:4" x14ac:dyDescent="0.3">
      <c r="A28" s="3"/>
      <c r="B28" s="3" t="str">
        <f>IF(SUMIF(cotizador!D15:D24,  A28, cotizador!E15:E24)=0,"",SUMIF(cotizador!D15:D24,  A28, cotizador!E15:E24))</f>
        <v/>
      </c>
      <c r="C28" s="3" t="s">
        <v>124</v>
      </c>
      <c r="D28" s="31">
        <f>SUM(D19:D27)</f>
        <v>9879.255000000001</v>
      </c>
    </row>
  </sheetData>
  <mergeCells count="1">
    <mergeCell ref="A17:D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39EA-3985-4024-9B8F-C552DA20BC25}">
  <sheetPr codeName="Hoja8"/>
  <dimension ref="A1:B11"/>
  <sheetViews>
    <sheetView workbookViewId="0">
      <selection activeCell="A12" sqref="A12"/>
    </sheetView>
  </sheetViews>
  <sheetFormatPr baseColWidth="10" defaultColWidth="11.44140625" defaultRowHeight="14.4" x14ac:dyDescent="0.3"/>
  <cols>
    <col min="1" max="1" width="23" customWidth="1"/>
    <col min="2" max="2" width="13" bestFit="1" customWidth="1"/>
  </cols>
  <sheetData>
    <row r="1" spans="1:2" x14ac:dyDescent="0.3">
      <c r="A1" t="s">
        <v>447</v>
      </c>
    </row>
    <row r="2" spans="1:2" x14ac:dyDescent="0.3">
      <c r="A2" t="s">
        <v>453</v>
      </c>
    </row>
    <row r="3" spans="1:2" x14ac:dyDescent="0.3">
      <c r="A3">
        <v>1600</v>
      </c>
    </row>
    <row r="5" spans="1:2" x14ac:dyDescent="0.3">
      <c r="A5" t="s">
        <v>454</v>
      </c>
      <c r="B5" s="36">
        <v>175000</v>
      </c>
    </row>
    <row r="6" spans="1:2" x14ac:dyDescent="0.3">
      <c r="A6" t="s">
        <v>172</v>
      </c>
      <c r="B6" s="34">
        <v>120000</v>
      </c>
    </row>
    <row r="7" spans="1:2" x14ac:dyDescent="0.3">
      <c r="A7" t="s">
        <v>450</v>
      </c>
      <c r="B7" s="35">
        <f>SUM(B5:B6)</f>
        <v>295000</v>
      </c>
    </row>
    <row r="9" spans="1:2" x14ac:dyDescent="0.3">
      <c r="A9" s="122" t="s">
        <v>176</v>
      </c>
      <c r="B9" s="122"/>
    </row>
    <row r="10" spans="1:2" x14ac:dyDescent="0.3">
      <c r="A10" s="14" t="s">
        <v>2</v>
      </c>
      <c r="B10" s="3" t="s">
        <v>452</v>
      </c>
    </row>
    <row r="11" spans="1:2" x14ac:dyDescent="0.3">
      <c r="A11" s="3">
        <f>SUM(cotizador!E18:E27)</f>
        <v>52724</v>
      </c>
      <c r="B11" s="31">
        <f>(B7/A3)*A11</f>
        <v>9720987.5</v>
      </c>
    </row>
  </sheetData>
  <mergeCells count="1">
    <mergeCell ref="A9:B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B443C-A4B2-406B-A242-2AADEF0668E9}">
  <sheetPr codeName="Hoja9"/>
  <dimension ref="A1:N86"/>
  <sheetViews>
    <sheetView topLeftCell="A60" workbookViewId="0">
      <selection activeCell="A19" sqref="A19"/>
    </sheetView>
  </sheetViews>
  <sheetFormatPr baseColWidth="10" defaultColWidth="11.44140625" defaultRowHeight="14.4" x14ac:dyDescent="0.3"/>
  <cols>
    <col min="1" max="1" width="24.33203125" customWidth="1"/>
    <col min="2" max="2" width="15" customWidth="1"/>
    <col min="9" max="9" width="18.88671875" customWidth="1"/>
    <col min="13" max="13" width="15.33203125" customWidth="1"/>
    <col min="14" max="14" width="15" customWidth="1"/>
  </cols>
  <sheetData>
    <row r="1" spans="1:14" ht="15" thickBot="1" x14ac:dyDescent="0.35">
      <c r="A1" s="58" t="s">
        <v>455</v>
      </c>
      <c r="B1" s="59"/>
      <c r="C1" s="59"/>
      <c r="D1" s="60">
        <v>100</v>
      </c>
      <c r="E1" s="60">
        <v>560</v>
      </c>
      <c r="F1" s="60">
        <v>280</v>
      </c>
      <c r="G1" s="60">
        <v>325</v>
      </c>
      <c r="H1" s="61">
        <v>325</v>
      </c>
      <c r="I1" s="3"/>
      <c r="K1" s="127" t="s">
        <v>176</v>
      </c>
      <c r="L1" s="128"/>
      <c r="M1" s="128"/>
      <c r="N1" s="129"/>
    </row>
    <row r="2" spans="1:14" ht="27.6" x14ac:dyDescent="0.3">
      <c r="A2" s="37" t="s">
        <v>456</v>
      </c>
      <c r="B2" s="38" t="s">
        <v>457</v>
      </c>
      <c r="C2" s="38" t="s">
        <v>127</v>
      </c>
      <c r="D2" s="39" t="s">
        <v>458</v>
      </c>
      <c r="E2" s="39" t="s">
        <v>459</v>
      </c>
      <c r="F2" s="39" t="s">
        <v>460</v>
      </c>
      <c r="G2" s="38" t="s">
        <v>461</v>
      </c>
      <c r="H2" s="62" t="s">
        <v>462</v>
      </c>
      <c r="I2" s="68" t="s">
        <v>463</v>
      </c>
      <c r="K2" s="109" t="s">
        <v>178</v>
      </c>
      <c r="L2" s="3" t="s">
        <v>2</v>
      </c>
      <c r="M2" s="3" t="s">
        <v>179</v>
      </c>
      <c r="N2" s="3" t="s">
        <v>180</v>
      </c>
    </row>
    <row r="3" spans="1:14" x14ac:dyDescent="0.3">
      <c r="A3" s="40" t="s">
        <v>14</v>
      </c>
      <c r="B3" s="41">
        <v>1</v>
      </c>
      <c r="C3" s="41">
        <v>0</v>
      </c>
      <c r="D3" s="41">
        <v>0</v>
      </c>
      <c r="E3" s="41">
        <v>0</v>
      </c>
      <c r="F3" s="41">
        <v>0</v>
      </c>
      <c r="G3" s="41">
        <v>0</v>
      </c>
      <c r="H3" s="63">
        <v>0</v>
      </c>
      <c r="I3" s="69">
        <f>($D$1*D3)+(E3*$E$1)+(F3*$F$1)+(G3*$G$1)+(H3*$H$1)</f>
        <v>0</v>
      </c>
      <c r="K3" s="3" t="str" cm="1">
        <f t="array" ref="K3">_xlfn.UNIQUE(_xlfn._xlws.FILTER(Despiece!B:B,COUNTIF(Mecanizado!A:A,Despiece!B:B)&gt;0,""))</f>
        <v/>
      </c>
      <c r="L3" s="3" t="str">
        <f>IF(SUMIF(Despiece!B:B,  Mecanizado!K3,Despiece!C:C)=0,"",SUMIF(Despiece!B:B,  Mecanizado!K3,Despiece!C:C))</f>
        <v/>
      </c>
      <c r="M3" s="26" t="str">
        <f t="shared" ref="M3:M33" si="0">IF(SUMIF(A3:A86,  K3, I3:I86)=0,"",SUMIF(A3:A86,  K3, I3:I86))</f>
        <v/>
      </c>
      <c r="N3" s="26" t="str">
        <f t="shared" ref="N3:N33" si="1">IFERROR(L3*M3,"")</f>
        <v/>
      </c>
    </row>
    <row r="4" spans="1:14" x14ac:dyDescent="0.3">
      <c r="A4" s="40" t="s">
        <v>21</v>
      </c>
      <c r="B4" s="41">
        <v>1</v>
      </c>
      <c r="C4" s="41">
        <v>2</v>
      </c>
      <c r="D4" s="42">
        <v>4</v>
      </c>
      <c r="E4" s="42">
        <v>0</v>
      </c>
      <c r="F4" s="42">
        <v>0</v>
      </c>
      <c r="G4" s="43">
        <v>0</v>
      </c>
      <c r="H4" s="63">
        <v>0</v>
      </c>
      <c r="I4" s="69">
        <f t="shared" ref="I4:I67" si="2">($D$1*D4)+(E4*$E$1)+(F4*$F$1)+(G4*$G$1)+(H4*$H$1)</f>
        <v>400</v>
      </c>
      <c r="K4" s="3"/>
      <c r="L4" s="3" t="str">
        <f>IF(SUMIF(Despiece!B:B,  Mecanizado!K4,Despiece!C:C)=0,"",SUMIF(Despiece!B:B,  Mecanizado!K4,Despiece!C:C))</f>
        <v/>
      </c>
      <c r="M4" s="26" t="str">
        <f>IF(SUMIF(A4:A87,  K4, I4:I87)=0,"",SUMIF(A4:A87,  K4, I4:I87))</f>
        <v/>
      </c>
      <c r="N4" s="26" t="str">
        <f t="shared" si="1"/>
        <v/>
      </c>
    </row>
    <row r="5" spans="1:14" x14ac:dyDescent="0.3">
      <c r="A5" s="40" t="s">
        <v>464</v>
      </c>
      <c r="B5" s="41">
        <v>1</v>
      </c>
      <c r="C5" s="41">
        <v>0</v>
      </c>
      <c r="D5" s="42">
        <v>4</v>
      </c>
      <c r="E5" s="42">
        <v>0</v>
      </c>
      <c r="F5" s="42">
        <v>0</v>
      </c>
      <c r="G5" s="41">
        <v>0</v>
      </c>
      <c r="H5" s="63">
        <v>0</v>
      </c>
      <c r="I5" s="69">
        <f t="shared" si="2"/>
        <v>400</v>
      </c>
      <c r="K5" s="3"/>
      <c r="L5" s="3" t="str">
        <f>IF(SUMIF(Despiece!B:B,  Mecanizado!K5,Despiece!C:C)=0,"",SUMIF(Despiece!B:B,  Mecanizado!K5,Despiece!C:C))</f>
        <v/>
      </c>
      <c r="M5" s="26" t="str">
        <f t="shared" si="0"/>
        <v/>
      </c>
      <c r="N5" s="26" t="str">
        <f t="shared" si="1"/>
        <v/>
      </c>
    </row>
    <row r="6" spans="1:14" x14ac:dyDescent="0.3">
      <c r="A6" s="44" t="s">
        <v>465</v>
      </c>
      <c r="B6" s="43">
        <v>1</v>
      </c>
      <c r="C6" s="43">
        <v>0</v>
      </c>
      <c r="D6" s="42">
        <v>2</v>
      </c>
      <c r="E6" s="42">
        <v>0</v>
      </c>
      <c r="F6" s="42">
        <v>0</v>
      </c>
      <c r="G6" s="41">
        <v>0</v>
      </c>
      <c r="H6" s="63">
        <v>0</v>
      </c>
      <c r="I6" s="69">
        <f t="shared" si="2"/>
        <v>200</v>
      </c>
      <c r="K6" s="3"/>
      <c r="L6" s="3" t="str">
        <f>IF(SUMIF(Despiece!B:B,  Mecanizado!K6,Despiece!C:C)=0,"",SUMIF(Despiece!B:B,  Mecanizado!K6,Despiece!C:C))</f>
        <v/>
      </c>
      <c r="M6" s="26" t="str">
        <f t="shared" si="0"/>
        <v/>
      </c>
      <c r="N6" s="26" t="str">
        <f t="shared" si="1"/>
        <v/>
      </c>
    </row>
    <row r="7" spans="1:14" x14ac:dyDescent="0.3">
      <c r="A7" s="44" t="s">
        <v>466</v>
      </c>
      <c r="B7" s="43">
        <v>1</v>
      </c>
      <c r="C7" s="43">
        <v>0</v>
      </c>
      <c r="D7" s="42">
        <v>3</v>
      </c>
      <c r="E7" s="42">
        <v>1</v>
      </c>
      <c r="F7" s="42">
        <v>0</v>
      </c>
      <c r="G7" s="41">
        <v>0</v>
      </c>
      <c r="H7" s="63">
        <v>0</v>
      </c>
      <c r="I7" s="69">
        <f t="shared" si="2"/>
        <v>860</v>
      </c>
      <c r="K7" s="3"/>
      <c r="L7" s="3" t="str">
        <f>IF(SUMIF(Despiece!B:B,  Mecanizado!K7,Despiece!C:C)=0,"",SUMIF(Despiece!B:B,  Mecanizado!K7,Despiece!C:C))</f>
        <v/>
      </c>
      <c r="M7" s="26" t="str">
        <f t="shared" si="0"/>
        <v/>
      </c>
      <c r="N7" s="26" t="str">
        <f t="shared" si="1"/>
        <v/>
      </c>
    </row>
    <row r="8" spans="1:14" x14ac:dyDescent="0.3">
      <c r="A8" s="44" t="s">
        <v>467</v>
      </c>
      <c r="B8" s="43">
        <v>2</v>
      </c>
      <c r="C8" s="43">
        <v>0</v>
      </c>
      <c r="D8" s="43">
        <v>2</v>
      </c>
      <c r="E8" s="43">
        <v>0</v>
      </c>
      <c r="F8" s="43">
        <v>0</v>
      </c>
      <c r="G8" s="43">
        <v>0</v>
      </c>
      <c r="H8" s="63">
        <v>0</v>
      </c>
      <c r="I8" s="69">
        <f t="shared" si="2"/>
        <v>200</v>
      </c>
      <c r="K8" s="3"/>
      <c r="L8" s="3" t="str">
        <f>IF(SUMIF(Despiece!B:B,  Mecanizado!K8,Despiece!C:C)=0,"",SUMIF(Despiece!B:B,  Mecanizado!K8,Despiece!C:C))</f>
        <v/>
      </c>
      <c r="M8" s="26" t="str">
        <f t="shared" si="0"/>
        <v/>
      </c>
      <c r="N8" s="26" t="str">
        <f t="shared" si="1"/>
        <v/>
      </c>
    </row>
    <row r="9" spans="1:14" x14ac:dyDescent="0.3">
      <c r="A9" s="45" t="s">
        <v>468</v>
      </c>
      <c r="B9" s="41">
        <v>1</v>
      </c>
      <c r="C9" s="41">
        <v>2</v>
      </c>
      <c r="D9" s="41">
        <v>10</v>
      </c>
      <c r="E9" s="41">
        <v>2</v>
      </c>
      <c r="F9" s="41">
        <v>1</v>
      </c>
      <c r="G9" s="41">
        <v>0</v>
      </c>
      <c r="H9" s="63">
        <v>0</v>
      </c>
      <c r="I9" s="69">
        <f t="shared" si="2"/>
        <v>2400</v>
      </c>
      <c r="K9" s="3"/>
      <c r="L9" s="3" t="str">
        <f>IF(SUMIF(Despiece!B:B,  Mecanizado!K9,Despiece!C:C)=0,"",SUMIF(Despiece!B:B,  Mecanizado!K9,Despiece!C:C))</f>
        <v/>
      </c>
      <c r="M9" s="26" t="str">
        <f t="shared" si="0"/>
        <v/>
      </c>
      <c r="N9" s="26" t="str">
        <f t="shared" si="1"/>
        <v/>
      </c>
    </row>
    <row r="10" spans="1:14" x14ac:dyDescent="0.3">
      <c r="A10" s="45" t="s">
        <v>469</v>
      </c>
      <c r="B10" s="41">
        <v>1</v>
      </c>
      <c r="C10" s="41">
        <v>2</v>
      </c>
      <c r="D10" s="41">
        <v>10</v>
      </c>
      <c r="E10" s="41">
        <v>2</v>
      </c>
      <c r="F10" s="41">
        <v>0</v>
      </c>
      <c r="G10" s="41">
        <v>0</v>
      </c>
      <c r="H10" s="63">
        <v>0</v>
      </c>
      <c r="I10" s="69">
        <f t="shared" si="2"/>
        <v>2120</v>
      </c>
      <c r="K10" s="3"/>
      <c r="L10" s="3" t="str">
        <f>IF(SUMIF(Despiece!B:B,  Mecanizado!K10,Despiece!C:C)=0,"",SUMIF(Despiece!B:B,  Mecanizado!K10,Despiece!C:C))</f>
        <v/>
      </c>
      <c r="M10" s="26" t="str">
        <f t="shared" si="0"/>
        <v/>
      </c>
      <c r="N10" s="26" t="str">
        <f t="shared" si="1"/>
        <v/>
      </c>
    </row>
    <row r="11" spans="1:14" x14ac:dyDescent="0.3">
      <c r="A11" s="44" t="s">
        <v>470</v>
      </c>
      <c r="B11" s="43">
        <v>1</v>
      </c>
      <c r="C11" s="43">
        <v>2</v>
      </c>
      <c r="D11" s="43">
        <v>6</v>
      </c>
      <c r="E11" s="43">
        <v>0</v>
      </c>
      <c r="F11" s="43">
        <v>1</v>
      </c>
      <c r="G11" s="43">
        <v>0</v>
      </c>
      <c r="H11" s="64">
        <v>0</v>
      </c>
      <c r="I11" s="69">
        <f t="shared" si="2"/>
        <v>880</v>
      </c>
      <c r="K11" s="3"/>
      <c r="L11" s="3" t="str">
        <f>IF(SUMIF(Despiece!B:B,  Mecanizado!K11,Despiece!C:C)=0,"",SUMIF(Despiece!B:B,  Mecanizado!K11,Despiece!C:C))</f>
        <v/>
      </c>
      <c r="M11" s="26" t="str">
        <f t="shared" si="0"/>
        <v/>
      </c>
      <c r="N11" s="26" t="str">
        <f t="shared" si="1"/>
        <v/>
      </c>
    </row>
    <row r="12" spans="1:14" x14ac:dyDescent="0.3">
      <c r="A12" s="44" t="s">
        <v>471</v>
      </c>
      <c r="B12" s="43">
        <v>1</v>
      </c>
      <c r="C12" s="43">
        <v>2</v>
      </c>
      <c r="D12" s="43">
        <v>6</v>
      </c>
      <c r="E12" s="43">
        <v>0</v>
      </c>
      <c r="F12" s="43">
        <v>0</v>
      </c>
      <c r="G12" s="43">
        <v>0</v>
      </c>
      <c r="H12" s="64">
        <v>0</v>
      </c>
      <c r="I12" s="69">
        <f t="shared" si="2"/>
        <v>600</v>
      </c>
      <c r="K12" s="3"/>
      <c r="L12" s="3" t="str">
        <f>IF(SUMIF(Despiece!B:B,  Mecanizado!K12,Despiece!C:C)=0,"",SUMIF(Despiece!B:B,  Mecanizado!K12,Despiece!C:C))</f>
        <v/>
      </c>
      <c r="M12" s="26" t="str">
        <f t="shared" si="0"/>
        <v/>
      </c>
      <c r="N12" s="26" t="str">
        <f t="shared" si="1"/>
        <v/>
      </c>
    </row>
    <row r="13" spans="1:14" x14ac:dyDescent="0.3">
      <c r="A13" s="40" t="s">
        <v>472</v>
      </c>
      <c r="B13" s="41">
        <v>1</v>
      </c>
      <c r="C13" s="41">
        <v>2</v>
      </c>
      <c r="D13" s="41">
        <v>8</v>
      </c>
      <c r="E13" s="41">
        <v>2</v>
      </c>
      <c r="F13" s="41">
        <v>0</v>
      </c>
      <c r="G13" s="41">
        <v>0</v>
      </c>
      <c r="H13" s="63">
        <v>0</v>
      </c>
      <c r="I13" s="69">
        <f t="shared" si="2"/>
        <v>1920</v>
      </c>
      <c r="K13" s="3"/>
      <c r="L13" s="3" t="str">
        <f>IF(SUMIF(Despiece!B:B,  Mecanizado!K13,Despiece!C:C)=0,"",SUMIF(Despiece!B:B,  Mecanizado!K13,Despiece!C:C))</f>
        <v/>
      </c>
      <c r="M13" s="26" t="str">
        <f t="shared" si="0"/>
        <v/>
      </c>
      <c r="N13" s="26" t="str">
        <f t="shared" si="1"/>
        <v/>
      </c>
    </row>
    <row r="14" spans="1:14" x14ac:dyDescent="0.3">
      <c r="A14" s="40" t="s">
        <v>473</v>
      </c>
      <c r="B14" s="41">
        <v>1</v>
      </c>
      <c r="C14" s="41">
        <v>2</v>
      </c>
      <c r="D14" s="41">
        <v>8</v>
      </c>
      <c r="E14" s="41">
        <v>0</v>
      </c>
      <c r="F14" s="41">
        <v>0</v>
      </c>
      <c r="G14" s="41">
        <v>0</v>
      </c>
      <c r="H14" s="63">
        <v>0</v>
      </c>
      <c r="I14" s="69">
        <f t="shared" si="2"/>
        <v>800</v>
      </c>
      <c r="K14" s="3"/>
      <c r="L14" s="3" t="str">
        <f>IF(SUMIF(Despiece!B:B,  Mecanizado!K14,Despiece!C:C)=0,"",SUMIF(Despiece!B:B,  Mecanizado!K14,Despiece!C:C))</f>
        <v/>
      </c>
      <c r="M14" s="26" t="str">
        <f t="shared" si="0"/>
        <v/>
      </c>
      <c r="N14" s="26" t="str">
        <f t="shared" si="1"/>
        <v/>
      </c>
    </row>
    <row r="15" spans="1:14" x14ac:dyDescent="0.3">
      <c r="A15" s="40" t="s">
        <v>474</v>
      </c>
      <c r="B15" s="41">
        <v>2</v>
      </c>
      <c r="C15" s="41">
        <v>0</v>
      </c>
      <c r="D15" s="41">
        <v>0</v>
      </c>
      <c r="E15" s="41">
        <v>0</v>
      </c>
      <c r="F15" s="41">
        <v>0</v>
      </c>
      <c r="G15" s="41">
        <v>0</v>
      </c>
      <c r="H15" s="63">
        <v>0</v>
      </c>
      <c r="I15" s="69">
        <f t="shared" si="2"/>
        <v>0</v>
      </c>
      <c r="K15" s="3"/>
      <c r="L15" s="3" t="str">
        <f>IF(SUMIF(Despiece!B:B,  Mecanizado!K15,Despiece!C:C)=0,"",SUMIF(Despiece!B:B,  Mecanizado!K15,Despiece!C:C))</f>
        <v/>
      </c>
      <c r="M15" s="26" t="str">
        <f t="shared" si="0"/>
        <v/>
      </c>
      <c r="N15" s="26" t="str">
        <f t="shared" si="1"/>
        <v/>
      </c>
    </row>
    <row r="16" spans="1:14" x14ac:dyDescent="0.3">
      <c r="A16" s="40" t="s">
        <v>475</v>
      </c>
      <c r="B16" s="41">
        <v>0</v>
      </c>
      <c r="C16" s="41">
        <v>0</v>
      </c>
      <c r="D16" s="41">
        <v>0</v>
      </c>
      <c r="E16" s="41">
        <v>0</v>
      </c>
      <c r="F16" s="41">
        <v>0</v>
      </c>
      <c r="G16" s="41">
        <v>0</v>
      </c>
      <c r="H16" s="63">
        <v>0</v>
      </c>
      <c r="I16" s="69">
        <f t="shared" si="2"/>
        <v>0</v>
      </c>
      <c r="K16" s="3"/>
      <c r="L16" s="3" t="str">
        <f>IF(SUMIF(Despiece!B:B,  Mecanizado!K16,Despiece!C:C)=0,"",SUMIF(Despiece!B:B,  Mecanizado!K16,Despiece!C:C))</f>
        <v/>
      </c>
      <c r="M16" s="26" t="str">
        <f t="shared" si="0"/>
        <v/>
      </c>
      <c r="N16" s="26" t="str">
        <f t="shared" si="1"/>
        <v/>
      </c>
    </row>
    <row r="17" spans="1:14" x14ac:dyDescent="0.3">
      <c r="A17" s="46" t="s">
        <v>476</v>
      </c>
      <c r="B17" s="41">
        <v>1</v>
      </c>
      <c r="C17" s="41">
        <v>0</v>
      </c>
      <c r="D17" s="41">
        <v>0</v>
      </c>
      <c r="E17" s="41">
        <v>0</v>
      </c>
      <c r="F17" s="41">
        <v>0</v>
      </c>
      <c r="G17" s="41">
        <v>0</v>
      </c>
      <c r="H17" s="63">
        <v>0</v>
      </c>
      <c r="I17" s="69">
        <f t="shared" si="2"/>
        <v>0</v>
      </c>
      <c r="K17" s="3"/>
      <c r="L17" s="3" t="str">
        <f>IF(SUMIF(Despiece!B:B,  Mecanizado!K17,Despiece!C:C)=0,"",SUMIF(Despiece!B:B,  Mecanizado!K17,Despiece!C:C))</f>
        <v/>
      </c>
      <c r="M17" s="26" t="str">
        <f t="shared" si="0"/>
        <v/>
      </c>
      <c r="N17" s="26" t="str">
        <f t="shared" si="1"/>
        <v/>
      </c>
    </row>
    <row r="18" spans="1:14" x14ac:dyDescent="0.3">
      <c r="A18" s="44" t="s">
        <v>477</v>
      </c>
      <c r="B18" s="43">
        <v>1</v>
      </c>
      <c r="C18" s="43">
        <v>0</v>
      </c>
      <c r="D18" s="43">
        <v>11</v>
      </c>
      <c r="E18" s="47">
        <v>2</v>
      </c>
      <c r="F18" s="43">
        <v>0</v>
      </c>
      <c r="G18" s="43">
        <v>0</v>
      </c>
      <c r="H18" s="63">
        <v>0</v>
      </c>
      <c r="I18" s="69">
        <f t="shared" si="2"/>
        <v>2220</v>
      </c>
      <c r="K18" s="3"/>
      <c r="L18" s="3" t="str">
        <f>IF(SUMIF(Despiece!B:B,  Mecanizado!K18,Despiece!C:C)=0,"",SUMIF(Despiece!B:B,  Mecanizado!K18,Despiece!C:C))</f>
        <v/>
      </c>
      <c r="M18" s="26" t="str">
        <f t="shared" si="0"/>
        <v/>
      </c>
      <c r="N18" s="26" t="str">
        <f t="shared" si="1"/>
        <v/>
      </c>
    </row>
    <row r="19" spans="1:14" x14ac:dyDescent="0.3">
      <c r="A19" s="44" t="s">
        <v>478</v>
      </c>
      <c r="B19" s="43">
        <v>2</v>
      </c>
      <c r="C19" s="43">
        <v>0</v>
      </c>
      <c r="D19" s="43">
        <v>11</v>
      </c>
      <c r="E19" s="43">
        <v>2</v>
      </c>
      <c r="F19" s="42">
        <v>0</v>
      </c>
      <c r="G19" s="41">
        <v>0</v>
      </c>
      <c r="H19" s="63">
        <v>0</v>
      </c>
      <c r="I19" s="69">
        <f t="shared" si="2"/>
        <v>2220</v>
      </c>
      <c r="K19" s="3"/>
      <c r="L19" s="3" t="str">
        <f>IF(SUMIF(Despiece!B:B,  Mecanizado!K19,Despiece!C:C)=0,"",SUMIF(Despiece!B:B,  Mecanizado!K19,Despiece!C:C))</f>
        <v/>
      </c>
      <c r="M19" s="26" t="str">
        <f t="shared" si="0"/>
        <v/>
      </c>
      <c r="N19" s="26" t="str">
        <f t="shared" si="1"/>
        <v/>
      </c>
    </row>
    <row r="20" spans="1:14" x14ac:dyDescent="0.3">
      <c r="A20" s="44" t="s">
        <v>479</v>
      </c>
      <c r="B20" s="43">
        <v>1</v>
      </c>
      <c r="C20" s="43">
        <v>0</v>
      </c>
      <c r="D20" s="42">
        <v>0</v>
      </c>
      <c r="E20" s="42">
        <v>0</v>
      </c>
      <c r="F20" s="42">
        <v>0</v>
      </c>
      <c r="G20" s="41">
        <v>0</v>
      </c>
      <c r="H20" s="63">
        <v>0</v>
      </c>
      <c r="I20" s="69">
        <f t="shared" si="2"/>
        <v>0</v>
      </c>
      <c r="K20" s="3"/>
      <c r="L20" s="3" t="str">
        <f>IF(SUMIF(Despiece!B:B,  Mecanizado!K20,Despiece!C:C)=0,"",SUMIF(Despiece!B:B,  Mecanizado!K20,Despiece!C:C))</f>
        <v/>
      </c>
      <c r="M20" s="26" t="str">
        <f t="shared" si="0"/>
        <v/>
      </c>
      <c r="N20" s="26" t="str">
        <f t="shared" si="1"/>
        <v/>
      </c>
    </row>
    <row r="21" spans="1:14" x14ac:dyDescent="0.3">
      <c r="A21" s="44" t="s">
        <v>480</v>
      </c>
      <c r="B21" s="43">
        <v>1</v>
      </c>
      <c r="C21" s="43">
        <v>0</v>
      </c>
      <c r="D21" s="43">
        <v>12</v>
      </c>
      <c r="E21" s="43">
        <v>0</v>
      </c>
      <c r="F21" s="43">
        <v>1</v>
      </c>
      <c r="G21" s="43">
        <v>0</v>
      </c>
      <c r="H21" s="64">
        <v>0</v>
      </c>
      <c r="I21" s="69">
        <f t="shared" si="2"/>
        <v>1480</v>
      </c>
      <c r="K21" s="3"/>
      <c r="L21" s="3" t="str">
        <f>IF(SUMIF(Despiece!B:B,  Mecanizado!K21,Despiece!C:C)=0,"",SUMIF(Despiece!B:B,  Mecanizado!K21,Despiece!C:C))</f>
        <v/>
      </c>
      <c r="M21" s="26" t="str">
        <f t="shared" si="0"/>
        <v/>
      </c>
      <c r="N21" s="26" t="str">
        <f t="shared" si="1"/>
        <v/>
      </c>
    </row>
    <row r="22" spans="1:14" x14ac:dyDescent="0.3">
      <c r="A22" s="44" t="s">
        <v>481</v>
      </c>
      <c r="B22" s="43">
        <v>1</v>
      </c>
      <c r="C22" s="43">
        <v>0</v>
      </c>
      <c r="D22" s="43">
        <v>12</v>
      </c>
      <c r="E22" s="43">
        <v>0</v>
      </c>
      <c r="F22" s="43">
        <v>0</v>
      </c>
      <c r="G22" s="43">
        <v>0</v>
      </c>
      <c r="H22" s="64">
        <v>0</v>
      </c>
      <c r="I22" s="69">
        <f t="shared" si="2"/>
        <v>1200</v>
      </c>
      <c r="K22" s="3"/>
      <c r="L22" s="3" t="str">
        <f>IF(SUMIF(Despiece!B:B,  Mecanizado!K22,Despiece!C:C)=0,"",SUMIF(Despiece!B:B,  Mecanizado!K22,Despiece!C:C))</f>
        <v/>
      </c>
      <c r="M22" s="26" t="str">
        <f t="shared" si="0"/>
        <v/>
      </c>
      <c r="N22" s="26" t="str">
        <f t="shared" si="1"/>
        <v/>
      </c>
    </row>
    <row r="23" spans="1:14" x14ac:dyDescent="0.3">
      <c r="A23" s="40" t="s">
        <v>482</v>
      </c>
      <c r="B23" s="41">
        <v>1</v>
      </c>
      <c r="C23" s="41">
        <v>0</v>
      </c>
      <c r="D23" s="41">
        <v>3</v>
      </c>
      <c r="E23" s="41">
        <v>0</v>
      </c>
      <c r="F23" s="41">
        <v>0</v>
      </c>
      <c r="G23" s="41">
        <v>0</v>
      </c>
      <c r="H23" s="63">
        <v>0</v>
      </c>
      <c r="I23" s="69">
        <f t="shared" si="2"/>
        <v>300</v>
      </c>
      <c r="K23" s="3"/>
      <c r="L23" s="3" t="str">
        <f>IF(SUMIF(Despiece!B:B,  Mecanizado!K23,Despiece!C:C)=0,"",SUMIF(Despiece!B:B,  Mecanizado!K23,Despiece!C:C))</f>
        <v/>
      </c>
      <c r="M23" s="26" t="str">
        <f t="shared" si="0"/>
        <v/>
      </c>
      <c r="N23" s="26" t="str">
        <f t="shared" si="1"/>
        <v/>
      </c>
    </row>
    <row r="24" spans="1:14" x14ac:dyDescent="0.3">
      <c r="A24" s="45" t="s">
        <v>483</v>
      </c>
      <c r="B24" s="41">
        <v>1</v>
      </c>
      <c r="C24" s="41">
        <v>0</v>
      </c>
      <c r="D24" s="41">
        <v>6</v>
      </c>
      <c r="E24" s="41">
        <v>0</v>
      </c>
      <c r="F24" s="41">
        <v>0</v>
      </c>
      <c r="G24" s="41">
        <v>0</v>
      </c>
      <c r="H24" s="63">
        <v>0</v>
      </c>
      <c r="I24" s="69">
        <f t="shared" si="2"/>
        <v>600</v>
      </c>
      <c r="K24" s="3"/>
      <c r="L24" s="3" t="str">
        <f>IF(SUMIF(Despiece!B:B,  Mecanizado!K24,Despiece!C:C)=0,"",SUMIF(Despiece!B:B,  Mecanizado!K24,Despiece!C:C))</f>
        <v/>
      </c>
      <c r="M24" s="26" t="str">
        <f t="shared" si="0"/>
        <v/>
      </c>
      <c r="N24" s="26" t="str">
        <f t="shared" si="1"/>
        <v/>
      </c>
    </row>
    <row r="25" spans="1:14" x14ac:dyDescent="0.3">
      <c r="A25" s="48" t="s">
        <v>484</v>
      </c>
      <c r="B25" s="49">
        <v>1</v>
      </c>
      <c r="C25" s="49">
        <v>0</v>
      </c>
      <c r="D25" s="49">
        <v>6</v>
      </c>
      <c r="E25" s="49">
        <v>0</v>
      </c>
      <c r="F25" s="49">
        <v>0</v>
      </c>
      <c r="G25" s="49">
        <v>0</v>
      </c>
      <c r="H25" s="65">
        <v>1</v>
      </c>
      <c r="I25" s="69">
        <f t="shared" si="2"/>
        <v>925</v>
      </c>
      <c r="K25" s="3"/>
      <c r="L25" s="3" t="str">
        <f>IF(SUMIF(Despiece!B:B,  Mecanizado!K25,Despiece!C:C)=0,"",SUMIF(Despiece!B:B,  Mecanizado!K25,Despiece!C:C))</f>
        <v/>
      </c>
      <c r="M25" s="26" t="str">
        <f t="shared" si="0"/>
        <v/>
      </c>
      <c r="N25" s="26" t="str">
        <f t="shared" si="1"/>
        <v/>
      </c>
    </row>
    <row r="26" spans="1:14" x14ac:dyDescent="0.3">
      <c r="A26" s="40" t="s">
        <v>485</v>
      </c>
      <c r="B26" s="41">
        <v>0</v>
      </c>
      <c r="C26" s="41">
        <v>0</v>
      </c>
      <c r="D26" s="41">
        <v>0</v>
      </c>
      <c r="E26" s="41">
        <v>0</v>
      </c>
      <c r="F26" s="41">
        <v>0</v>
      </c>
      <c r="G26" s="41">
        <v>0</v>
      </c>
      <c r="H26" s="63">
        <v>0</v>
      </c>
      <c r="I26" s="69">
        <f t="shared" si="2"/>
        <v>0</v>
      </c>
      <c r="K26" s="3"/>
      <c r="L26" s="3" t="str">
        <f>IF(SUMIF(Despiece!B:B,  Mecanizado!K26,Despiece!C:C)=0,"",SUMIF(Despiece!B:B,  Mecanizado!K26,Despiece!C:C))</f>
        <v/>
      </c>
      <c r="M26" s="26" t="str">
        <f t="shared" si="0"/>
        <v/>
      </c>
      <c r="N26" s="26" t="str">
        <f t="shared" si="1"/>
        <v/>
      </c>
    </row>
    <row r="27" spans="1:14" x14ac:dyDescent="0.3">
      <c r="A27" s="40" t="s">
        <v>486</v>
      </c>
      <c r="B27" s="41">
        <v>1</v>
      </c>
      <c r="C27" s="41">
        <v>0</v>
      </c>
      <c r="D27" s="41">
        <v>0</v>
      </c>
      <c r="E27" s="41">
        <v>0</v>
      </c>
      <c r="F27" s="41">
        <v>0</v>
      </c>
      <c r="G27" s="41">
        <v>0</v>
      </c>
      <c r="H27" s="63">
        <v>0</v>
      </c>
      <c r="I27" s="69">
        <f t="shared" si="2"/>
        <v>0</v>
      </c>
      <c r="K27" s="3"/>
      <c r="L27" s="3" t="str">
        <f>IF(SUMIF(Despiece!B:B,  Mecanizado!K27,Despiece!C:C)=0,"",SUMIF(Despiece!B:B,  Mecanizado!K27,Despiece!C:C))</f>
        <v/>
      </c>
      <c r="M27" s="26" t="str">
        <f t="shared" si="0"/>
        <v/>
      </c>
      <c r="N27" s="26" t="str">
        <f t="shared" si="1"/>
        <v/>
      </c>
    </row>
    <row r="28" spans="1:14" x14ac:dyDescent="0.3">
      <c r="A28" s="40" t="s">
        <v>487</v>
      </c>
      <c r="B28" s="41">
        <v>2</v>
      </c>
      <c r="C28" s="41">
        <v>0</v>
      </c>
      <c r="D28" s="41">
        <v>0</v>
      </c>
      <c r="E28" s="41">
        <v>0</v>
      </c>
      <c r="F28" s="41">
        <v>0</v>
      </c>
      <c r="G28" s="41">
        <v>0</v>
      </c>
      <c r="H28" s="63">
        <v>0</v>
      </c>
      <c r="I28" s="69">
        <f t="shared" si="2"/>
        <v>0</v>
      </c>
      <c r="K28" s="3"/>
      <c r="L28" s="3" t="str">
        <f>IF(SUMIF(Despiece!B:B,  Mecanizado!K28,Despiece!C:C)=0,"",SUMIF(Despiece!B:B,  Mecanizado!K28,Despiece!C:C))</f>
        <v/>
      </c>
      <c r="M28" s="26" t="str">
        <f t="shared" si="0"/>
        <v/>
      </c>
      <c r="N28" s="26" t="str">
        <f t="shared" si="1"/>
        <v/>
      </c>
    </row>
    <row r="29" spans="1:14" x14ac:dyDescent="0.3">
      <c r="A29" s="50" t="s">
        <v>488</v>
      </c>
      <c r="B29" s="43">
        <v>1</v>
      </c>
      <c r="C29" s="43">
        <v>0</v>
      </c>
      <c r="D29" s="41">
        <v>0</v>
      </c>
      <c r="E29" s="41">
        <v>0</v>
      </c>
      <c r="F29" s="41">
        <v>0</v>
      </c>
      <c r="G29" s="41">
        <v>0</v>
      </c>
      <c r="H29" s="63">
        <v>0</v>
      </c>
      <c r="I29" s="69">
        <f t="shared" si="2"/>
        <v>0</v>
      </c>
      <c r="K29" s="3"/>
      <c r="L29" s="3" t="str">
        <f>IF(SUMIF(Despiece!B:B,  Mecanizado!K29,Despiece!C:C)=0,"",SUMIF(Despiece!B:B,  Mecanizado!K29,Despiece!C:C))</f>
        <v/>
      </c>
      <c r="M29" s="26" t="str">
        <f t="shared" si="0"/>
        <v/>
      </c>
      <c r="N29" s="26" t="str">
        <f t="shared" si="1"/>
        <v/>
      </c>
    </row>
    <row r="30" spans="1:14" x14ac:dyDescent="0.3">
      <c r="A30" s="44" t="s">
        <v>489</v>
      </c>
      <c r="B30" s="43">
        <v>1</v>
      </c>
      <c r="C30" s="43">
        <v>0</v>
      </c>
      <c r="D30" s="51">
        <v>0</v>
      </c>
      <c r="E30" s="51">
        <v>0</v>
      </c>
      <c r="F30" s="51">
        <v>0</v>
      </c>
      <c r="G30" s="43">
        <v>0</v>
      </c>
      <c r="H30" s="64">
        <v>0</v>
      </c>
      <c r="I30" s="69">
        <f t="shared" si="2"/>
        <v>0</v>
      </c>
      <c r="K30" s="3"/>
      <c r="L30" s="3" t="str">
        <f>IF(SUMIF(Despiece!B:B,  Mecanizado!K30,Despiece!C:C)=0,"",SUMIF(Despiece!B:B,  Mecanizado!K30,Despiece!C:C))</f>
        <v/>
      </c>
      <c r="M30" s="26" t="str">
        <f t="shared" si="0"/>
        <v/>
      </c>
      <c r="N30" s="26" t="str">
        <f t="shared" si="1"/>
        <v/>
      </c>
    </row>
    <row r="31" spans="1:14" x14ac:dyDescent="0.3">
      <c r="A31" s="44" t="s">
        <v>490</v>
      </c>
      <c r="B31" s="43">
        <v>1</v>
      </c>
      <c r="C31" s="43">
        <v>0</v>
      </c>
      <c r="D31" s="43">
        <v>15</v>
      </c>
      <c r="E31" s="43">
        <v>0</v>
      </c>
      <c r="F31" s="43">
        <v>1</v>
      </c>
      <c r="G31" s="43">
        <v>0</v>
      </c>
      <c r="H31" s="64">
        <v>0</v>
      </c>
      <c r="I31" s="69">
        <f t="shared" si="2"/>
        <v>1780</v>
      </c>
      <c r="K31" s="3"/>
      <c r="L31" s="3" t="str">
        <f>IF(SUMIF(Despiece!B:B,  Mecanizado!K31,Despiece!C:C)=0,"",SUMIF(Despiece!B:B,  Mecanizado!K31,Despiece!C:C))</f>
        <v/>
      </c>
      <c r="M31" s="26" t="str">
        <f t="shared" si="0"/>
        <v/>
      </c>
      <c r="N31" s="26" t="str">
        <f t="shared" si="1"/>
        <v/>
      </c>
    </row>
    <row r="32" spans="1:14" x14ac:dyDescent="0.3">
      <c r="A32" s="45" t="s">
        <v>491</v>
      </c>
      <c r="B32" s="41">
        <v>1</v>
      </c>
      <c r="C32" s="41">
        <v>0</v>
      </c>
      <c r="D32" s="41">
        <v>15</v>
      </c>
      <c r="E32" s="41">
        <v>0</v>
      </c>
      <c r="F32" s="41">
        <v>0</v>
      </c>
      <c r="G32" s="41">
        <v>0</v>
      </c>
      <c r="H32" s="63">
        <v>0</v>
      </c>
      <c r="I32" s="69">
        <f t="shared" si="2"/>
        <v>1500</v>
      </c>
      <c r="K32" s="3"/>
      <c r="L32" s="3" t="str">
        <f>IF(SUMIF(Despiece!B:B,  Mecanizado!K32,Despiece!C:C)=0,"",SUMIF(Despiece!B:B,  Mecanizado!K32,Despiece!C:C))</f>
        <v/>
      </c>
      <c r="M32" s="26" t="str">
        <f t="shared" si="0"/>
        <v/>
      </c>
      <c r="N32" s="26" t="str">
        <f t="shared" si="1"/>
        <v/>
      </c>
    </row>
    <row r="33" spans="1:14" x14ac:dyDescent="0.3">
      <c r="A33" s="40" t="s">
        <v>492</v>
      </c>
      <c r="B33" s="41">
        <v>1</v>
      </c>
      <c r="C33" s="41">
        <v>0</v>
      </c>
      <c r="D33" s="41">
        <v>3</v>
      </c>
      <c r="E33" s="41">
        <v>1</v>
      </c>
      <c r="F33" s="41">
        <v>0</v>
      </c>
      <c r="G33" s="41">
        <v>0</v>
      </c>
      <c r="H33" s="63">
        <v>0</v>
      </c>
      <c r="I33" s="69">
        <f t="shared" si="2"/>
        <v>860</v>
      </c>
      <c r="K33" s="3"/>
      <c r="L33" s="3" t="str">
        <f>IF(SUMIF(Despiece!B:B,  Mecanizado!K33,Despiece!C:C)=0,"",SUMIF(Despiece!B:B,  Mecanizado!K33,Despiece!C:C))</f>
        <v/>
      </c>
      <c r="M33" s="26" t="str">
        <f t="shared" si="0"/>
        <v/>
      </c>
      <c r="N33" s="26" t="str">
        <f t="shared" si="1"/>
        <v/>
      </c>
    </row>
    <row r="34" spans="1:14" x14ac:dyDescent="0.3">
      <c r="A34" s="45" t="s">
        <v>493</v>
      </c>
      <c r="B34" s="41">
        <v>1</v>
      </c>
      <c r="C34" s="41">
        <v>0</v>
      </c>
      <c r="D34" s="41">
        <v>6</v>
      </c>
      <c r="E34" s="41">
        <v>1</v>
      </c>
      <c r="F34" s="41">
        <v>0</v>
      </c>
      <c r="G34" s="41">
        <v>0</v>
      </c>
      <c r="H34" s="63">
        <v>0</v>
      </c>
      <c r="I34" s="69">
        <f t="shared" si="2"/>
        <v>1160</v>
      </c>
      <c r="K34" s="140" t="s">
        <v>124</v>
      </c>
      <c r="L34" s="141"/>
      <c r="M34" s="142"/>
      <c r="N34" s="26">
        <f>SUM(N3:N33)</f>
        <v>0</v>
      </c>
    </row>
    <row r="35" spans="1:14" x14ac:dyDescent="0.3">
      <c r="A35" s="40" t="s">
        <v>494</v>
      </c>
      <c r="B35" s="43">
        <v>2</v>
      </c>
      <c r="C35" s="43">
        <v>0</v>
      </c>
      <c r="D35" s="43">
        <v>4</v>
      </c>
      <c r="E35" s="43">
        <v>0</v>
      </c>
      <c r="F35" s="43">
        <v>0</v>
      </c>
      <c r="G35" s="43">
        <v>0</v>
      </c>
      <c r="H35" s="63">
        <v>0</v>
      </c>
      <c r="I35" s="69">
        <f t="shared" si="2"/>
        <v>400</v>
      </c>
    </row>
    <row r="36" spans="1:14" x14ac:dyDescent="0.3">
      <c r="A36" s="50" t="s">
        <v>495</v>
      </c>
      <c r="B36" s="43">
        <v>2</v>
      </c>
      <c r="C36" s="43">
        <v>0</v>
      </c>
      <c r="D36" s="43">
        <v>0</v>
      </c>
      <c r="E36" s="43">
        <v>1</v>
      </c>
      <c r="F36" s="43">
        <v>0</v>
      </c>
      <c r="G36" s="43">
        <v>0</v>
      </c>
      <c r="H36" s="64">
        <v>0</v>
      </c>
      <c r="I36" s="69">
        <f t="shared" si="2"/>
        <v>560</v>
      </c>
    </row>
    <row r="37" spans="1:14" x14ac:dyDescent="0.3">
      <c r="A37" s="45" t="s">
        <v>496</v>
      </c>
      <c r="B37" s="43">
        <v>2</v>
      </c>
      <c r="C37" s="43">
        <v>0</v>
      </c>
      <c r="D37" s="43">
        <v>2</v>
      </c>
      <c r="E37" s="43">
        <v>0</v>
      </c>
      <c r="F37" s="43">
        <v>0</v>
      </c>
      <c r="G37" s="43">
        <v>0</v>
      </c>
      <c r="H37" s="64">
        <v>0</v>
      </c>
      <c r="I37" s="69">
        <f t="shared" si="2"/>
        <v>200</v>
      </c>
    </row>
    <row r="38" spans="1:14" x14ac:dyDescent="0.3">
      <c r="A38" s="45" t="s">
        <v>497</v>
      </c>
      <c r="B38" s="41">
        <v>2</v>
      </c>
      <c r="C38" s="41">
        <v>0</v>
      </c>
      <c r="D38" s="41">
        <v>2</v>
      </c>
      <c r="E38" s="41">
        <v>0</v>
      </c>
      <c r="F38" s="41">
        <v>0</v>
      </c>
      <c r="G38" s="41">
        <v>0</v>
      </c>
      <c r="H38" s="63">
        <v>0</v>
      </c>
      <c r="I38" s="69">
        <f t="shared" si="2"/>
        <v>200</v>
      </c>
    </row>
    <row r="39" spans="1:14" x14ac:dyDescent="0.3">
      <c r="A39" s="46" t="s">
        <v>498</v>
      </c>
      <c r="B39" s="43">
        <v>1</v>
      </c>
      <c r="C39" s="43">
        <v>0</v>
      </c>
      <c r="D39" s="43">
        <v>0</v>
      </c>
      <c r="E39" s="43">
        <v>0</v>
      </c>
      <c r="F39" s="43">
        <v>2</v>
      </c>
      <c r="G39" s="43">
        <v>0</v>
      </c>
      <c r="H39" s="63">
        <v>0</v>
      </c>
      <c r="I39" s="69">
        <f t="shared" si="2"/>
        <v>560</v>
      </c>
    </row>
    <row r="40" spans="1:14" x14ac:dyDescent="0.3">
      <c r="A40" s="46" t="s">
        <v>499</v>
      </c>
      <c r="B40" s="43">
        <v>1</v>
      </c>
      <c r="C40" s="43">
        <v>2</v>
      </c>
      <c r="D40" s="43">
        <v>4</v>
      </c>
      <c r="E40" s="43">
        <v>0</v>
      </c>
      <c r="F40" s="43">
        <v>0</v>
      </c>
      <c r="G40" s="43">
        <v>0</v>
      </c>
      <c r="H40" s="63">
        <v>0</v>
      </c>
      <c r="I40" s="69">
        <f t="shared" si="2"/>
        <v>400</v>
      </c>
    </row>
    <row r="41" spans="1:14" x14ac:dyDescent="0.3">
      <c r="A41" s="46" t="s">
        <v>500</v>
      </c>
      <c r="B41" s="41">
        <v>1</v>
      </c>
      <c r="C41" s="41">
        <v>2</v>
      </c>
      <c r="D41" s="41">
        <v>0</v>
      </c>
      <c r="E41" s="41">
        <v>0</v>
      </c>
      <c r="F41" s="41">
        <v>2</v>
      </c>
      <c r="G41" s="41">
        <v>0</v>
      </c>
      <c r="H41" s="63">
        <v>0</v>
      </c>
      <c r="I41" s="69">
        <f t="shared" si="2"/>
        <v>560</v>
      </c>
    </row>
    <row r="42" spans="1:14" x14ac:dyDescent="0.3">
      <c r="A42" s="46" t="s">
        <v>501</v>
      </c>
      <c r="B42" s="41">
        <v>2</v>
      </c>
      <c r="C42" s="41">
        <v>0</v>
      </c>
      <c r="D42" s="41">
        <v>0</v>
      </c>
      <c r="E42" s="41">
        <v>0</v>
      </c>
      <c r="F42" s="41">
        <v>1</v>
      </c>
      <c r="G42" s="41">
        <v>0</v>
      </c>
      <c r="H42" s="63">
        <v>0</v>
      </c>
      <c r="I42" s="69">
        <f t="shared" si="2"/>
        <v>280</v>
      </c>
    </row>
    <row r="43" spans="1:14" x14ac:dyDescent="0.3">
      <c r="A43" s="45" t="s">
        <v>502</v>
      </c>
      <c r="B43" s="41">
        <v>1</v>
      </c>
      <c r="C43" s="41">
        <v>0</v>
      </c>
      <c r="D43" s="41">
        <v>10</v>
      </c>
      <c r="E43" s="41">
        <v>0</v>
      </c>
      <c r="F43" s="41">
        <v>0</v>
      </c>
      <c r="G43" s="41">
        <v>0</v>
      </c>
      <c r="H43" s="63">
        <v>0</v>
      </c>
      <c r="I43" s="69">
        <f t="shared" si="2"/>
        <v>1000</v>
      </c>
    </row>
    <row r="44" spans="1:14" x14ac:dyDescent="0.3">
      <c r="A44" s="46" t="s">
        <v>503</v>
      </c>
      <c r="B44" s="43">
        <v>1</v>
      </c>
      <c r="C44" s="43">
        <v>2</v>
      </c>
      <c r="D44" s="43">
        <v>0</v>
      </c>
      <c r="E44" s="43">
        <v>0</v>
      </c>
      <c r="F44" s="43">
        <v>0</v>
      </c>
      <c r="G44" s="43">
        <v>0</v>
      </c>
      <c r="H44" s="63">
        <v>0</v>
      </c>
      <c r="I44" s="69">
        <f t="shared" si="2"/>
        <v>0</v>
      </c>
    </row>
    <row r="45" spans="1:14" x14ac:dyDescent="0.3">
      <c r="A45" s="46" t="s">
        <v>504</v>
      </c>
      <c r="B45" s="43">
        <v>1</v>
      </c>
      <c r="C45" s="43">
        <v>0</v>
      </c>
      <c r="D45" s="43">
        <v>0</v>
      </c>
      <c r="E45" s="43">
        <v>0</v>
      </c>
      <c r="F45" s="43">
        <v>0</v>
      </c>
      <c r="G45" s="43">
        <v>0</v>
      </c>
      <c r="H45" s="63">
        <v>0</v>
      </c>
      <c r="I45" s="69">
        <f t="shared" si="2"/>
        <v>0</v>
      </c>
    </row>
    <row r="46" spans="1:14" x14ac:dyDescent="0.3">
      <c r="A46" s="46" t="s">
        <v>505</v>
      </c>
      <c r="B46" s="41">
        <v>1</v>
      </c>
      <c r="C46" s="41">
        <v>0</v>
      </c>
      <c r="D46" s="41">
        <v>0</v>
      </c>
      <c r="E46" s="41">
        <v>0</v>
      </c>
      <c r="F46" s="41">
        <v>2</v>
      </c>
      <c r="G46" s="41">
        <v>0</v>
      </c>
      <c r="H46" s="63">
        <v>0</v>
      </c>
      <c r="I46" s="69">
        <f t="shared" si="2"/>
        <v>560</v>
      </c>
    </row>
    <row r="47" spans="1:14" x14ac:dyDescent="0.3">
      <c r="A47" s="40" t="s">
        <v>506</v>
      </c>
      <c r="B47" s="41">
        <v>0</v>
      </c>
      <c r="C47" s="41">
        <v>0</v>
      </c>
      <c r="D47" s="41">
        <v>0</v>
      </c>
      <c r="E47" s="41">
        <v>0</v>
      </c>
      <c r="F47" s="41">
        <v>2</v>
      </c>
      <c r="G47" s="41">
        <v>0</v>
      </c>
      <c r="H47" s="63">
        <v>0</v>
      </c>
      <c r="I47" s="69">
        <f t="shared" si="2"/>
        <v>560</v>
      </c>
    </row>
    <row r="48" spans="1:14" x14ac:dyDescent="0.3">
      <c r="A48" s="40" t="s">
        <v>507</v>
      </c>
      <c r="B48" s="41">
        <v>2</v>
      </c>
      <c r="C48" s="41">
        <v>2</v>
      </c>
      <c r="D48" s="41">
        <v>12</v>
      </c>
      <c r="E48" s="41">
        <v>0</v>
      </c>
      <c r="F48" s="41">
        <v>0</v>
      </c>
      <c r="G48" s="41">
        <v>0</v>
      </c>
      <c r="H48" s="63">
        <v>0</v>
      </c>
      <c r="I48" s="69">
        <f t="shared" si="2"/>
        <v>1200</v>
      </c>
    </row>
    <row r="49" spans="1:9" x14ac:dyDescent="0.3">
      <c r="A49" s="40" t="s">
        <v>508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41">
        <v>0</v>
      </c>
      <c r="H49" s="63">
        <v>0</v>
      </c>
      <c r="I49" s="69">
        <f t="shared" si="2"/>
        <v>0</v>
      </c>
    </row>
    <row r="50" spans="1:9" x14ac:dyDescent="0.3">
      <c r="A50" s="40" t="s">
        <v>509</v>
      </c>
      <c r="B50" s="41">
        <v>2</v>
      </c>
      <c r="C50" s="41">
        <v>2</v>
      </c>
      <c r="D50" s="41">
        <v>0</v>
      </c>
      <c r="E50" s="41">
        <v>0</v>
      </c>
      <c r="F50" s="41">
        <v>0</v>
      </c>
      <c r="G50" s="41">
        <v>0</v>
      </c>
      <c r="H50" s="63">
        <v>0</v>
      </c>
      <c r="I50" s="69">
        <f t="shared" si="2"/>
        <v>0</v>
      </c>
    </row>
    <row r="51" spans="1:9" x14ac:dyDescent="0.3">
      <c r="A51" s="40" t="s">
        <v>510</v>
      </c>
      <c r="B51" s="41">
        <v>2</v>
      </c>
      <c r="C51" s="41">
        <v>2</v>
      </c>
      <c r="D51" s="41">
        <v>0</v>
      </c>
      <c r="E51" s="41">
        <v>1</v>
      </c>
      <c r="F51" s="41">
        <v>0</v>
      </c>
      <c r="G51" s="41">
        <v>0</v>
      </c>
      <c r="H51" s="63">
        <v>0</v>
      </c>
      <c r="I51" s="69">
        <f t="shared" si="2"/>
        <v>560</v>
      </c>
    </row>
    <row r="52" spans="1:9" x14ac:dyDescent="0.3">
      <c r="A52" s="40" t="s">
        <v>511</v>
      </c>
      <c r="B52" s="41">
        <v>2</v>
      </c>
      <c r="C52" s="41">
        <v>2</v>
      </c>
      <c r="D52" s="41">
        <v>0</v>
      </c>
      <c r="E52" s="41">
        <v>0</v>
      </c>
      <c r="F52" s="41">
        <v>0</v>
      </c>
      <c r="G52" s="41">
        <v>0</v>
      </c>
      <c r="H52" s="63">
        <v>0</v>
      </c>
      <c r="I52" s="69">
        <f t="shared" si="2"/>
        <v>0</v>
      </c>
    </row>
    <row r="53" spans="1:9" x14ac:dyDescent="0.3">
      <c r="A53" s="40" t="s">
        <v>512</v>
      </c>
      <c r="B53" s="41">
        <v>2</v>
      </c>
      <c r="C53" s="41">
        <v>2</v>
      </c>
      <c r="D53" s="41">
        <v>0</v>
      </c>
      <c r="E53" s="41">
        <v>0</v>
      </c>
      <c r="F53" s="41">
        <v>0</v>
      </c>
      <c r="G53" s="41">
        <v>0</v>
      </c>
      <c r="H53" s="63">
        <v>0</v>
      </c>
      <c r="I53" s="69">
        <f t="shared" si="2"/>
        <v>0</v>
      </c>
    </row>
    <row r="54" spans="1:9" x14ac:dyDescent="0.3">
      <c r="A54" s="46" t="s">
        <v>513</v>
      </c>
      <c r="B54" s="41">
        <v>1</v>
      </c>
      <c r="C54" s="41">
        <v>0</v>
      </c>
      <c r="D54" s="41">
        <v>0</v>
      </c>
      <c r="E54" s="41">
        <v>0</v>
      </c>
      <c r="F54" s="41">
        <v>0</v>
      </c>
      <c r="G54" s="41">
        <v>0</v>
      </c>
      <c r="H54" s="63">
        <v>0</v>
      </c>
      <c r="I54" s="69">
        <f t="shared" si="2"/>
        <v>0</v>
      </c>
    </row>
    <row r="55" spans="1:9" x14ac:dyDescent="0.3">
      <c r="A55" s="40" t="s">
        <v>514</v>
      </c>
      <c r="B55" s="41">
        <v>1</v>
      </c>
      <c r="C55" s="41">
        <v>0</v>
      </c>
      <c r="D55" s="41">
        <v>0</v>
      </c>
      <c r="E55" s="41">
        <v>0</v>
      </c>
      <c r="F55" s="41">
        <v>0</v>
      </c>
      <c r="G55" s="41">
        <v>0</v>
      </c>
      <c r="H55" s="63">
        <v>0</v>
      </c>
      <c r="I55" s="69">
        <f t="shared" si="2"/>
        <v>0</v>
      </c>
    </row>
    <row r="56" spans="1:9" x14ac:dyDescent="0.3">
      <c r="A56" s="40" t="s">
        <v>515</v>
      </c>
      <c r="B56" s="41">
        <v>2</v>
      </c>
      <c r="C56" s="41">
        <v>0</v>
      </c>
      <c r="D56" s="41">
        <v>0</v>
      </c>
      <c r="E56" s="41">
        <v>0</v>
      </c>
      <c r="F56" s="41">
        <v>0</v>
      </c>
      <c r="G56" s="41">
        <v>0</v>
      </c>
      <c r="H56" s="63">
        <v>0</v>
      </c>
      <c r="I56" s="69">
        <f t="shared" si="2"/>
        <v>0</v>
      </c>
    </row>
    <row r="57" spans="1:9" x14ac:dyDescent="0.3">
      <c r="A57" s="40" t="s">
        <v>516</v>
      </c>
      <c r="B57" s="41">
        <v>2</v>
      </c>
      <c r="C57" s="41">
        <v>0</v>
      </c>
      <c r="D57" s="41">
        <v>0</v>
      </c>
      <c r="E57" s="41">
        <v>0</v>
      </c>
      <c r="F57" s="41">
        <v>0</v>
      </c>
      <c r="G57" s="41">
        <v>0</v>
      </c>
      <c r="H57" s="63">
        <v>0</v>
      </c>
      <c r="I57" s="69">
        <f t="shared" si="2"/>
        <v>0</v>
      </c>
    </row>
    <row r="58" spans="1:9" x14ac:dyDescent="0.3">
      <c r="A58" s="52" t="s">
        <v>517</v>
      </c>
      <c r="B58" s="43">
        <v>1</v>
      </c>
      <c r="C58" s="43">
        <v>0</v>
      </c>
      <c r="D58" s="43">
        <v>0</v>
      </c>
      <c r="E58" s="43">
        <v>0</v>
      </c>
      <c r="F58" s="43">
        <v>2</v>
      </c>
      <c r="G58" s="43">
        <v>0</v>
      </c>
      <c r="H58" s="63">
        <v>0</v>
      </c>
      <c r="I58" s="69">
        <f t="shared" si="2"/>
        <v>560</v>
      </c>
    </row>
    <row r="59" spans="1:9" x14ac:dyDescent="0.3">
      <c r="A59" s="52" t="s">
        <v>518</v>
      </c>
      <c r="B59" s="43">
        <v>1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63">
        <v>0</v>
      </c>
      <c r="I59" s="69">
        <f t="shared" si="2"/>
        <v>0</v>
      </c>
    </row>
    <row r="60" spans="1:9" x14ac:dyDescent="0.3">
      <c r="A60" s="52" t="s">
        <v>519</v>
      </c>
      <c r="B60" s="41">
        <v>1</v>
      </c>
      <c r="C60" s="41">
        <v>0</v>
      </c>
      <c r="D60" s="41">
        <v>0</v>
      </c>
      <c r="E60" s="41">
        <v>0</v>
      </c>
      <c r="F60" s="41">
        <v>2</v>
      </c>
      <c r="G60" s="41">
        <v>0</v>
      </c>
      <c r="H60" s="63">
        <v>0</v>
      </c>
      <c r="I60" s="69">
        <f t="shared" si="2"/>
        <v>560</v>
      </c>
    </row>
    <row r="61" spans="1:9" x14ac:dyDescent="0.3">
      <c r="A61" s="45" t="s">
        <v>520</v>
      </c>
      <c r="B61" s="41">
        <v>1</v>
      </c>
      <c r="C61" s="41">
        <v>0</v>
      </c>
      <c r="D61" s="41">
        <v>2</v>
      </c>
      <c r="E61" s="41">
        <v>0</v>
      </c>
      <c r="F61" s="41">
        <v>0</v>
      </c>
      <c r="G61" s="41">
        <v>0</v>
      </c>
      <c r="H61" s="63">
        <v>0</v>
      </c>
      <c r="I61" s="69">
        <f t="shared" si="2"/>
        <v>200</v>
      </c>
    </row>
    <row r="62" spans="1:9" x14ac:dyDescent="0.3">
      <c r="A62" s="45" t="s">
        <v>521</v>
      </c>
      <c r="B62" s="41">
        <v>2</v>
      </c>
      <c r="C62" s="41">
        <v>2</v>
      </c>
      <c r="D62" s="41">
        <v>0</v>
      </c>
      <c r="E62" s="41">
        <v>0</v>
      </c>
      <c r="F62" s="41">
        <v>0</v>
      </c>
      <c r="G62" s="41">
        <v>2</v>
      </c>
      <c r="H62" s="63">
        <v>0</v>
      </c>
      <c r="I62" s="69">
        <f t="shared" si="2"/>
        <v>650</v>
      </c>
    </row>
    <row r="63" spans="1:9" x14ac:dyDescent="0.3">
      <c r="A63" s="44" t="s">
        <v>522</v>
      </c>
      <c r="B63" s="43">
        <v>2</v>
      </c>
      <c r="C63" s="43">
        <v>2</v>
      </c>
      <c r="D63" s="43">
        <v>0</v>
      </c>
      <c r="E63" s="43">
        <v>1</v>
      </c>
      <c r="F63" s="43">
        <v>0</v>
      </c>
      <c r="G63" s="43">
        <v>2</v>
      </c>
      <c r="H63" s="64">
        <v>0</v>
      </c>
      <c r="I63" s="69">
        <f t="shared" si="2"/>
        <v>1210</v>
      </c>
    </row>
    <row r="64" spans="1:9" x14ac:dyDescent="0.3">
      <c r="A64" s="44" t="s">
        <v>523</v>
      </c>
      <c r="B64" s="43">
        <v>2</v>
      </c>
      <c r="C64" s="43">
        <v>2</v>
      </c>
      <c r="D64" s="43">
        <v>0</v>
      </c>
      <c r="E64" s="43">
        <v>1</v>
      </c>
      <c r="F64" s="43">
        <v>0</v>
      </c>
      <c r="G64" s="43">
        <v>0</v>
      </c>
      <c r="H64" s="64">
        <v>0</v>
      </c>
      <c r="I64" s="69">
        <f t="shared" si="2"/>
        <v>560</v>
      </c>
    </row>
    <row r="65" spans="1:9" x14ac:dyDescent="0.3">
      <c r="A65" s="44" t="s">
        <v>524</v>
      </c>
      <c r="B65" s="43">
        <v>2</v>
      </c>
      <c r="C65" s="43">
        <v>2</v>
      </c>
      <c r="D65" s="43">
        <v>0</v>
      </c>
      <c r="E65" s="43">
        <v>1</v>
      </c>
      <c r="F65" s="43">
        <v>0</v>
      </c>
      <c r="G65" s="43">
        <v>0</v>
      </c>
      <c r="H65" s="64">
        <v>1</v>
      </c>
      <c r="I65" s="69">
        <f t="shared" si="2"/>
        <v>885</v>
      </c>
    </row>
    <row r="66" spans="1:9" x14ac:dyDescent="0.3">
      <c r="A66" s="44" t="s">
        <v>525</v>
      </c>
      <c r="B66" s="43">
        <v>2</v>
      </c>
      <c r="C66" s="43">
        <v>2</v>
      </c>
      <c r="D66" s="43">
        <v>0</v>
      </c>
      <c r="E66" s="43">
        <v>1</v>
      </c>
      <c r="F66" s="43">
        <v>0</v>
      </c>
      <c r="G66" s="43">
        <v>0</v>
      </c>
      <c r="H66" s="64">
        <v>2</v>
      </c>
      <c r="I66" s="69">
        <f t="shared" si="2"/>
        <v>1210</v>
      </c>
    </row>
    <row r="67" spans="1:9" x14ac:dyDescent="0.3">
      <c r="A67" s="44" t="s">
        <v>526</v>
      </c>
      <c r="B67" s="43">
        <v>2</v>
      </c>
      <c r="C67" s="43">
        <v>2</v>
      </c>
      <c r="D67" s="43">
        <v>0</v>
      </c>
      <c r="E67" s="43">
        <v>1</v>
      </c>
      <c r="F67" s="43">
        <v>0</v>
      </c>
      <c r="G67" s="43">
        <v>0</v>
      </c>
      <c r="H67" s="64">
        <v>2</v>
      </c>
      <c r="I67" s="69">
        <f t="shared" si="2"/>
        <v>1210</v>
      </c>
    </row>
    <row r="68" spans="1:9" x14ac:dyDescent="0.3">
      <c r="A68" s="44" t="s">
        <v>527</v>
      </c>
      <c r="B68" s="43">
        <v>2</v>
      </c>
      <c r="C68" s="43">
        <v>2</v>
      </c>
      <c r="D68" s="43">
        <v>0</v>
      </c>
      <c r="E68" s="43">
        <v>1</v>
      </c>
      <c r="F68" s="43">
        <v>0</v>
      </c>
      <c r="G68" s="43">
        <v>0</v>
      </c>
      <c r="H68" s="64">
        <v>3</v>
      </c>
      <c r="I68" s="69">
        <f t="shared" ref="I68:I86" si="3">($D$1*D68)+(E68*$E$1)+(F68*$F$1)+(G68*$G$1)+(H68*$H$1)</f>
        <v>1535</v>
      </c>
    </row>
    <row r="69" spans="1:9" x14ac:dyDescent="0.3">
      <c r="A69" s="45" t="s">
        <v>528</v>
      </c>
      <c r="B69" s="41">
        <v>2</v>
      </c>
      <c r="C69" s="41">
        <v>2</v>
      </c>
      <c r="D69" s="41">
        <v>0</v>
      </c>
      <c r="E69" s="41">
        <v>1</v>
      </c>
      <c r="F69" s="41">
        <v>0</v>
      </c>
      <c r="G69" s="41">
        <v>0</v>
      </c>
      <c r="H69" s="63">
        <v>4</v>
      </c>
      <c r="I69" s="69">
        <f t="shared" si="3"/>
        <v>1860</v>
      </c>
    </row>
    <row r="70" spans="1:9" x14ac:dyDescent="0.3">
      <c r="A70" s="40" t="s">
        <v>529</v>
      </c>
      <c r="B70" s="41">
        <v>2</v>
      </c>
      <c r="C70" s="41">
        <v>2</v>
      </c>
      <c r="D70" s="41">
        <v>0</v>
      </c>
      <c r="E70" s="41">
        <v>0</v>
      </c>
      <c r="F70" s="41">
        <v>0</v>
      </c>
      <c r="G70" s="41">
        <v>4</v>
      </c>
      <c r="H70" s="63">
        <v>0</v>
      </c>
      <c r="I70" s="69">
        <f t="shared" si="3"/>
        <v>1300</v>
      </c>
    </row>
    <row r="71" spans="1:9" x14ac:dyDescent="0.3">
      <c r="A71" s="45" t="s">
        <v>530</v>
      </c>
      <c r="B71" s="41">
        <v>2</v>
      </c>
      <c r="C71" s="41">
        <v>2</v>
      </c>
      <c r="D71" s="41">
        <v>0</v>
      </c>
      <c r="E71" s="41">
        <v>0</v>
      </c>
      <c r="F71" s="41">
        <v>0</v>
      </c>
      <c r="G71" s="41">
        <v>4</v>
      </c>
      <c r="H71" s="63">
        <v>1</v>
      </c>
      <c r="I71" s="69">
        <f t="shared" si="3"/>
        <v>1625</v>
      </c>
    </row>
    <row r="72" spans="1:9" x14ac:dyDescent="0.3">
      <c r="A72" s="40" t="s">
        <v>531</v>
      </c>
      <c r="B72" s="41">
        <v>2</v>
      </c>
      <c r="C72" s="41">
        <v>2</v>
      </c>
      <c r="D72" s="41">
        <v>0</v>
      </c>
      <c r="E72" s="41">
        <v>0</v>
      </c>
      <c r="F72" s="41">
        <v>0</v>
      </c>
      <c r="G72" s="41">
        <v>4</v>
      </c>
      <c r="H72" s="64">
        <v>2</v>
      </c>
      <c r="I72" s="69">
        <f t="shared" si="3"/>
        <v>1950</v>
      </c>
    </row>
    <row r="73" spans="1:9" x14ac:dyDescent="0.3">
      <c r="A73" s="45" t="s">
        <v>532</v>
      </c>
      <c r="B73" s="41">
        <v>2</v>
      </c>
      <c r="C73" s="41">
        <v>2</v>
      </c>
      <c r="D73" s="41">
        <v>0</v>
      </c>
      <c r="E73" s="41">
        <v>0</v>
      </c>
      <c r="F73" s="41">
        <v>0</v>
      </c>
      <c r="G73" s="41">
        <v>4</v>
      </c>
      <c r="H73" s="63">
        <v>2</v>
      </c>
      <c r="I73" s="69">
        <f t="shared" si="3"/>
        <v>1950</v>
      </c>
    </row>
    <row r="74" spans="1:9" x14ac:dyDescent="0.3">
      <c r="A74" s="40" t="s">
        <v>533</v>
      </c>
      <c r="B74" s="41">
        <v>2</v>
      </c>
      <c r="C74" s="41">
        <v>2</v>
      </c>
      <c r="D74" s="41">
        <v>0</v>
      </c>
      <c r="E74" s="41">
        <v>0</v>
      </c>
      <c r="F74" s="41">
        <v>0</v>
      </c>
      <c r="G74" s="41">
        <v>4</v>
      </c>
      <c r="H74" s="64">
        <v>3</v>
      </c>
      <c r="I74" s="69">
        <f t="shared" si="3"/>
        <v>2275</v>
      </c>
    </row>
    <row r="75" spans="1:9" x14ac:dyDescent="0.3">
      <c r="A75" s="40" t="s">
        <v>534</v>
      </c>
      <c r="B75" s="41">
        <v>2</v>
      </c>
      <c r="C75" s="41">
        <v>2</v>
      </c>
      <c r="D75" s="41">
        <v>0</v>
      </c>
      <c r="E75" s="41">
        <v>0</v>
      </c>
      <c r="F75" s="41">
        <v>0</v>
      </c>
      <c r="G75" s="41">
        <v>4</v>
      </c>
      <c r="H75" s="64">
        <v>4</v>
      </c>
      <c r="I75" s="69">
        <f t="shared" si="3"/>
        <v>2600</v>
      </c>
    </row>
    <row r="76" spans="1:9" x14ac:dyDescent="0.3">
      <c r="A76" s="40" t="s">
        <v>535</v>
      </c>
      <c r="B76" s="41">
        <v>1</v>
      </c>
      <c r="C76" s="41">
        <v>0</v>
      </c>
      <c r="D76" s="41">
        <v>0</v>
      </c>
      <c r="E76" s="41">
        <v>0</v>
      </c>
      <c r="F76" s="41">
        <v>0</v>
      </c>
      <c r="G76" s="41">
        <v>0</v>
      </c>
      <c r="H76" s="63">
        <v>0</v>
      </c>
      <c r="I76" s="69">
        <f t="shared" si="3"/>
        <v>0</v>
      </c>
    </row>
    <row r="77" spans="1:9" x14ac:dyDescent="0.3">
      <c r="A77" s="40" t="s">
        <v>536</v>
      </c>
      <c r="B77" s="41">
        <v>1</v>
      </c>
      <c r="C77" s="41">
        <v>0</v>
      </c>
      <c r="D77" s="41">
        <v>6</v>
      </c>
      <c r="E77" s="41">
        <v>1</v>
      </c>
      <c r="F77" s="41">
        <v>0</v>
      </c>
      <c r="G77" s="41">
        <v>0</v>
      </c>
      <c r="H77" s="63">
        <v>0</v>
      </c>
      <c r="I77" s="69">
        <f t="shared" si="3"/>
        <v>1160</v>
      </c>
    </row>
    <row r="78" spans="1:9" x14ac:dyDescent="0.3">
      <c r="A78" s="40" t="s">
        <v>537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41">
        <v>0</v>
      </c>
      <c r="H78" s="63">
        <v>0</v>
      </c>
      <c r="I78" s="69">
        <f t="shared" si="3"/>
        <v>0</v>
      </c>
    </row>
    <row r="79" spans="1:9" x14ac:dyDescent="0.3">
      <c r="A79" s="45" t="s">
        <v>538</v>
      </c>
      <c r="B79" s="41">
        <v>1</v>
      </c>
      <c r="C79" s="41">
        <v>2</v>
      </c>
      <c r="D79" s="41">
        <v>8</v>
      </c>
      <c r="E79" s="41">
        <v>0</v>
      </c>
      <c r="F79" s="41">
        <v>0</v>
      </c>
      <c r="G79" s="41">
        <v>0</v>
      </c>
      <c r="H79" s="63">
        <v>0</v>
      </c>
      <c r="I79" s="69">
        <f t="shared" si="3"/>
        <v>800</v>
      </c>
    </row>
    <row r="80" spans="1:9" x14ac:dyDescent="0.3">
      <c r="A80" s="45" t="s">
        <v>539</v>
      </c>
      <c r="B80" s="41">
        <v>1</v>
      </c>
      <c r="C80" s="41">
        <v>2</v>
      </c>
      <c r="D80" s="41">
        <v>6</v>
      </c>
      <c r="E80" s="41">
        <v>0</v>
      </c>
      <c r="F80" s="41">
        <v>0</v>
      </c>
      <c r="G80" s="41">
        <v>0</v>
      </c>
      <c r="H80" s="63">
        <v>0</v>
      </c>
      <c r="I80" s="69">
        <f t="shared" si="3"/>
        <v>600</v>
      </c>
    </row>
    <row r="81" spans="1:9" x14ac:dyDescent="0.3">
      <c r="A81" s="44" t="s">
        <v>540</v>
      </c>
      <c r="B81" s="43">
        <v>1</v>
      </c>
      <c r="C81" s="43">
        <v>2</v>
      </c>
      <c r="D81" s="43">
        <v>4</v>
      </c>
      <c r="E81" s="43">
        <v>0</v>
      </c>
      <c r="F81" s="43">
        <v>1</v>
      </c>
      <c r="G81" s="43">
        <v>0</v>
      </c>
      <c r="H81" s="63">
        <v>0</v>
      </c>
      <c r="I81" s="69">
        <f t="shared" si="3"/>
        <v>680</v>
      </c>
    </row>
    <row r="82" spans="1:9" x14ac:dyDescent="0.3">
      <c r="A82" s="44" t="s">
        <v>541</v>
      </c>
      <c r="B82" s="43">
        <v>1</v>
      </c>
      <c r="C82" s="43">
        <v>2</v>
      </c>
      <c r="D82" s="43">
        <v>4</v>
      </c>
      <c r="E82" s="43">
        <v>0</v>
      </c>
      <c r="F82" s="43">
        <v>0</v>
      </c>
      <c r="G82" s="43">
        <v>0</v>
      </c>
      <c r="H82" s="64">
        <v>0</v>
      </c>
      <c r="I82" s="69">
        <f t="shared" si="3"/>
        <v>400</v>
      </c>
    </row>
    <row r="83" spans="1:9" x14ac:dyDescent="0.3">
      <c r="A83" s="50" t="s">
        <v>542</v>
      </c>
      <c r="B83" s="43">
        <v>1</v>
      </c>
      <c r="C83" s="43">
        <v>0</v>
      </c>
      <c r="D83" s="43">
        <v>0</v>
      </c>
      <c r="E83" s="43">
        <v>0</v>
      </c>
      <c r="F83" s="43">
        <v>0</v>
      </c>
      <c r="G83" s="43">
        <v>0</v>
      </c>
      <c r="H83" s="64">
        <v>0</v>
      </c>
      <c r="I83" s="69">
        <f t="shared" si="3"/>
        <v>0</v>
      </c>
    </row>
    <row r="84" spans="1:9" x14ac:dyDescent="0.3">
      <c r="A84" s="46" t="s">
        <v>543</v>
      </c>
      <c r="B84" s="41">
        <v>1</v>
      </c>
      <c r="C84" s="41">
        <v>0</v>
      </c>
      <c r="D84" s="41">
        <v>0</v>
      </c>
      <c r="E84" s="41">
        <v>0</v>
      </c>
      <c r="F84" s="41">
        <v>0</v>
      </c>
      <c r="G84" s="41">
        <v>0</v>
      </c>
      <c r="H84" s="63">
        <v>0</v>
      </c>
      <c r="I84" s="69">
        <f t="shared" si="3"/>
        <v>0</v>
      </c>
    </row>
    <row r="85" spans="1:9" x14ac:dyDescent="0.3">
      <c r="A85" s="53" t="s">
        <v>544</v>
      </c>
      <c r="B85" s="54">
        <v>1</v>
      </c>
      <c r="C85" s="54">
        <v>0</v>
      </c>
      <c r="D85" s="54">
        <v>0</v>
      </c>
      <c r="E85" s="54">
        <v>0</v>
      </c>
      <c r="F85" s="54">
        <v>0</v>
      </c>
      <c r="G85" s="54">
        <v>0</v>
      </c>
      <c r="H85" s="66">
        <v>0</v>
      </c>
      <c r="I85" s="69">
        <f t="shared" si="3"/>
        <v>0</v>
      </c>
    </row>
    <row r="86" spans="1:9" ht="15" thickBot="1" x14ac:dyDescent="0.35">
      <c r="A86" s="55" t="s">
        <v>545</v>
      </c>
      <c r="B86" s="56">
        <v>1</v>
      </c>
      <c r="C86" s="56">
        <v>0</v>
      </c>
      <c r="D86" s="57">
        <v>4</v>
      </c>
      <c r="E86" s="56">
        <v>0</v>
      </c>
      <c r="F86" s="56">
        <v>0</v>
      </c>
      <c r="G86" s="56">
        <v>0</v>
      </c>
      <c r="H86" s="67">
        <v>0</v>
      </c>
      <c r="I86" s="69">
        <f t="shared" si="3"/>
        <v>400</v>
      </c>
    </row>
  </sheetData>
  <mergeCells count="2">
    <mergeCell ref="K1:N1"/>
    <mergeCell ref="K34:M3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119B-787A-4F42-B6A1-2975EC74FC0F}">
  <sheetPr codeName="Hoja10"/>
  <dimension ref="A1:I43"/>
  <sheetViews>
    <sheetView workbookViewId="0">
      <selection activeCell="A24" sqref="A24"/>
    </sheetView>
  </sheetViews>
  <sheetFormatPr baseColWidth="10" defaultColWidth="11.44140625" defaultRowHeight="14.4" x14ac:dyDescent="0.3"/>
  <cols>
    <col min="1" max="1" width="47.5546875" customWidth="1"/>
    <col min="3" max="3" width="9.88671875" customWidth="1"/>
    <col min="6" max="6" width="22.33203125" customWidth="1"/>
    <col min="8" max="8" width="12.109375" customWidth="1"/>
    <col min="9" max="9" width="19.6640625" customWidth="1"/>
  </cols>
  <sheetData>
    <row r="1" spans="1:9" ht="15.6" x14ac:dyDescent="0.3">
      <c r="A1" s="70" t="s">
        <v>546</v>
      </c>
      <c r="B1" s="71" t="s">
        <v>547</v>
      </c>
      <c r="C1" s="72" t="s">
        <v>548</v>
      </c>
    </row>
    <row r="2" spans="1:9" x14ac:dyDescent="0.3">
      <c r="A2" s="73" t="s">
        <v>549</v>
      </c>
      <c r="B2" s="74">
        <v>15000</v>
      </c>
      <c r="C2" s="75" t="s">
        <v>550</v>
      </c>
    </row>
    <row r="3" spans="1:9" x14ac:dyDescent="0.3">
      <c r="A3" s="73" t="s">
        <v>551</v>
      </c>
      <c r="B3" s="74">
        <v>11050</v>
      </c>
      <c r="C3" s="75" t="s">
        <v>552</v>
      </c>
    </row>
    <row r="4" spans="1:9" x14ac:dyDescent="0.3">
      <c r="A4" s="73" t="s">
        <v>129</v>
      </c>
      <c r="B4" s="74">
        <v>3500</v>
      </c>
      <c r="C4" s="75" t="s">
        <v>552</v>
      </c>
    </row>
    <row r="5" spans="1:9" x14ac:dyDescent="0.3">
      <c r="A5" s="73" t="s">
        <v>125</v>
      </c>
      <c r="B5" s="74">
        <v>2200</v>
      </c>
      <c r="C5" s="75" t="s">
        <v>553</v>
      </c>
    </row>
    <row r="6" spans="1:9" x14ac:dyDescent="0.3">
      <c r="A6" s="73" t="s">
        <v>554</v>
      </c>
      <c r="B6" s="74">
        <v>1950</v>
      </c>
      <c r="C6" s="75" t="s">
        <v>553</v>
      </c>
    </row>
    <row r="7" spans="1:9" x14ac:dyDescent="0.3">
      <c r="A7" s="76" t="s">
        <v>555</v>
      </c>
      <c r="B7" s="77">
        <v>2800</v>
      </c>
      <c r="C7" s="75" t="s">
        <v>553</v>
      </c>
      <c r="F7" s="127" t="s">
        <v>176</v>
      </c>
      <c r="G7" s="128"/>
      <c r="H7" s="128"/>
      <c r="I7" s="129"/>
    </row>
    <row r="8" spans="1:9" x14ac:dyDescent="0.3">
      <c r="A8" s="76" t="s">
        <v>556</v>
      </c>
      <c r="B8" s="77">
        <v>7100</v>
      </c>
      <c r="C8" s="75" t="s">
        <v>553</v>
      </c>
      <c r="F8" s="109" t="s">
        <v>178</v>
      </c>
      <c r="G8" s="3" t="s">
        <v>2</v>
      </c>
      <c r="H8" s="3" t="s">
        <v>179</v>
      </c>
      <c r="I8" s="3" t="s">
        <v>557</v>
      </c>
    </row>
    <row r="9" spans="1:9" x14ac:dyDescent="0.3">
      <c r="A9" s="76" t="s">
        <v>123</v>
      </c>
      <c r="B9" s="77">
        <v>7300</v>
      </c>
      <c r="C9" s="75" t="s">
        <v>553</v>
      </c>
      <c r="F9" s="3" t="str" cm="1">
        <f t="array" ref="F9:F15">_xlfn.UNIQUE(_xlfn._xlws.FILTER(cotizador!J14:J31,COUNTIF(Armado!A:A,cotizador!J14:J31)&gt;0,""))</f>
        <v>BAÑO SIN ESPALDAR Y SIN CAJÓN - UND</v>
      </c>
      <c r="G9" s="3">
        <f>IF(SUMIF(cotizador!J14:J31, Armado!F9, cotizador!K14:K31)=0,"",SUMIF(cotizador!J14:J31, Armado!F9, cotizador!K14:K31))</f>
        <v>5</v>
      </c>
      <c r="H9" s="26">
        <f>IF(SUMIF($A$2:$A$43,  F9, $B$2:$B$43)=0,"",SUMIF($A$2:$A$43,  F9, $B$2:$B$43))</f>
        <v>7000</v>
      </c>
      <c r="I9" s="26">
        <f>IFERROR(G9*H9,"")</f>
        <v>35000</v>
      </c>
    </row>
    <row r="10" spans="1:9" x14ac:dyDescent="0.3">
      <c r="A10" s="76" t="s">
        <v>558</v>
      </c>
      <c r="B10" s="77">
        <v>10600</v>
      </c>
      <c r="C10" s="75" t="s">
        <v>553</v>
      </c>
      <c r="F10" s="3" t="str">
        <v>ZURRÓN 1 CAJÓN - UND</v>
      </c>
      <c r="G10" s="3">
        <f>IF(SUMIF(cotizador!J15:J32, Armado!F10, cotizador!K15:K32)=0,"",SUMIF(cotizador!J15:J32, Armado!F10, cotizador!K15:K32))</f>
        <v>3</v>
      </c>
      <c r="H10" s="26">
        <f t="shared" ref="H10:H27" si="0">IF(SUMIF($A$2:$A$43,  F10, $B$2:$B$43)=0,"",SUMIF($A$2:$A$43,  F10, $B$2:$B$43))</f>
        <v>7300</v>
      </c>
      <c r="I10" s="26">
        <f t="shared" ref="I10:I27" si="1">IFERROR(G10*H10,"")</f>
        <v>21900</v>
      </c>
    </row>
    <row r="11" spans="1:9" x14ac:dyDescent="0.3">
      <c r="A11" s="76" t="s">
        <v>122</v>
      </c>
      <c r="B11" s="77">
        <v>14100</v>
      </c>
      <c r="C11" s="75" t="s">
        <v>553</v>
      </c>
      <c r="F11" s="3" t="str">
        <v>EMBISAGRADOR W - UND</v>
      </c>
      <c r="G11" s="3">
        <f>IF(SUMIF(cotizador!J16:J33, Armado!F11, cotizador!K16:K33)=0,"",SUMIF(cotizador!J16:J33, Armado!F11, cotizador!K16:K33))</f>
        <v>2</v>
      </c>
      <c r="H11" s="26">
        <f t="shared" si="0"/>
        <v>2200</v>
      </c>
      <c r="I11" s="26">
        <f t="shared" si="1"/>
        <v>4400</v>
      </c>
    </row>
    <row r="12" spans="1:9" x14ac:dyDescent="0.3">
      <c r="A12" s="76" t="s">
        <v>559</v>
      </c>
      <c r="B12" s="77">
        <v>18450</v>
      </c>
      <c r="C12" s="75" t="s">
        <v>553</v>
      </c>
      <c r="F12" s="3" t="str">
        <v>ZURRÓN 3 CAJONES - UND</v>
      </c>
      <c r="G12" s="3">
        <f>IF(SUMIF(cotizador!J17:J34, Armado!F12, cotizador!K17:K34)=0,"",SUMIF(cotizador!J17:J34, Armado!F12, cotizador!K17:K34))</f>
        <v>2</v>
      </c>
      <c r="H12" s="26">
        <f t="shared" si="0"/>
        <v>14100</v>
      </c>
      <c r="I12" s="26">
        <f t="shared" si="1"/>
        <v>28200</v>
      </c>
    </row>
    <row r="13" spans="1:9" x14ac:dyDescent="0.3">
      <c r="A13" s="76" t="s">
        <v>560</v>
      </c>
      <c r="B13" s="77">
        <v>20000</v>
      </c>
      <c r="C13" s="75" t="s">
        <v>553</v>
      </c>
      <c r="F13" s="3" t="str">
        <v>ENTREPAÑO EN L COC - MTL</v>
      </c>
      <c r="G13" s="3">
        <f>IF(SUMIF(cotizador!J18:J35, Armado!F13, cotizador!K18:K35)=0,"",SUMIF(cotizador!J18:J35, Armado!F13, cotizador!K18:K35))</f>
        <v>3</v>
      </c>
      <c r="H13" s="26">
        <f t="shared" si="0"/>
        <v>3500</v>
      </c>
      <c r="I13" s="26">
        <f t="shared" si="1"/>
        <v>10500</v>
      </c>
    </row>
    <row r="14" spans="1:9" x14ac:dyDescent="0.3">
      <c r="A14" s="76" t="s">
        <v>561</v>
      </c>
      <c r="B14" s="77">
        <v>22600</v>
      </c>
      <c r="C14" s="75" t="s">
        <v>553</v>
      </c>
      <c r="F14" s="3" t="str">
        <v>EMBISAGRADOR , DINTEL O BASE - UND</v>
      </c>
      <c r="G14" s="3">
        <f>IF(SUMIF(cotizador!J19:J36, Armado!F14, cotizador!K19:K36)=0,"",SUMIF(cotizador!J19:J36, Armado!F14, cotizador!K19:K36))</f>
        <v>2</v>
      </c>
      <c r="H14" s="26">
        <f t="shared" si="0"/>
        <v>1050</v>
      </c>
      <c r="I14" s="26">
        <f t="shared" si="1"/>
        <v>2100</v>
      </c>
    </row>
    <row r="15" spans="1:9" x14ac:dyDescent="0.3">
      <c r="A15" s="73" t="s">
        <v>562</v>
      </c>
      <c r="B15" s="74">
        <v>1250</v>
      </c>
      <c r="C15" s="75" t="s">
        <v>553</v>
      </c>
      <c r="F15" s="3" t="str">
        <v>MARCO DILATADO SIN CABEZAL Y BATIENTE CENTRADA - UND</v>
      </c>
      <c r="G15" s="3">
        <f>IF(SUMIF(cotizador!J20:J37, Armado!F15, cotizador!K20:K37)=0,"",SUMIF(cotizador!J20:J37, Armado!F15, cotizador!K20:K37))</f>
        <v>10</v>
      </c>
      <c r="H15" s="26">
        <f t="shared" si="0"/>
        <v>4550</v>
      </c>
      <c r="I15" s="26">
        <f t="shared" si="1"/>
        <v>45500</v>
      </c>
    </row>
    <row r="16" spans="1:9" x14ac:dyDescent="0.3">
      <c r="A16" s="73" t="s">
        <v>563</v>
      </c>
      <c r="B16" s="74">
        <v>1350</v>
      </c>
      <c r="C16" s="75" t="s">
        <v>553</v>
      </c>
      <c r="F16" s="3"/>
      <c r="G16" s="3" t="str">
        <f>IF(SUMIF(cotizador!J21:J38, Armado!F16, cotizador!K21:K38)=0,"",SUMIF(cotizador!J21:J38, Armado!F16, cotizador!K21:K38))</f>
        <v/>
      </c>
      <c r="H16" s="26" t="str">
        <f t="shared" si="0"/>
        <v/>
      </c>
      <c r="I16" s="26" t="str">
        <f t="shared" si="1"/>
        <v/>
      </c>
    </row>
    <row r="17" spans="1:9" x14ac:dyDescent="0.3">
      <c r="A17" s="73" t="s">
        <v>564</v>
      </c>
      <c r="B17" s="74">
        <v>1500</v>
      </c>
      <c r="C17" s="75" t="s">
        <v>553</v>
      </c>
      <c r="F17" s="3"/>
      <c r="G17" s="3" t="str">
        <f>IF(SUMIF(cotizador!J22:J39, Armado!F17, cotizador!K22:K39)=0,"",SUMIF(cotizador!J22:J39, Armado!F17, cotizador!K22:K39))</f>
        <v/>
      </c>
      <c r="H17" s="26" t="str">
        <f t="shared" si="0"/>
        <v/>
      </c>
      <c r="I17" s="26" t="str">
        <f t="shared" si="1"/>
        <v/>
      </c>
    </row>
    <row r="18" spans="1:9" x14ac:dyDescent="0.3">
      <c r="A18" s="73" t="s">
        <v>565</v>
      </c>
      <c r="B18" s="74">
        <v>9150</v>
      </c>
      <c r="C18" s="75" t="s">
        <v>553</v>
      </c>
      <c r="F18" s="3"/>
      <c r="G18" s="3" t="str">
        <f>IF(SUMIF(cotizador!J23:J40, Armado!F18, cotizador!K23:K40)=0,"",SUMIF(cotizador!J23:J40, Armado!F18, cotizador!K23:K40))</f>
        <v/>
      </c>
      <c r="H18" s="26" t="str">
        <f t="shared" si="0"/>
        <v/>
      </c>
      <c r="I18" s="26" t="str">
        <f t="shared" si="1"/>
        <v/>
      </c>
    </row>
    <row r="19" spans="1:9" x14ac:dyDescent="0.3">
      <c r="A19" s="73" t="s">
        <v>130</v>
      </c>
      <c r="B19" s="74">
        <v>1050</v>
      </c>
      <c r="C19" s="75" t="s">
        <v>553</v>
      </c>
      <c r="F19" s="3"/>
      <c r="G19" s="3" t="str">
        <f>IF(SUMIF(cotizador!J24:J41, Armado!F19, cotizador!K24:K41)=0,"",SUMIF(cotizador!J24:J41, Armado!F19, cotizador!K24:K41))</f>
        <v/>
      </c>
      <c r="H19" s="26" t="str">
        <f t="shared" si="0"/>
        <v/>
      </c>
      <c r="I19" s="26" t="str">
        <f t="shared" si="1"/>
        <v/>
      </c>
    </row>
    <row r="20" spans="1:9" x14ac:dyDescent="0.3">
      <c r="A20" s="73" t="s">
        <v>566</v>
      </c>
      <c r="B20" s="74">
        <v>1750</v>
      </c>
      <c r="C20" s="75" t="s">
        <v>553</v>
      </c>
      <c r="F20" s="3"/>
      <c r="G20" s="3" t="str">
        <f>IF(SUMIF(cotizador!J25:J42, Armado!F20, cotizador!K25:K42)=0,"",SUMIF(cotizador!J25:J42, Armado!F20, cotizador!K25:K42))</f>
        <v/>
      </c>
      <c r="H20" s="26" t="str">
        <f t="shared" si="0"/>
        <v/>
      </c>
      <c r="I20" s="26" t="str">
        <f t="shared" si="1"/>
        <v/>
      </c>
    </row>
    <row r="21" spans="1:9" x14ac:dyDescent="0.3">
      <c r="A21" s="73" t="s">
        <v>567</v>
      </c>
      <c r="B21" s="74">
        <v>18000</v>
      </c>
      <c r="C21" s="75" t="s">
        <v>550</v>
      </c>
      <c r="F21" s="3"/>
      <c r="G21" s="3" t="str">
        <f>IF(SUMIF(cotizador!J26:J43, Armado!F21, cotizador!K26:K43)=0,"",SUMIF(cotizador!J26:J43, Armado!F21, cotizador!K26:K43))</f>
        <v/>
      </c>
      <c r="H21" s="26" t="str">
        <f t="shared" si="0"/>
        <v/>
      </c>
      <c r="I21" s="26" t="str">
        <f t="shared" si="1"/>
        <v/>
      </c>
    </row>
    <row r="22" spans="1:9" x14ac:dyDescent="0.3">
      <c r="A22" s="73" t="s">
        <v>568</v>
      </c>
      <c r="B22" s="74">
        <v>30000</v>
      </c>
      <c r="C22" s="75" t="s">
        <v>550</v>
      </c>
      <c r="F22" s="3"/>
      <c r="G22" s="3" t="str">
        <f>IF(SUMIF(cotizador!J27:J44, Armado!F22, cotizador!K27:K44)=0,"",SUMIF(cotizador!J27:J44, Armado!F22, cotizador!K27:K44))</f>
        <v/>
      </c>
      <c r="H22" s="26" t="str">
        <f t="shared" si="0"/>
        <v/>
      </c>
      <c r="I22" s="26" t="str">
        <f t="shared" si="1"/>
        <v/>
      </c>
    </row>
    <row r="23" spans="1:9" x14ac:dyDescent="0.3">
      <c r="A23" s="73" t="s">
        <v>569</v>
      </c>
      <c r="B23" s="74">
        <v>16650</v>
      </c>
      <c r="C23" s="75" t="s">
        <v>553</v>
      </c>
      <c r="F23" s="3"/>
      <c r="G23" s="3" t="str">
        <f>IF(SUMIF(cotizador!J28:J45, Armado!F23, cotizador!K28:K45)=0,"",SUMIF(cotizador!J28:J45, Armado!F23, cotizador!K28:K45))</f>
        <v/>
      </c>
      <c r="H23" s="26" t="str">
        <f t="shared" si="0"/>
        <v/>
      </c>
      <c r="I23" s="26" t="str">
        <f t="shared" si="1"/>
        <v/>
      </c>
    </row>
    <row r="24" spans="1:9" x14ac:dyDescent="0.3">
      <c r="A24" s="73" t="s">
        <v>570</v>
      </c>
      <c r="B24" s="74">
        <v>7000</v>
      </c>
      <c r="C24" s="75" t="s">
        <v>553</v>
      </c>
      <c r="F24" s="3"/>
      <c r="G24" s="3" t="str">
        <f>IF(SUMIF(cotizador!J29:J46, Armado!F24, cotizador!K29:K46)=0,"",SUMIF(cotizador!J29:J46, Armado!F24, cotizador!K29:K46))</f>
        <v/>
      </c>
      <c r="H24" s="26" t="str">
        <f t="shared" si="0"/>
        <v/>
      </c>
      <c r="I24" s="26" t="str">
        <f t="shared" si="1"/>
        <v/>
      </c>
    </row>
    <row r="25" spans="1:9" x14ac:dyDescent="0.3">
      <c r="A25" s="73" t="s">
        <v>571</v>
      </c>
      <c r="B25" s="74">
        <v>8800</v>
      </c>
      <c r="C25" s="75" t="s">
        <v>553</v>
      </c>
      <c r="F25" s="3"/>
      <c r="G25" s="3" t="str">
        <f>IF(SUMIF(cotizador!J30:J47, Armado!F25, cotizador!K30:K47)=0,"",SUMIF(cotizador!J30:J47, Armado!F25, cotizador!K30:K47))</f>
        <v/>
      </c>
      <c r="H25" s="26" t="str">
        <f t="shared" si="0"/>
        <v/>
      </c>
      <c r="I25" s="26" t="str">
        <f t="shared" si="1"/>
        <v/>
      </c>
    </row>
    <row r="26" spans="1:9" x14ac:dyDescent="0.3">
      <c r="A26" s="73" t="s">
        <v>572</v>
      </c>
      <c r="B26" s="74">
        <v>12750</v>
      </c>
      <c r="C26" s="75" t="s">
        <v>553</v>
      </c>
      <c r="F26" s="3"/>
      <c r="G26" s="3" t="str">
        <f>IF(SUMIF(cotizador!J31:J48, Armado!F26, cotizador!K31:K48)=0,"",SUMIF(cotizador!J31:J48, Armado!F26, cotizador!K31:K48))</f>
        <v/>
      </c>
      <c r="H26" s="26" t="str">
        <f t="shared" si="0"/>
        <v/>
      </c>
      <c r="I26" s="26" t="str">
        <f t="shared" si="1"/>
        <v/>
      </c>
    </row>
    <row r="27" spans="1:9" x14ac:dyDescent="0.3">
      <c r="A27" s="73" t="s">
        <v>573</v>
      </c>
      <c r="B27" s="74">
        <v>60900</v>
      </c>
      <c r="C27" s="75" t="s">
        <v>553</v>
      </c>
      <c r="F27" s="3"/>
      <c r="G27" s="3" t="str">
        <f>IF(SUMIF(cotizador!J32:J49, Armado!F27, cotizador!K32:K49)=0,"",SUMIF(cotizador!J32:J49, Armado!F27, cotizador!K32:K49))</f>
        <v/>
      </c>
      <c r="H27" s="26" t="str">
        <f t="shared" si="0"/>
        <v/>
      </c>
      <c r="I27" s="26" t="str">
        <f t="shared" si="1"/>
        <v/>
      </c>
    </row>
    <row r="28" spans="1:9" x14ac:dyDescent="0.3">
      <c r="A28" s="73" t="s">
        <v>574</v>
      </c>
      <c r="B28" s="74">
        <v>25500</v>
      </c>
      <c r="C28" s="75" t="s">
        <v>553</v>
      </c>
      <c r="F28" s="143" t="s">
        <v>124</v>
      </c>
      <c r="G28" s="143"/>
      <c r="H28" s="143"/>
      <c r="I28" s="31">
        <f>SUM(I9:I27)</f>
        <v>147600</v>
      </c>
    </row>
    <row r="29" spans="1:9" x14ac:dyDescent="0.3">
      <c r="A29" s="73" t="s">
        <v>575</v>
      </c>
      <c r="B29" s="74">
        <v>27550</v>
      </c>
      <c r="C29" s="75" t="s">
        <v>553</v>
      </c>
    </row>
    <row r="30" spans="1:9" x14ac:dyDescent="0.3">
      <c r="A30" s="73" t="s">
        <v>576</v>
      </c>
      <c r="B30" s="74">
        <v>20950</v>
      </c>
      <c r="C30" s="75" t="s">
        <v>553</v>
      </c>
    </row>
    <row r="31" spans="1:9" x14ac:dyDescent="0.3">
      <c r="A31" s="73" t="s">
        <v>577</v>
      </c>
      <c r="B31" s="74">
        <v>15350</v>
      </c>
      <c r="C31" s="75" t="s">
        <v>553</v>
      </c>
    </row>
    <row r="32" spans="1:9" x14ac:dyDescent="0.3">
      <c r="A32" s="73" t="s">
        <v>578</v>
      </c>
      <c r="B32" s="74">
        <v>19850</v>
      </c>
      <c r="C32" s="75" t="s">
        <v>553</v>
      </c>
    </row>
    <row r="33" spans="1:3" x14ac:dyDescent="0.3">
      <c r="A33" s="73" t="s">
        <v>579</v>
      </c>
      <c r="B33" s="74">
        <v>13150</v>
      </c>
      <c r="C33" s="75" t="s">
        <v>553</v>
      </c>
    </row>
    <row r="34" spans="1:3" x14ac:dyDescent="0.3">
      <c r="A34" s="73" t="s">
        <v>580</v>
      </c>
      <c r="B34" s="74">
        <v>14100</v>
      </c>
      <c r="C34" s="75" t="s">
        <v>553</v>
      </c>
    </row>
    <row r="35" spans="1:3" x14ac:dyDescent="0.3">
      <c r="A35" s="73" t="s">
        <v>581</v>
      </c>
      <c r="B35" s="74">
        <v>7850</v>
      </c>
      <c r="C35" s="75" t="s">
        <v>553</v>
      </c>
    </row>
    <row r="36" spans="1:3" x14ac:dyDescent="0.3">
      <c r="A36" s="73" t="s">
        <v>582</v>
      </c>
      <c r="B36" s="74">
        <v>5250</v>
      </c>
      <c r="C36" s="75" t="s">
        <v>553</v>
      </c>
    </row>
    <row r="37" spans="1:3" x14ac:dyDescent="0.3">
      <c r="A37" s="76" t="s">
        <v>583</v>
      </c>
      <c r="B37" s="77">
        <v>6450</v>
      </c>
      <c r="C37" s="75" t="s">
        <v>553</v>
      </c>
    </row>
    <row r="38" spans="1:3" x14ac:dyDescent="0.3">
      <c r="A38" s="76" t="s">
        <v>584</v>
      </c>
      <c r="B38" s="77">
        <v>4100</v>
      </c>
      <c r="C38" s="75" t="s">
        <v>553</v>
      </c>
    </row>
    <row r="39" spans="1:3" x14ac:dyDescent="0.3">
      <c r="A39" s="73" t="s">
        <v>585</v>
      </c>
      <c r="B39" s="74">
        <v>6200</v>
      </c>
      <c r="C39" s="75" t="s">
        <v>553</v>
      </c>
    </row>
    <row r="40" spans="1:3" x14ac:dyDescent="0.3">
      <c r="A40" s="73" t="s">
        <v>586</v>
      </c>
      <c r="B40" s="74">
        <v>4300</v>
      </c>
      <c r="C40" s="75" t="s">
        <v>553</v>
      </c>
    </row>
    <row r="41" spans="1:3" x14ac:dyDescent="0.3">
      <c r="A41" s="76" t="s">
        <v>587</v>
      </c>
      <c r="B41" s="77">
        <v>4550</v>
      </c>
      <c r="C41" s="75" t="s">
        <v>553</v>
      </c>
    </row>
    <row r="42" spans="1:3" x14ac:dyDescent="0.3">
      <c r="A42" s="76" t="s">
        <v>588</v>
      </c>
      <c r="B42" s="77">
        <v>3050</v>
      </c>
      <c r="C42" s="75" t="s">
        <v>553</v>
      </c>
    </row>
    <row r="43" spans="1:3" ht="15" thickBot="1" x14ac:dyDescent="0.35">
      <c r="A43" s="78" t="s">
        <v>589</v>
      </c>
      <c r="B43" s="79">
        <v>79300</v>
      </c>
      <c r="C43" s="80" t="s">
        <v>550</v>
      </c>
    </row>
  </sheetData>
  <mergeCells count="2">
    <mergeCell ref="F7:I7"/>
    <mergeCell ref="F28:H2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5781-7AE3-497A-AB51-0C6D2B6F46A3}">
  <sheetPr codeName="Hoja12"/>
  <dimension ref="A1"/>
  <sheetViews>
    <sheetView topLeftCell="A11" workbookViewId="0"/>
  </sheetViews>
  <sheetFormatPr baseColWidth="10" defaultColWidth="11.4414062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Despiece</vt:lpstr>
      <vt:lpstr>cotizador</vt:lpstr>
      <vt:lpstr>Empaque</vt:lpstr>
      <vt:lpstr>Tableros</vt:lpstr>
      <vt:lpstr>Tapacantos</vt:lpstr>
      <vt:lpstr>Herrajes</vt:lpstr>
      <vt:lpstr>Corte</vt:lpstr>
      <vt:lpstr>Enchape</vt:lpstr>
      <vt:lpstr>Mecanizado</vt:lpstr>
      <vt:lpstr>Armado</vt:lpstr>
      <vt:lpstr>MOD instalacion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Star Bot</dc:creator>
  <cp:keywords/>
  <dc:description/>
  <cp:lastModifiedBy>Equipo Automatización All Star</cp:lastModifiedBy>
  <cp:revision/>
  <dcterms:created xsi:type="dcterms:W3CDTF">2025-06-20T13:05:23Z</dcterms:created>
  <dcterms:modified xsi:type="dcterms:W3CDTF">2025-10-08T19:39:01Z</dcterms:modified>
  <cp:category/>
  <cp:contentStatus/>
</cp:coreProperties>
</file>