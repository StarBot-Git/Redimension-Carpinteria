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utom\Desktop\CARPINTERIA\Redimensionador - APP\assets\templates\"/>
    </mc:Choice>
  </mc:AlternateContent>
  <xr:revisionPtr revIDLastSave="0" documentId="13_ncr:1_{F18A9356-607A-482F-92E9-A5A78019462B}" xr6:coauthVersionLast="47" xr6:coauthVersionMax="47" xr10:uidLastSave="{00000000-0000-0000-0000-000000000000}"/>
  <bookViews>
    <workbookView xWindow="28665" yWindow="-90" windowWidth="29070" windowHeight="15750" activeTab="3" xr2:uid="{D85C986F-F5ED-4017-9E8A-6AA088F17CDC}"/>
  </bookViews>
  <sheets>
    <sheet name="Despiece" sheetId="2" r:id="rId1"/>
    <sheet name="cotizador" sheetId="1" r:id="rId2"/>
    <sheet name="Empaque" sheetId="13" r:id="rId3"/>
    <sheet name="Tableros" sheetId="4" r:id="rId4"/>
    <sheet name="Tapacantos" sheetId="6" r:id="rId5"/>
    <sheet name="Herrajes" sheetId="8" state="hidden" r:id="rId6"/>
    <sheet name="Corte" sheetId="9" r:id="rId7"/>
    <sheet name="Enchape" sheetId="10" state="hidden" r:id="rId8"/>
    <sheet name="Mecanizado" sheetId="11" r:id="rId9"/>
    <sheet name="Armado" sheetId="12" r:id="rId10"/>
    <sheet name="MOD instalacion" sheetId="15" r:id="rId11"/>
  </sheets>
  <definedNames>
    <definedName name="_xlnm._FilterDatabase" localSheetId="5" hidden="1">Herrajes!$A$1:$C$1</definedName>
    <definedName name="_xleta.COUNT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2" l="1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" i="2"/>
  <c r="D7" i="13"/>
  <c r="F7" i="13" s="1"/>
  <c r="D8" i="13"/>
  <c r="F8" i="13" s="1"/>
  <c r="D9" i="13"/>
  <c r="F9" i="13" s="1"/>
  <c r="D10" i="13"/>
  <c r="F10" i="13" s="1"/>
  <c r="D6" i="13"/>
  <c r="F6" i="13" s="1"/>
  <c r="N39" i="13"/>
  <c r="M39" i="13"/>
  <c r="O39" i="13" s="1"/>
  <c r="N38" i="13"/>
  <c r="M38" i="13"/>
  <c r="O38" i="13" s="1"/>
  <c r="N37" i="13"/>
  <c r="M37" i="13"/>
  <c r="N36" i="13"/>
  <c r="M36" i="13"/>
  <c r="O36" i="13" s="1"/>
  <c r="N35" i="13"/>
  <c r="M35" i="13"/>
  <c r="O35" i="13" s="1"/>
  <c r="N34" i="13"/>
  <c r="M34" i="13"/>
  <c r="O34" i="13" s="1"/>
  <c r="N33" i="13"/>
  <c r="M33" i="13"/>
  <c r="O33" i="13" s="1"/>
  <c r="N32" i="13"/>
  <c r="M32" i="13"/>
  <c r="O32" i="13" s="1"/>
  <c r="N31" i="13"/>
  <c r="M31" i="13"/>
  <c r="O31" i="13" s="1"/>
  <c r="N30" i="13"/>
  <c r="M30" i="13"/>
  <c r="O30" i="13" s="1"/>
  <c r="N29" i="13"/>
  <c r="M29" i="13"/>
  <c r="O29" i="13" s="1"/>
  <c r="N28" i="13"/>
  <c r="M28" i="13"/>
  <c r="O28" i="13" s="1"/>
  <c r="N27" i="13"/>
  <c r="M27" i="13"/>
  <c r="O27" i="13" s="1"/>
  <c r="N26" i="13"/>
  <c r="M26" i="13"/>
  <c r="O26" i="13" s="1"/>
  <c r="N25" i="13"/>
  <c r="M25" i="13"/>
  <c r="O25" i="13" s="1"/>
  <c r="N24" i="13"/>
  <c r="M24" i="13"/>
  <c r="N23" i="13"/>
  <c r="M23" i="13"/>
  <c r="O23" i="13" s="1"/>
  <c r="N22" i="13"/>
  <c r="M22" i="13"/>
  <c r="O22" i="13" s="1"/>
  <c r="N21" i="13"/>
  <c r="M21" i="13"/>
  <c r="N20" i="13"/>
  <c r="M20" i="13"/>
  <c r="O20" i="13" s="1"/>
  <c r="N19" i="13"/>
  <c r="M19" i="13"/>
  <c r="O19" i="13" s="1"/>
  <c r="N18" i="13"/>
  <c r="M18" i="13"/>
  <c r="O18" i="13" s="1"/>
  <c r="N17" i="13"/>
  <c r="M17" i="13"/>
  <c r="O17" i="13" s="1"/>
  <c r="N16" i="13"/>
  <c r="M16" i="13"/>
  <c r="O16" i="13" s="1"/>
  <c r="N15" i="13"/>
  <c r="M15" i="13"/>
  <c r="O15" i="13" s="1"/>
  <c r="N14" i="13"/>
  <c r="M14" i="13"/>
  <c r="O14" i="13" s="1"/>
  <c r="N13" i="13"/>
  <c r="M13" i="13"/>
  <c r="O13" i="13" s="1"/>
  <c r="N12" i="13"/>
  <c r="M12" i="13"/>
  <c r="O12" i="13" s="1"/>
  <c r="N11" i="13"/>
  <c r="M11" i="13"/>
  <c r="O11" i="13" s="1"/>
  <c r="M10" i="13"/>
  <c r="M9" i="13"/>
  <c r="L9" i="13" a="1"/>
  <c r="N10" i="13" s="1"/>
  <c r="O10" i="13" s="1"/>
  <c r="F5" i="13"/>
  <c r="F4" i="13"/>
  <c r="D2" i="9"/>
  <c r="D1" i="9"/>
  <c r="C2" i="9"/>
  <c r="C1" i="9"/>
  <c r="K2" i="9"/>
  <c r="K1" i="9"/>
  <c r="J2" i="9"/>
  <c r="J1" i="9"/>
  <c r="J3" i="9"/>
  <c r="A11" i="10"/>
  <c r="C21" i="9"/>
  <c r="C22" i="9"/>
  <c r="C23" i="9"/>
  <c r="C24" i="9"/>
  <c r="C25" i="9"/>
  <c r="C26" i="9"/>
  <c r="C27" i="9"/>
  <c r="H16" i="12"/>
  <c r="H17" i="12"/>
  <c r="H18" i="12"/>
  <c r="H19" i="12"/>
  <c r="H20" i="12"/>
  <c r="H21" i="12"/>
  <c r="H22" i="12"/>
  <c r="H23" i="12"/>
  <c r="H24" i="12"/>
  <c r="H25" i="12"/>
  <c r="H26" i="12"/>
  <c r="H27" i="12"/>
  <c r="F19" i="1"/>
  <c r="F20" i="1"/>
  <c r="F21" i="1"/>
  <c r="F22" i="1"/>
  <c r="F23" i="1"/>
  <c r="F24" i="1"/>
  <c r="F25" i="1"/>
  <c r="F26" i="1"/>
  <c r="F27" i="1"/>
  <c r="F30" i="1"/>
  <c r="F31" i="1"/>
  <c r="F32" i="1"/>
  <c r="F33" i="1"/>
  <c r="F34" i="1"/>
  <c r="F35" i="1"/>
  <c r="F36" i="1"/>
  <c r="F37" i="1"/>
  <c r="F38" i="1"/>
  <c r="F39" i="1"/>
  <c r="F18" i="1"/>
  <c r="B21" i="9"/>
  <c r="B22" i="9"/>
  <c r="B23" i="9"/>
  <c r="B24" i="9"/>
  <c r="D24" i="9" s="1"/>
  <c r="B25" i="9"/>
  <c r="B26" i="9"/>
  <c r="B27" i="9"/>
  <c r="A19" i="9" a="1"/>
  <c r="A19" i="9" s="1"/>
  <c r="E7" i="1"/>
  <c r="E8" i="1"/>
  <c r="E9" i="1"/>
  <c r="E10" i="1"/>
  <c r="E11" i="1"/>
  <c r="E12" i="1"/>
  <c r="E13" i="1"/>
  <c r="E14" i="1"/>
  <c r="E15" i="1"/>
  <c r="E6" i="1"/>
  <c r="F7" i="1"/>
  <c r="F8" i="1"/>
  <c r="F9" i="1"/>
  <c r="F10" i="1"/>
  <c r="F11" i="1"/>
  <c r="F12" i="1"/>
  <c r="F13" i="1"/>
  <c r="F14" i="1"/>
  <c r="F15" i="1"/>
  <c r="F6" i="1"/>
  <c r="O21" i="13" l="1"/>
  <c r="O24" i="13"/>
  <c r="O37" i="13"/>
  <c r="L9" i="13"/>
  <c r="N9" i="13" s="1"/>
  <c r="O9" i="13" s="1"/>
  <c r="D26" i="9"/>
  <c r="D25" i="9"/>
  <c r="D22" i="9"/>
  <c r="D21" i="9"/>
  <c r="D27" i="9"/>
  <c r="D23" i="9"/>
  <c r="B19" i="9"/>
  <c r="C20" i="9"/>
  <c r="G8" i="1"/>
  <c r="G12" i="1"/>
  <c r="G9" i="1"/>
  <c r="G11" i="1"/>
  <c r="G10" i="1"/>
  <c r="G15" i="1"/>
  <c r="G14" i="1"/>
  <c r="G13" i="1"/>
  <c r="G7" i="1"/>
  <c r="G6" i="1"/>
  <c r="B20" i="9"/>
  <c r="B67" i="1"/>
  <c r="B68" i="1" s="1"/>
  <c r="B70" i="1" s="1"/>
  <c r="B71" i="1" s="1"/>
  <c r="B73" i="1" s="1"/>
  <c r="B74" i="1" s="1"/>
  <c r="B7" i="10"/>
  <c r="O40" i="13" l="1"/>
  <c r="G16" i="1"/>
  <c r="G16" i="12"/>
  <c r="I16" i="12" s="1"/>
  <c r="G17" i="12"/>
  <c r="I17" i="12" s="1"/>
  <c r="G18" i="12"/>
  <c r="I18" i="12" s="1"/>
  <c r="G19" i="12"/>
  <c r="I19" i="12" s="1"/>
  <c r="G20" i="12"/>
  <c r="I20" i="12" s="1"/>
  <c r="G21" i="12"/>
  <c r="I21" i="12" s="1"/>
  <c r="G22" i="12"/>
  <c r="I22" i="12" s="1"/>
  <c r="G23" i="12"/>
  <c r="I23" i="12" s="1"/>
  <c r="G24" i="12"/>
  <c r="I24" i="12" s="1"/>
  <c r="G25" i="12"/>
  <c r="I25" i="12" s="1"/>
  <c r="G26" i="12"/>
  <c r="I26" i="12" s="1"/>
  <c r="G27" i="12"/>
  <c r="I27" i="12" s="1"/>
  <c r="F9" i="12" a="1"/>
  <c r="K3" i="11" a="1"/>
  <c r="H14" i="12" l="1"/>
  <c r="H15" i="12"/>
  <c r="G15" i="12"/>
  <c r="I15" i="12" s="1"/>
  <c r="K3" i="11"/>
  <c r="L4" i="11"/>
  <c r="G14" i="12"/>
  <c r="M4" i="11"/>
  <c r="H10" i="12"/>
  <c r="H11" i="12"/>
  <c r="H12" i="12"/>
  <c r="H13" i="12"/>
  <c r="G13" i="12"/>
  <c r="G12" i="12"/>
  <c r="G11" i="12"/>
  <c r="F9" i="12"/>
  <c r="H9" i="12" s="1"/>
  <c r="G10" i="12"/>
  <c r="L5" i="11"/>
  <c r="L6" i="11"/>
  <c r="L7" i="11"/>
  <c r="L8" i="11"/>
  <c r="N8" i="11" s="1"/>
  <c r="L9" i="11"/>
  <c r="N9" i="11" s="1"/>
  <c r="L10" i="11"/>
  <c r="L11" i="11"/>
  <c r="L12" i="11"/>
  <c r="L13" i="11"/>
  <c r="L14" i="11"/>
  <c r="L15" i="11"/>
  <c r="L16" i="11"/>
  <c r="N16" i="11" s="1"/>
  <c r="L17" i="11"/>
  <c r="L18" i="11"/>
  <c r="L19" i="11"/>
  <c r="L20" i="11"/>
  <c r="L21" i="11"/>
  <c r="L22" i="11"/>
  <c r="L23" i="11"/>
  <c r="L24" i="11"/>
  <c r="N24" i="11" s="1"/>
  <c r="L25" i="11"/>
  <c r="L26" i="11"/>
  <c r="L27" i="11"/>
  <c r="L28" i="11"/>
  <c r="L29" i="11"/>
  <c r="L30" i="11"/>
  <c r="L31" i="11"/>
  <c r="L32" i="11"/>
  <c r="L33" i="11"/>
  <c r="M5" i="11"/>
  <c r="M6" i="11"/>
  <c r="M7" i="11"/>
  <c r="M8" i="11"/>
  <c r="M9" i="11"/>
  <c r="M10" i="11"/>
  <c r="M11" i="11"/>
  <c r="M12" i="11"/>
  <c r="N12" i="11" s="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N6" i="11" l="1"/>
  <c r="N20" i="11"/>
  <c r="N11" i="11"/>
  <c r="N22" i="11"/>
  <c r="I14" i="12"/>
  <c r="I11" i="12"/>
  <c r="N21" i="11"/>
  <c r="N5" i="11"/>
  <c r="N28" i="11"/>
  <c r="N10" i="11"/>
  <c r="N33" i="11"/>
  <c r="N17" i="11"/>
  <c r="N31" i="11"/>
  <c r="N15" i="11"/>
  <c r="I13" i="12"/>
  <c r="N18" i="11"/>
  <c r="N19" i="11"/>
  <c r="N32" i="11"/>
  <c r="N25" i="11"/>
  <c r="N30" i="11"/>
  <c r="N14" i="11"/>
  <c r="N29" i="11"/>
  <c r="N13" i="11"/>
  <c r="N27" i="11"/>
  <c r="N26" i="11"/>
  <c r="N23" i="11"/>
  <c r="N7" i="11"/>
  <c r="M3" i="11"/>
  <c r="L3" i="11"/>
  <c r="I12" i="12"/>
  <c r="G9" i="12"/>
  <c r="I9" i="12" s="1"/>
  <c r="I10" i="12"/>
  <c r="N4" i="11"/>
  <c r="I28" i="12" l="1"/>
  <c r="B48" i="1" s="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3" i="11"/>
  <c r="B28" i="9"/>
  <c r="B14" i="9"/>
  <c r="C4" i="9"/>
  <c r="J10" i="9"/>
  <c r="K10" i="9" s="1"/>
  <c r="C10" i="9" s="1"/>
  <c r="J9" i="9"/>
  <c r="K9" i="9" s="1"/>
  <c r="C9" i="9" s="1"/>
  <c r="J8" i="9"/>
  <c r="K8" i="9" s="1"/>
  <c r="C8" i="9" s="1"/>
  <c r="J7" i="9"/>
  <c r="K7" i="9" s="1"/>
  <c r="C7" i="9" s="1"/>
  <c r="J6" i="9"/>
  <c r="K6" i="9" s="1"/>
  <c r="C6" i="9" s="1"/>
  <c r="J5" i="9"/>
  <c r="K5" i="9" s="1"/>
  <c r="C5" i="9" s="1"/>
  <c r="J4" i="9"/>
  <c r="K4" i="9" s="1"/>
  <c r="K3" i="9"/>
  <c r="C3" i="9" s="1"/>
  <c r="D20" i="9" l="1"/>
  <c r="D3" i="9"/>
  <c r="D6" i="9"/>
  <c r="D5" i="9"/>
  <c r="D10" i="9"/>
  <c r="D7" i="9"/>
  <c r="B11" i="10"/>
  <c r="B46" i="1" s="1"/>
  <c r="N3" i="11"/>
  <c r="N34" i="11" s="1"/>
  <c r="B47" i="1" s="1"/>
  <c r="D9" i="9"/>
  <c r="C19" i="9" s="1"/>
  <c r="D19" i="9" s="1"/>
  <c r="D8" i="9"/>
  <c r="D4" i="9"/>
  <c r="D28" i="9" l="1"/>
  <c r="B45" i="1" s="1"/>
  <c r="B50" i="1" s="1"/>
  <c r="B53" i="1" l="1"/>
  <c r="G32" i="1"/>
  <c r="G33" i="1"/>
  <c r="G34" i="1"/>
  <c r="G35" i="1"/>
  <c r="G36" i="1"/>
  <c r="G37" i="1"/>
  <c r="G38" i="1"/>
  <c r="G39" i="1"/>
  <c r="G31" i="1"/>
  <c r="D31" i="1"/>
  <c r="D32" i="1"/>
  <c r="D33" i="1"/>
  <c r="D34" i="1"/>
  <c r="D35" i="1"/>
  <c r="D36" i="1"/>
  <c r="D37" i="1"/>
  <c r="D38" i="1"/>
  <c r="D39" i="1"/>
  <c r="D30" i="1"/>
  <c r="G30" i="1"/>
  <c r="G27" i="1"/>
  <c r="G19" i="1"/>
  <c r="G20" i="1"/>
  <c r="G22" i="1"/>
  <c r="G24" i="1"/>
  <c r="G25" i="1"/>
  <c r="G21" i="1"/>
  <c r="G23" i="1"/>
  <c r="G26" i="1"/>
  <c r="G18" i="1"/>
  <c r="G40" i="1" l="1"/>
  <c r="G28" i="1"/>
  <c r="B2" i="1" l="1"/>
  <c r="B41" i="1" l="1"/>
  <c r="B43" i="1" s="1"/>
  <c r="B54" i="1" l="1"/>
  <c r="B57" i="1" s="1"/>
  <c r="B58" i="1" s="1"/>
  <c r="B61" i="1" s="1"/>
  <c r="B62" i="1" s="1"/>
  <c r="B7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<sst xmlns="http://schemas.openxmlformats.org/spreadsheetml/2006/main" count="9503" uniqueCount="627">
  <si>
    <t>No.</t>
  </si>
  <si>
    <t>Designación</t>
  </si>
  <si>
    <t>Cantidad</t>
  </si>
  <si>
    <t>Area - final</t>
  </si>
  <si>
    <t>Tipo</t>
  </si>
  <si>
    <t>Material</t>
  </si>
  <si>
    <t>AMARRES</t>
  </si>
  <si>
    <t>CRUDO PR ST</t>
  </si>
  <si>
    <t>BAÑO BASE</t>
  </si>
  <si>
    <t>MDF AR RH</t>
  </si>
  <si>
    <t>FLEXIBLE PV</t>
  </si>
  <si>
    <t>SEMI RIGIDO PV</t>
  </si>
  <si>
    <t>SEMI RIGIDO SC</t>
  </si>
  <si>
    <t>Cotizador Oficial ALL STAR</t>
  </si>
  <si>
    <t>Fecha :</t>
  </si>
  <si>
    <t xml:space="preserve">Area de Carpinteria </t>
  </si>
  <si>
    <t>Nombre :</t>
  </si>
  <si>
    <t>Materiales</t>
  </si>
  <si>
    <t>Tableros</t>
  </si>
  <si>
    <t>Formato</t>
  </si>
  <si>
    <t>Calibre</t>
  </si>
  <si>
    <t>Cantidad (#)</t>
  </si>
  <si>
    <t>Cantidad ajust (#)</t>
  </si>
  <si>
    <t>Precio Unidad</t>
  </si>
  <si>
    <t>Precio Total</t>
  </si>
  <si>
    <t>Armado</t>
  </si>
  <si>
    <t>Actividad</t>
  </si>
  <si>
    <t>ZURRÓN 3 CAJONES - UND</t>
  </si>
  <si>
    <t>ZURRÓN 1 CAJÓN - UND</t>
  </si>
  <si>
    <t>Total</t>
  </si>
  <si>
    <t>EMBISAGRADOR W - UND</t>
  </si>
  <si>
    <t>Tapacantos</t>
  </si>
  <si>
    <t>Ancho</t>
  </si>
  <si>
    <t>Cantidad (m)</t>
  </si>
  <si>
    <t>ENTREPAÑO EN L COC - MTL</t>
  </si>
  <si>
    <t>EMBISAGRADOR , DINTEL O BASE - UND</t>
  </si>
  <si>
    <t xml:space="preserve">Herrajes </t>
  </si>
  <si>
    <t>Proveedor</t>
  </si>
  <si>
    <t>ACCESORIO PERFIL CLICK 6014T 50MM. 1 SET</t>
  </si>
  <si>
    <t>ACCESORIO CIERRELENTO ZINC BRAZO N.1 UN</t>
  </si>
  <si>
    <t>Sub Total Material</t>
  </si>
  <si>
    <t>Insumos %</t>
  </si>
  <si>
    <t>Total Material</t>
  </si>
  <si>
    <t>Mano de obra directa</t>
  </si>
  <si>
    <t>Corte</t>
  </si>
  <si>
    <t>Enchape</t>
  </si>
  <si>
    <t>Mecanizado</t>
  </si>
  <si>
    <t>Empaque</t>
  </si>
  <si>
    <t>Total MOD</t>
  </si>
  <si>
    <t>Mano de obra Indirecto</t>
  </si>
  <si>
    <t>% de MOD</t>
  </si>
  <si>
    <t>Acumulado</t>
  </si>
  <si>
    <t>Admin Costos Fijos</t>
  </si>
  <si>
    <t>% Admin CF</t>
  </si>
  <si>
    <t>$ Admin CF</t>
  </si>
  <si>
    <t xml:space="preserve">Utilidad </t>
  </si>
  <si>
    <t xml:space="preserve">% Utilidad </t>
  </si>
  <si>
    <t xml:space="preserve">$ Utilidad </t>
  </si>
  <si>
    <t>Costos totales Sum</t>
  </si>
  <si>
    <t>Con Instalacion</t>
  </si>
  <si>
    <t>MOD</t>
  </si>
  <si>
    <t xml:space="preserve">%MOI </t>
  </si>
  <si>
    <t xml:space="preserve">$MOI </t>
  </si>
  <si>
    <t>MO Total</t>
  </si>
  <si>
    <t>C. Admin  %</t>
  </si>
  <si>
    <t>$ C. Admin</t>
  </si>
  <si>
    <t>Utilidad %</t>
  </si>
  <si>
    <t>Total Instalacion</t>
  </si>
  <si>
    <t>Total Costos con inst</t>
  </si>
  <si>
    <t xml:space="preserve">Costos de empaque por unidad de producto basado en el costo de un auxiliar de empaque. El costo del auxiliar que se presenta es de un turno (día) de 8 horas laboradas. </t>
  </si>
  <si>
    <t>Cantidad paquetes</t>
  </si>
  <si>
    <t>Nombre Producto</t>
  </si>
  <si>
    <t>Tiempo Estándar (s)</t>
  </si>
  <si>
    <t>Capacidad (unidad/hora)</t>
  </si>
  <si>
    <t>Costo por unidad (COP)</t>
  </si>
  <si>
    <t>Costos</t>
  </si>
  <si>
    <t>Armario</t>
  </si>
  <si>
    <t>AUXILIAR</t>
  </si>
  <si>
    <t>Cajonera</t>
  </si>
  <si>
    <t>Closet</t>
  </si>
  <si>
    <t>Vestier</t>
  </si>
  <si>
    <t>Mano de obra directo</t>
  </si>
  <si>
    <t>Mueble alto cocina</t>
  </si>
  <si>
    <t>Pieza</t>
  </si>
  <si>
    <t>Precio unidad</t>
  </si>
  <si>
    <t>Precio conjunto</t>
  </si>
  <si>
    <t>Mueble bajo cocina recto</t>
  </si>
  <si>
    <t xml:space="preserve">Mueble baño </t>
  </si>
  <si>
    <t>Referencia</t>
  </si>
  <si>
    <t>Sustrato</t>
  </si>
  <si>
    <t>Acadado</t>
  </si>
  <si>
    <t xml:space="preserve">Calibre </t>
  </si>
  <si>
    <t>Costo clientes antes de IVA</t>
  </si>
  <si>
    <t>ST</t>
  </si>
  <si>
    <t>No aplica</t>
  </si>
  <si>
    <t>CRUDO PR RH</t>
  </si>
  <si>
    <t>RH</t>
  </si>
  <si>
    <t>ARTICO PR ST</t>
  </si>
  <si>
    <t>Mate</t>
  </si>
  <si>
    <t>ARTICO PR RH</t>
  </si>
  <si>
    <t>MALI PR ST</t>
  </si>
  <si>
    <t>Poro</t>
  </si>
  <si>
    <t>MALI PR RH</t>
  </si>
  <si>
    <t>GLAZÉ PR ST</t>
  </si>
  <si>
    <t>GLAZÉ PR RH</t>
  </si>
  <si>
    <t>MADERADO PR ST</t>
  </si>
  <si>
    <t>Amaz/Luna/Terra/Poro/Mate</t>
  </si>
  <si>
    <t>MADERADO PR RH</t>
  </si>
  <si>
    <t xml:space="preserve"> UNICOLOR PR ST</t>
  </si>
  <si>
    <t xml:space="preserve"> UNICOLOR PR RH</t>
  </si>
  <si>
    <t>PRIMAFORZA PR ST</t>
  </si>
  <si>
    <t>PRIMAFORZA PR RH</t>
  </si>
  <si>
    <t xml:space="preserve">MDF AR ST </t>
  </si>
  <si>
    <t>Arauco</t>
  </si>
  <si>
    <t>MDF AR ST</t>
  </si>
  <si>
    <t>PVCantos</t>
  </si>
  <si>
    <t>RIGIDO PV</t>
  </si>
  <si>
    <t>FLEXIBLE IN</t>
  </si>
  <si>
    <t>INCAPLAS</t>
  </si>
  <si>
    <t>SEMI RIGIDO IN</t>
  </si>
  <si>
    <t>RIGIDO IN</t>
  </si>
  <si>
    <t>FLEXIBLE TE</t>
  </si>
  <si>
    <t>TECE</t>
  </si>
  <si>
    <t>RIGIDO TE</t>
  </si>
  <si>
    <t>FLEXIBLE SC</t>
  </si>
  <si>
    <t>SANTA CRUZ</t>
  </si>
  <si>
    <t>RIGIDO SC</t>
  </si>
  <si>
    <t>FLEXIBLE RE</t>
  </si>
  <si>
    <t>REHAU</t>
  </si>
  <si>
    <t>RIGIDO RE</t>
  </si>
  <si>
    <t>ACCES PERFIL CLICK 6017T/6020T 50 MM. 20 PAR</t>
  </si>
  <si>
    <t>GM</t>
  </si>
  <si>
    <t>BASURERO SENCILLO 9L.6 UN</t>
  </si>
  <si>
    <t>BASURERO*2 GAV SOFTCLOSING GRIS. 1 UN</t>
  </si>
  <si>
    <t>BASURERO*3 GAV SOFTCLOSING GRIS. 1 UN</t>
  </si>
  <si>
    <t>BISAGRA EMBEBIDA SOFT CLOSING.200 UN</t>
  </si>
  <si>
    <t>BISAGRA EMBEBIDA.200 UN</t>
  </si>
  <si>
    <t>BISAGRA OMEGA 4" Acero Inox.</t>
  </si>
  <si>
    <t>Madecentro - Bonuit</t>
  </si>
  <si>
    <t>Bisagra parche cierre lento 110° Acero Inox. 35mm x 11,8mm</t>
  </si>
  <si>
    <t>Bisagra parche cierre lento 165° Acero Inox. 35mm x 11,8mm</t>
  </si>
  <si>
    <t>Bisagra parche cierre lento 45° Acero Inox. 35mm x 11,8mm</t>
  </si>
  <si>
    <t>Bisagra parche cierre lento 90° Acero Inox. 35mm x 11,8mm</t>
  </si>
  <si>
    <t>Bisagra parche cierre lento 95° Acero Inox. 35mm x 11,8mm</t>
  </si>
  <si>
    <t>BISAGRA PARCHE NORMAL.200 UN</t>
  </si>
  <si>
    <t>BISAGRA PARCHE SOFTCLOSING.200 UN</t>
  </si>
  <si>
    <t xml:space="preserve">BISAGRA RESORTE 4" Acero Inox. </t>
  </si>
  <si>
    <t>Homecenter</t>
  </si>
  <si>
    <t>BISAGRA SEMIPARCHE NORMAL.200 UN</t>
  </si>
  <si>
    <t>BISAGRA SEMIPARCHE SOFTCLOSING.200 UN</t>
  </si>
  <si>
    <t>BOETELLO SENCILLO CIERRE NORMAL. 1 UN</t>
  </si>
  <si>
    <t>BOTELLERO LATERAL 2 NIV SOTF 95.5*473*502 DER.1 UN</t>
  </si>
  <si>
    <t>BOTELLERO LATERAL 2 NIV SOTF 95.5*473*502 IZQUI. 1 UN</t>
  </si>
  <si>
    <t>BRAZO ALPHA SOFT CLOSING. 10UN</t>
  </si>
  <si>
    <t>BRAZO DOBLEPUERTA PLEGADIZA 527*190*101.5 MEDIUM.5 UN</t>
  </si>
  <si>
    <t>BRAZO DOBLEPUERTA PLEGADIZA HEAVY - PESADO.5 UN</t>
  </si>
  <si>
    <t>BRAZO ELEVABLE SOFT CLOSING 4KG DERECHO.5 UN</t>
  </si>
  <si>
    <t>BRAZO ELEVABLE SOFT CLOSING 4KG IZQUIERDO.5 UN</t>
  </si>
  <si>
    <t>BRAZO ELEVABLE SOFT CLOSING 6KG DERECHO. 20 UN</t>
  </si>
  <si>
    <t>BRAZO ELEVABLE SOFT CLOSING 6KG IZQUIERDO. 20 UN</t>
  </si>
  <si>
    <t>BRAZO NEUMATICO 100N.100 UN</t>
  </si>
  <si>
    <t>BRAZO NEUMATICO 120N.100 UN</t>
  </si>
  <si>
    <t>BRAZO NEUMATICO 150 N.100 UN</t>
  </si>
  <si>
    <t>BRAZO NEUMATICO 50N.100 UN</t>
  </si>
  <si>
    <t>BRAZO NEUMATICO 60 N MINI.100 UN</t>
  </si>
  <si>
    <t>BRAZO NEUMATICO 60N.100 UN</t>
  </si>
  <si>
    <t>BRAZO NEUMATICO 80N.100 UN</t>
  </si>
  <si>
    <t>Brazo neumatico cierre lento 100nw Acero - plastico. 600mm altura</t>
  </si>
  <si>
    <t>Brazo neumatico cierre lento 120nw Acero - plastico. 600mm altura</t>
  </si>
  <si>
    <t>Brazo neumatico cierre lento 60nw Acero - plastico. 600mm altura</t>
  </si>
  <si>
    <t>Brazo neumatico cierre lento 80nw Acero - plastico. 600mm altura</t>
  </si>
  <si>
    <t>CANTONEIRA 50. 1SET</t>
  </si>
  <si>
    <t>CERRADURA COMB. 4 DIGITOS DERECHA. 64 UN</t>
  </si>
  <si>
    <t>CERRADURA COMB. 4 DIGITOS IZQUIERDA. 64 UN</t>
  </si>
  <si>
    <t>CERRADURA GAB. DIGITAL CON PANEL TACTIL. 1 UN</t>
  </si>
  <si>
    <t>CERRADURA NEGRA FL. 25 UN</t>
  </si>
  <si>
    <t>CERRADURA NEGRA ML. 12 UN</t>
  </si>
  <si>
    <t>CERRADURA ZIN ML. 12 UN</t>
  </si>
  <si>
    <t>CERRADURA ZINC FL. 25 UN</t>
  </si>
  <si>
    <t>Cinta led. 10w - calida. 5m</t>
  </si>
  <si>
    <t>CORRED. GABINETE 14 OVER SIN ALETA.20 JG</t>
  </si>
  <si>
    <t>CORRED.SOFT. INVISIBLE 350MM (14 ) 2D.15 JG</t>
  </si>
  <si>
    <t>CORRED.SOFT. INVISIBLE 350MM (14) 3D.10 JG</t>
  </si>
  <si>
    <t>CORRED.SOFT. INVISIBLE 400MM (14) 3D.10 JG</t>
  </si>
  <si>
    <t>CORRED.SOFT. INVISIBLE 450MM (14) 3D.10 JG</t>
  </si>
  <si>
    <t>CORRED.SOFT. INVISIBLE 500MM (14) 3D.10 JG</t>
  </si>
  <si>
    <t>CORRED.TELES. 250MM (10) 75 LB.15 JG</t>
  </si>
  <si>
    <t>CORRED.TELES. 300MM (12) 100 LB.15 JG</t>
  </si>
  <si>
    <t>CORRED.TELES. 300MM (12) 50 LB.20 JG</t>
  </si>
  <si>
    <t>CORRED.TELES. 300MM (14) 75 LB.15 JG</t>
  </si>
  <si>
    <t>CORRED.TELES. 350MM (14) 50 LB.20 JG</t>
  </si>
  <si>
    <t>CORRED.TELES. 350MM (14) 75 LB.15 JG</t>
  </si>
  <si>
    <t>CORRED.TELES. 350MM (16) 100 LB.15 JG</t>
  </si>
  <si>
    <t>CORRED.TELES. 400MM (16) 100 LB.15 JG</t>
  </si>
  <si>
    <t>CORRED.TELES. 400MM (16) 50 LB.20 JG</t>
  </si>
  <si>
    <t>CORRED.TELES. 400MM (16) 75 LB.15 JG</t>
  </si>
  <si>
    <t>CORRED.TELES. 450MM (18) 100 LB.15 JG</t>
  </si>
  <si>
    <t>CORRED.TELES. 450MM (18) 50 LB.20 JG</t>
  </si>
  <si>
    <t>CORRED.TELES. 450MM (18) 75 LB.15 JG</t>
  </si>
  <si>
    <t>CORRED.TELES. 500MM (20) 100 LB.15 JG</t>
  </si>
  <si>
    <t>CORRED.TELES. 500MM (20) 75 LB.15 JG</t>
  </si>
  <si>
    <t>CORRED.TELES. 550MM (22) 100 LB.15 JG</t>
  </si>
  <si>
    <t>CORRED.TELES. 600MM (24) 100 LB.15 JG</t>
  </si>
  <si>
    <t>CORRED.TELES. 650MM (26) 100 LB.15 JG</t>
  </si>
  <si>
    <t>CORRED.TELES. SOFT CLOSING 300MM (12).15 JG</t>
  </si>
  <si>
    <t>CORRED.TELES. SOFT CLOSING 350MM (14).15 JG</t>
  </si>
  <si>
    <t>CORRED.TELES. SOFT CLOSING 400MM (16).15 JG</t>
  </si>
  <si>
    <t>CORRED.TELES. SOFT CLOSING 450MM (18).15 JG</t>
  </si>
  <si>
    <t>CORRED.TELES. SOFT CLOSING 500MM (20).15 JG</t>
  </si>
  <si>
    <t>CORRED.TELES. TOUCH OPEN 300MM (12).15 JG</t>
  </si>
  <si>
    <t>CORRED.TELES. TOUCH OPEN 350MM (14).15 JG</t>
  </si>
  <si>
    <t>CORRED.TELES. TOUCH OPEN 400MM (16).15 JG</t>
  </si>
  <si>
    <t>CORRED.TELES. TOUCH OPEN 450MM (18).15 JG</t>
  </si>
  <si>
    <t>CORRED.TELES. TOUCH OPEN 500MM (20).15 JG</t>
  </si>
  <si>
    <t>Corredera lateral cierre lento ext. Acero Inox. 30cm</t>
  </si>
  <si>
    <t>Corredera lateral cierre lento ext. Acero Inox. 35cm</t>
  </si>
  <si>
    <t>Corredera lateral cierre lento ext. Acero Inox. 40cm</t>
  </si>
  <si>
    <t>Corredera lateral cierre lento ext. Acero Inox. 45cm</t>
  </si>
  <si>
    <t>Corredera lateral cierre lento ext. Acero Inox. 50cm</t>
  </si>
  <si>
    <t>Corredera lateral cierre lento ext. Acero Inox. 55cm</t>
  </si>
  <si>
    <t>Corredera oculta cierre lento ext. Acero Inox. 30cm</t>
  </si>
  <si>
    <t>Corredera oculta cierre lento ext. Acero Inox. 35cm</t>
  </si>
  <si>
    <t>Corredera oculta cierre lento ext. Acero Inox. 40cm</t>
  </si>
  <si>
    <t>Corredera oculta cierre lento ext. Acero Inox. 45cm</t>
  </si>
  <si>
    <t>Corredera oculta cierre lento ext. Acero Inox. 50cm</t>
  </si>
  <si>
    <t>Corredera oculta cierre lento ext. Acero Inox. 55cm</t>
  </si>
  <si>
    <t>CUBERTERO W420*H50*D473. 20 UN</t>
  </si>
  <si>
    <t>CUBERTERO W520*H50*D473. 20 UN</t>
  </si>
  <si>
    <t>CUBERTERO W620*H50*D473. 20 UN</t>
  </si>
  <si>
    <t>DESPENSA ABATIBLE SOFT *6 GRIS W40*D500*H1820. 1 UN</t>
  </si>
  <si>
    <t>DESPENSA EXTR. SOFT *5 GRIS W345*D490*H(1570-1870). 1 UN</t>
  </si>
  <si>
    <t>Empaque contrafuego</t>
  </si>
  <si>
    <t>Empaque Hafele Acustico. Rollo x 25m</t>
  </si>
  <si>
    <t>Hafele</t>
  </si>
  <si>
    <t>ESQUINA MAGICA DERECHA. 1 UN</t>
  </si>
  <si>
    <t>ESQUINA MAGICA IZQUIERDA. 1 UN</t>
  </si>
  <si>
    <t>Fuente de poder slim. 12v - 36w</t>
  </si>
  <si>
    <t>Ecolite</t>
  </si>
  <si>
    <t>Fuente de poder slim. 24v</t>
  </si>
  <si>
    <t>Fervicom</t>
  </si>
  <si>
    <t>GEMBOX H119 505MM GAL CUAD BLANCO + SIST DIVISION CAJON GEMBOX 04128 500 MM BLANCO. 6 UN</t>
  </si>
  <si>
    <t>GEMBOX H183 456MM GAL CUAD BLANCO + SIST DIVISION CAJON GEMBOX 04128 450 MM BLANCO. 6 UN</t>
  </si>
  <si>
    <t>GEMBOX H183 505MM GAL REDON GRIS OSC + SIST DIVISION CAJON GEMBOX 04128 500 MM BLANCO. 6 UN</t>
  </si>
  <si>
    <t>GEMBOX H183 507MM GAL CUAD BLANCO + SIST DIVISION CAJON GEMBOX 04128 500 MM BLANCO. 6 UN</t>
  </si>
  <si>
    <t>GEMBOX H68 350MM SIN GAL GRIS OSC. 6 UN</t>
  </si>
  <si>
    <t>GEMBOX H68 500MM SIN GAL BLANCO. 6 UN</t>
  </si>
  <si>
    <t>GEMBOX H68 500MM SIN GAL GRIS OSC. 6 UN</t>
  </si>
  <si>
    <t>INCERTO 13MM ROSCA M-6. 1 UN</t>
  </si>
  <si>
    <t>KIT CAVA 01.02.03 ANOD/JATO. 1KIT</t>
  </si>
  <si>
    <t>KIT ESCURREPLATOS DE 60 CM (GE). 1 UN</t>
  </si>
  <si>
    <t>KIT ESCURREPLATOS DE 70CM.1 UN</t>
  </si>
  <si>
    <t>KIT ESCURREPLATOS DE 80CM.1 UN</t>
  </si>
  <si>
    <t>MINI FIX ZINCADO (CAM+COMBI). 4000 UN</t>
  </si>
  <si>
    <t>Mirilla puerta. Acero Inox. 15cm</t>
  </si>
  <si>
    <t>OMEGABOX H151 351MM GRIS OSCURO. 5 UN</t>
  </si>
  <si>
    <t>OMEGABOX H151 451MM BLANCO.5 UN</t>
  </si>
  <si>
    <t>OMEGABOX H151 451MM GRIS OSCURO. 5 UN</t>
  </si>
  <si>
    <t>OMEGABOX H151 501MM BLANCO. 5 UN</t>
  </si>
  <si>
    <t>OMEGABOX H151 501MM GRIS OSCURO. 5 UN</t>
  </si>
  <si>
    <t>OMEGABOX H68 350MM BLANCO. 5 UN</t>
  </si>
  <si>
    <t>OMEGABOX H68 350MM GRIS OSCURO. 5 UN</t>
  </si>
  <si>
    <t>OMEGABOX H68 450MM GRIS OSCURO. 5 UN</t>
  </si>
  <si>
    <t>OMEGABOX H68 500MM BLANCO. 5 UN</t>
  </si>
  <si>
    <t>OMEGABOX H68 500MM GRIS OSCURO. 5 UN</t>
  </si>
  <si>
    <t>PEFIL PUX 4030T INOX ESCOVADO 3.0 MT 18MM. 10 UN</t>
  </si>
  <si>
    <t>PERFIL 1045 INOX ESCOVADO 3MT VIDRIO 4MM. 10 UN</t>
  </si>
  <si>
    <t>PERFIL 1045 JAT ANOD 3MT VIDRIO 4MM. 10 UN</t>
  </si>
  <si>
    <t>PERFIL CLICK PUX 6017T INOX ESCOVADO 18MM. 10 UN</t>
  </si>
  <si>
    <t>PERFIL CLICK PUX 6017T JAT ANOD 3.0 MT 18MM. 10 UN</t>
  </si>
  <si>
    <t>PERFIL CLOSET INF FORM 1052 JAT ANOD 3.0 MT. 10 UN</t>
  </si>
  <si>
    <t>PERFIL CLOSET INF Y SUP 1050 JAT ANOD 3.0 MT. 10 UN</t>
  </si>
  <si>
    <t>PERFIL CLOSET SUP FORM 1055 JAT ANOD 3.0 MT. 10 UN</t>
  </si>
  <si>
    <t>PERFIL CON CLICK 6014T JAT ANOD 3.0 MT 15MM. 10 UN</t>
  </si>
  <si>
    <t>PERFIL FORM 7007T JAT ANOD 3.0 MT 15MM. 10 UN</t>
  </si>
  <si>
    <t>PERFIL FORM 8007T JAT ANOD 3.0 MT 15MM. 10 UN</t>
  </si>
  <si>
    <t>PERFIL FUX 6003 JAT ANOD 2.65 MT 18MM. 10 UN</t>
  </si>
  <si>
    <t>PERFIL FUX 6003 JAT ANOD 2.70 MT 15MM. 10 UN</t>
  </si>
  <si>
    <t>Perfil led de incrustar con difusor Acero - plastico. 3m</t>
  </si>
  <si>
    <t>PERFIL LINEA FORM 2038 JAT ANOD 3.0 MT. 10 UN</t>
  </si>
  <si>
    <t>PERFIL PUX 2028 JAT ANOD 3.0 MT. 10 UN</t>
  </si>
  <si>
    <t>PERFIL PUX 3180T INOX ESCOVADO 3MT VIDRIO 4MM. 10 UN</t>
  </si>
  <si>
    <t>PERFIL PUX 3180T JAT ANOD 3MT VIDRIO 4MM. 10 UN</t>
  </si>
  <si>
    <t>PERFIL PUX 4030T JAT ANOD 3.0 MT 18MM. 10 UN</t>
  </si>
  <si>
    <t>PERFIL PUX 5013T INOX ESCOVADO 3.0 MT 18MM. 10 UN</t>
  </si>
  <si>
    <t>PERFIL PUX 5013T JAT ANOD 3.0 MT 18MM. 10 UN</t>
  </si>
  <si>
    <t>PERFIL PUX 5046T JAT ANOD 3.0 MT 15MM. 10 UN</t>
  </si>
  <si>
    <t>PERFIL PUX 6014T INOX ESCOVADO 3.0 MT 15MM. 10 UN</t>
  </si>
  <si>
    <t>PERFIL PUX AREZZO 1 MM NEGRO 3.0 MT. 10 UN</t>
  </si>
  <si>
    <t>PERFIL PUX AREZZO 18 MM BLANCO FOSCO 3.0 MT. 10 UN</t>
  </si>
  <si>
    <t>PERFIL PUX AREZZO 18MM GRAFITE 3.0 MT PLIBL. 10 UN</t>
  </si>
  <si>
    <t>PERFIL PUX AREZZO 18MM ROSE 30 MT PLIBL. 10 UN</t>
  </si>
  <si>
    <t>PERFIL PUX CAVA 02 INOX ESCOVADO 3.0 MT PLIBL. 10 UN</t>
  </si>
  <si>
    <t>PERFIL PUX CAVA 03 INOX ESCOVADO 3.0 MT PLIBL. 10 UN</t>
  </si>
  <si>
    <t>PERFIL PUX GRAZ JAT ANOD 3.0 MT (MANIJA). 5 UN</t>
  </si>
  <si>
    <t>PERFIL PUX STRETTO JAT ANOD 3.0 MT ( MANIJA). 5 UN</t>
  </si>
  <si>
    <t>PERFIL PUX STRETTO NEGRO 3.0 MT ( MANIJA). 5 UN</t>
  </si>
  <si>
    <t>PERFIL THIN 01 BRONZE (BRONCE) 1001 3.0 MT PLIBL. 10 UN</t>
  </si>
  <si>
    <t>PERFIL THIN 01 PRETO (NEGRO) 3.0 MT PLIBL. 10 UN</t>
  </si>
  <si>
    <t>PERFIL THIN 01 ROSE (ROSA) 3.0 MT PLIBL. 10 UN</t>
  </si>
  <si>
    <t>PERFIL THIN 02 BRONZE (BRONCE) 1001 3.0 MT PLIBL. 10 UN</t>
  </si>
  <si>
    <t>PERFIL THIN 02 PRETO (NEGRO) 3.0 MT PLIBL. 10 UN</t>
  </si>
  <si>
    <t>PUNTEIRA 12 LAT DIR E ESQ AREZZO 18MM GRAFITE. 20 PAR</t>
  </si>
  <si>
    <t>PUNTEIRA 12 LAT DIR E ESQ AREZZO 18MM ROSE. 20 PAR</t>
  </si>
  <si>
    <t>PUNTERA 07 5013 T ANOD (PR). 20 PAR</t>
  </si>
  <si>
    <t>PUNTERA 07 5013T INOX ESCOVADO (PR). 20 PAR</t>
  </si>
  <si>
    <t>PUNTERA 07 ANOD (PR). 20 PAR</t>
  </si>
  <si>
    <t>PUNTERA 10 5046T JAT ANOD. 20 PAR</t>
  </si>
  <si>
    <t>PUNTERA 11 6015T INOX ESC (PR). 20 PAR</t>
  </si>
  <si>
    <t>PUNTERA 11 LAT 15 MM ANOD (PR). 20 PAR</t>
  </si>
  <si>
    <t>PUNTERA 12 LAT DIR E ESQ AREZZO 18 MM ANOD (PR). 20 PAR</t>
  </si>
  <si>
    <t>PUNTERA 12 LAT DIR E ESQ AREZZO 18 MM BLANCA (PR). 20 PAR</t>
  </si>
  <si>
    <t>PUNTERA 12 LAT DIR E ESQ AREZZO 18 MM NEGRA (PR). 20 PAR</t>
  </si>
  <si>
    <t>PUNTERA 15 4030T ANOD (PR). 20 PAR</t>
  </si>
  <si>
    <t>PUNTERA 15 4030T INOX ESCOVADO (PR). 20 PAR</t>
  </si>
  <si>
    <t>PUNTERA 16 7007T ANODIZADO-PAR. 10 UN</t>
  </si>
  <si>
    <t>PUNTERA 17 GRAZ ANODIZADA. 20 UN</t>
  </si>
  <si>
    <t>PUNTERA 19 LAT STRETTO ANODIZADO. 20 UN</t>
  </si>
  <si>
    <t>PUNTERA 19 LAT STRETTO NEGRA. 20 UN</t>
  </si>
  <si>
    <t>PUNTERA 26 4023 INOX ESCOVADO (PR). 20 PAR</t>
  </si>
  <si>
    <t>PUNTERA 26 4023 JAT ANOD (PR). 20 PAR</t>
  </si>
  <si>
    <t>PUNTERA 42 8007T INOX ESCOVADO. 10 UN</t>
  </si>
  <si>
    <t>SIST DIVISION CAJON GEMBOX 04128 450 MM BLANCO. 1 UN</t>
  </si>
  <si>
    <t>SIST DIVISION CAJON GEMBOX 04128 500 MM BLANCO. 1 UN</t>
  </si>
  <si>
    <t>SIST DIVISION CAJON GEMBOX 04196 500 MM GRIS OSCUR. 1 UN</t>
  </si>
  <si>
    <t>SISTEMA AL32 (1 PUERTA). 50UN</t>
  </si>
  <si>
    <t>SISTEMA AL36 SOFT CLSOING (CLOSET SIMPLE). 30UN</t>
  </si>
  <si>
    <t>SISTEMA AL37 SOFT CLSOING (CLOSET SIMPLE). 20UN</t>
  </si>
  <si>
    <t>SISTEMA AL58 CON GUIA AUTO AJUSTABLE GA06. 50UN</t>
  </si>
  <si>
    <t>SISTEMA CAJON INTERNO H68 350MM BLANCO. 6 UN</t>
  </si>
  <si>
    <t>SISTEMA CAJON INTERNO H68 350MM GRIS. 6 UN</t>
  </si>
  <si>
    <t>SISTEMA CAJON INTERNO H68 450MM BLANCO. 6 UN</t>
  </si>
  <si>
    <t>SISTEMA CAJON INTERNO H68 450MM GRIS. 6 UN</t>
  </si>
  <si>
    <t>SISTEMA CAJON INTERNO H68 500MM GRIS. 6 UN</t>
  </si>
  <si>
    <t>SOPORTE DE FIJACIÓN 90º THIN. 10 UN</t>
  </si>
  <si>
    <t>SOPORTE DE FIJACIÓN THIN. 10 UN</t>
  </si>
  <si>
    <t>SOPORTE DE TECHO THIN. 10 UN</t>
  </si>
  <si>
    <t>SOPORTE EN ZAMAC PARA TUBO METALICO DE 15MM. 2000 UN</t>
  </si>
  <si>
    <t>SOPORTE ENTREPAÑO TRANSPARENTE. 1000 UN</t>
  </si>
  <si>
    <t>TAPA MINI FIX ZINCADO EUROPA CAFÉ. 1000 UN</t>
  </si>
  <si>
    <t>TAPA MINI FIX ZINCADO USA BLANCO. 1000 UN</t>
  </si>
  <si>
    <t>TAPA MINI FIX ZINCADO USA GRIS CLARO. 1000 UN</t>
  </si>
  <si>
    <t>TRAMPA DOBLE PUNTO. 100 SET</t>
  </si>
  <si>
    <t>TUBO OVALADO 3MTS. 10 UN</t>
  </si>
  <si>
    <t>TUBO TECHO BRONZE (BRONCE) 35MM THIN. 10 UN</t>
  </si>
  <si>
    <t>TUBO TECHO NEGRO 35MM THIN. 10 UN</t>
  </si>
  <si>
    <t>TUBO TECHO ROSE (ROSA) 35MM THIN. 10 UN</t>
  </si>
  <si>
    <t>VARILLA CON ACCESORIOS 1200 MM FL PIN 8. 100 SET</t>
  </si>
  <si>
    <t>VARILLA CON ACCESORIOS 600MM ML. 120 SET</t>
  </si>
  <si>
    <t>VARILLA CON ACCESORIOS 600MM PIN 13. 100 SET</t>
  </si>
  <si>
    <t>VARILLA CON ACCESORIOS 600MM PIN 8. 100 SET</t>
  </si>
  <si>
    <t>VERTEBRA CUBRECABLE GRIS PLATA. 25 UN</t>
  </si>
  <si>
    <t>VERTEBRA CUBRECABLE NEGRA 75 CM. 25UN</t>
  </si>
  <si>
    <t>Informacion Estandar</t>
  </si>
  <si>
    <t>CAPACIDAD X DIA</t>
  </si>
  <si>
    <t>OPERARIO</t>
  </si>
  <si>
    <t>TOTAL</t>
  </si>
  <si>
    <t>Costo Unidad</t>
  </si>
  <si>
    <t>Costo total</t>
  </si>
  <si>
    <t>CAPACIDAD X DIA (m)</t>
  </si>
  <si>
    <t>Operario</t>
  </si>
  <si>
    <t>PRECIO OPERACIÓN</t>
  </si>
  <si>
    <t>PIEZA</t>
  </si>
  <si>
    <t>Largo</t>
  </si>
  <si>
    <t xml:space="preserve">perforaciones </t>
  </si>
  <si>
    <t xml:space="preserve">fresados </t>
  </si>
  <si>
    <t xml:space="preserve">canal </t>
  </si>
  <si>
    <t>caja bisagra</t>
  </si>
  <si>
    <t>Dilatacion</t>
  </si>
  <si>
    <t>Precio  por pieza</t>
  </si>
  <si>
    <t xml:space="preserve">BAÑO COSTADO </t>
  </si>
  <si>
    <t>BAÑO DINTEL</t>
  </si>
  <si>
    <t xml:space="preserve">BAÑO DIVISIÓN VERTICAL </t>
  </si>
  <si>
    <t>BAÑO EMBISAGRADOR</t>
  </si>
  <si>
    <t>BASE CAMPANA MAC C/E</t>
  </si>
  <si>
    <t>BASE CAMPANA MAC S/E</t>
  </si>
  <si>
    <t>BASE MAC C/E</t>
  </si>
  <si>
    <t>BASE MAC S/E</t>
  </si>
  <si>
    <t>BASE MBC CON HORNO</t>
  </si>
  <si>
    <t>BASE MBC SIN HORNO</t>
  </si>
  <si>
    <t>CABEZAL</t>
  </si>
  <si>
    <t>CACHETERO</t>
  </si>
  <si>
    <t>COSTADO CAJON</t>
  </si>
  <si>
    <t>COSTADO CAJONERA</t>
  </si>
  <si>
    <t>COSTADO RETROCEDIDO</t>
  </si>
  <si>
    <t>COSTADO VISTO</t>
  </si>
  <si>
    <t>COSTADO MAC C/E</t>
  </si>
  <si>
    <t>COSTADO MAC S/E</t>
  </si>
  <si>
    <t>COSTADO MBC</t>
  </si>
  <si>
    <t>COSTADO MUEBLE</t>
  </si>
  <si>
    <t>COSTADO MUEBLE 1Un.</t>
  </si>
  <si>
    <t>CUCHILLAS</t>
  </si>
  <si>
    <t>DILATADOR</t>
  </si>
  <si>
    <t>DINTEL y/o BASE HORIZONTAL</t>
  </si>
  <si>
    <t>DINTEL y/o BASE VERTICAL</t>
  </si>
  <si>
    <t>DIVISION CAJONERA</t>
  </si>
  <si>
    <t>DIVISION MAC C/E</t>
  </si>
  <si>
    <t>DIVISION MAC S/E</t>
  </si>
  <si>
    <t>DIVISIÓN MBC</t>
  </si>
  <si>
    <t>DIVISION MUEBLE</t>
  </si>
  <si>
    <t>EMBISAGRADOR 18mm</t>
  </si>
  <si>
    <t>EMBISAGRADOR 36mm</t>
  </si>
  <si>
    <t>EMBISAGRADOR MAC Y MBC</t>
  </si>
  <si>
    <t>EMBISAGRADOR W</t>
  </si>
  <si>
    <t>ENTREPAÑO CON REFUERZO</t>
  </si>
  <si>
    <t>ENTREPAÑO CON SOPORTE</t>
  </si>
  <si>
    <t>ENTREPAÑO ENTAMBORADO</t>
  </si>
  <si>
    <t>ENTREPAÑO ESQUINERO</t>
  </si>
  <si>
    <t>ENTREPAÑO FIJO MAC</t>
  </si>
  <si>
    <t>ENTREPAÑO MOVIL MAC</t>
  </si>
  <si>
    <t>ENTREPAÑO SIN REFUERZO</t>
  </si>
  <si>
    <t>ENTREPAÑO SOLIDO</t>
  </si>
  <si>
    <t>ESPALDAR</t>
  </si>
  <si>
    <t>ESPALDAR VISTO</t>
  </si>
  <si>
    <t>FONDO DE CAJON</t>
  </si>
  <si>
    <t>FRENTE CAJON</t>
  </si>
  <si>
    <t>FRENTE CAJON 30°</t>
  </si>
  <si>
    <t>FRENTE CONDIMENTERO</t>
  </si>
  <si>
    <t>FRENTE FIJO</t>
  </si>
  <si>
    <t>FRENTERO</t>
  </si>
  <si>
    <t>GUARDAESCOBAS 1 CANTO</t>
  </si>
  <si>
    <t>GUARDAESCOBAS 2 CANTOS</t>
  </si>
  <si>
    <t>LARGUERO</t>
  </si>
  <si>
    <t>MALETERO CON REFUERZO</t>
  </si>
  <si>
    <t>MALETERO SIN REFUERZO</t>
  </si>
  <si>
    <t>MALETERO SOLIDO</t>
  </si>
  <si>
    <t>PUENTES</t>
  </si>
  <si>
    <t>PUERTA</t>
  </si>
  <si>
    <t>PUERTA 30°</t>
  </si>
  <si>
    <t>PUERTA CORREDERA</t>
  </si>
  <si>
    <t>PUERTA CORREDERA 1 ENSAMBLE</t>
  </si>
  <si>
    <t>PUERTA CORREDERA 2 DILA</t>
  </si>
  <si>
    <t>PUERTA CORREDERA 2 ENSAMBLE</t>
  </si>
  <si>
    <t>PUERTA CORREDERA 3 DILA</t>
  </si>
  <si>
    <t>PUERTA CORREDERA 4 DILA</t>
  </si>
  <si>
    <t>PUERTA EMBISAGRADA</t>
  </si>
  <si>
    <t>PUERTA EMBISAGRADA 1 ENSAMBLE</t>
  </si>
  <si>
    <t>PUERTA EMBISAGRADA 2 DILA</t>
  </si>
  <si>
    <t>PUERTA EMBISAGRADA 2 ENSAMBLE</t>
  </si>
  <si>
    <t>PUERTA EMBISAGRADA 3 DILA</t>
  </si>
  <si>
    <t>PUERTA EMBISAGRADA 4 DILA</t>
  </si>
  <si>
    <t>REFUERZO</t>
  </si>
  <si>
    <t>REFUERZO VERTICAL</t>
  </si>
  <si>
    <t>SOPORTE HORNO</t>
  </si>
  <si>
    <t>TAPA BASE MUEBLE</t>
  </si>
  <si>
    <t>TAPA CAJONERA</t>
  </si>
  <si>
    <t>TAPA MAC C/E</t>
  </si>
  <si>
    <t>TAPA MAC S/E</t>
  </si>
  <si>
    <t>TAPA RIEL</t>
  </si>
  <si>
    <t>TESTERO</t>
  </si>
  <si>
    <t>TRAVESAÑO</t>
  </si>
  <si>
    <t>ZÓCALO</t>
  </si>
  <si>
    <t>ACTIVIDAD</t>
  </si>
  <si>
    <t>PRECIO</t>
  </si>
  <si>
    <t>UNIDAD</t>
  </si>
  <si>
    <t>ENCHAPE FORMICA O CHAPILLA - M2</t>
  </si>
  <si>
    <t>M2</t>
  </si>
  <si>
    <t>MUEBLE ALTO COC. - MTL</t>
  </si>
  <si>
    <t>MTL</t>
  </si>
  <si>
    <t>UND</t>
  </si>
  <si>
    <t>BASE ENSAMBLADA - UND</t>
  </si>
  <si>
    <t>PUERTA O FRENTE MANIJA  CORRIDA - UND</t>
  </si>
  <si>
    <t>PUERTA O FRENTE MANIJA  CORRIDA + PERFIL ALUMINIO - UND</t>
  </si>
  <si>
    <t>Precio final</t>
  </si>
  <si>
    <t>ZURRÓN 2 CAJONES - UND</t>
  </si>
  <si>
    <t>ZURRÓN 4 CAJONES - UND</t>
  </si>
  <si>
    <t>ZURRÓN 5 CAJONES - UND</t>
  </si>
  <si>
    <t>ZURRÓN 6 CAJONES - UND</t>
  </si>
  <si>
    <t>ENTREPAÑO 0 - 600 mm - UND</t>
  </si>
  <si>
    <t>ENTREPAÑO 600 - 1200 mm - UND</t>
  </si>
  <si>
    <t>ENTREPAÑO 1200 EN ADELANTE - UND</t>
  </si>
  <si>
    <t>ENTREPAÑO ENTAMBORADO OMBLIGO - UND</t>
  </si>
  <si>
    <t>REENGRUESE TAPAS O COSTADOS - UND</t>
  </si>
  <si>
    <t>CASILLERO SIN PUERTA- M2</t>
  </si>
  <si>
    <t>CASILLERO CON PUERTA- M2</t>
  </si>
  <si>
    <t>BAÑO ESPALDAR Y CAJÓN - UND</t>
  </si>
  <si>
    <t>BAÑO SIN ESPALDAR Y SIN CAJÓN - UND</t>
  </si>
  <si>
    <t>BAÑO CON ESPALDAR Y SIN CAJÓN - UND</t>
  </si>
  <si>
    <t>BAÑO SIN ESPALDAR Y CON CAJÓN - UND</t>
  </si>
  <si>
    <t>BAÑO ESPECIAL CURVO - UND</t>
  </si>
  <si>
    <t>BAÑO ESPECIAL RECTO - UND</t>
  </si>
  <si>
    <t>CUBO 1 CAJÓN</t>
  </si>
  <si>
    <t>CUBO SIN CAJÓN</t>
  </si>
  <si>
    <t>PUERTA ENTAMB. BATIENTE - UND</t>
  </si>
  <si>
    <t>PUERTA ENTAMB. CON MIRILLA O PERSIANA - UND</t>
  </si>
  <si>
    <t>PUERTA SÓLIDA ENSAMBLADA 1 UNIÓN - UND</t>
  </si>
  <si>
    <t>PUERTA SÓLIDA ENSAMBLADA 2 UNIONES - UND</t>
  </si>
  <si>
    <t>MARCO DILATADO CON CABEZAL Y BATIENTE REFILADA - UND</t>
  </si>
  <si>
    <t>MARCO NO DILATADO CON CABEZAL Y BATIENTE REFILADA - UND</t>
  </si>
  <si>
    <t>MARCO DILATADO CON CABEZAL Y BATIENTE CENTRADA - UND</t>
  </si>
  <si>
    <t>MARCO NO DILATADO CON CABEZAL Y BATIENTE CENTRADA - UND</t>
  </si>
  <si>
    <t>MARCO DILATADO SIN CABEZAL Y BATIENTE REFILADA - UND</t>
  </si>
  <si>
    <t>MARCO NO DILATADO SIN CABEZAL Y BATIENTE REFILADA- UND</t>
  </si>
  <si>
    <t>MARCO DILATADO SIN CABEZAL Y BATIENTE CENTRADA - UND</t>
  </si>
  <si>
    <t>MARCO NO DILATADO SIN CABEZAL Y BATIENTE CENTRADA - UND</t>
  </si>
  <si>
    <t>PERSIANA MELAMINICO</t>
  </si>
  <si>
    <t>STD</t>
  </si>
  <si>
    <t>Espesor</t>
  </si>
  <si>
    <t>A1</t>
  </si>
  <si>
    <t>A2</t>
  </si>
  <si>
    <t>L1</t>
  </si>
  <si>
    <t>L2</t>
  </si>
  <si>
    <t>Texturizado</t>
  </si>
  <si>
    <t>Bacatá</t>
  </si>
  <si>
    <t>1,83</t>
  </si>
  <si>
    <t>6</t>
  </si>
  <si>
    <t>PRIMADERA</t>
  </si>
  <si>
    <t>9</t>
  </si>
  <si>
    <t>12</t>
  </si>
  <si>
    <t>15</t>
  </si>
  <si>
    <t>18</t>
  </si>
  <si>
    <t>25</t>
  </si>
  <si>
    <t>30</t>
  </si>
  <si>
    <t>36</t>
  </si>
  <si>
    <t>Bareque</t>
  </si>
  <si>
    <t>Brooklyn Oak</t>
  </si>
  <si>
    <t>Cedro</t>
  </si>
  <si>
    <t>Checua</t>
  </si>
  <si>
    <t>Chircal</t>
  </si>
  <si>
    <t>Cocuy</t>
  </si>
  <si>
    <t>Creta</t>
  </si>
  <si>
    <t>Flormorado</t>
  </si>
  <si>
    <t>Glaze</t>
  </si>
  <si>
    <t>Humo</t>
  </si>
  <si>
    <t>Iguaque</t>
  </si>
  <si>
    <t>Ika</t>
  </si>
  <si>
    <t>Jayka</t>
  </si>
  <si>
    <t>Kanua</t>
  </si>
  <si>
    <t>London</t>
  </si>
  <si>
    <t>Majuy</t>
  </si>
  <si>
    <t>Maku</t>
  </si>
  <si>
    <t>Mali</t>
  </si>
  <si>
    <t>Roble Cenizo</t>
  </si>
  <si>
    <t>Rovere Arena</t>
  </si>
  <si>
    <t>Rustic Sand</t>
  </si>
  <si>
    <t>Sapán</t>
  </si>
  <si>
    <t>Sikuani</t>
  </si>
  <si>
    <t>Suesca</t>
  </si>
  <si>
    <t>Sukta</t>
  </si>
  <si>
    <t>Tambo</t>
  </si>
  <si>
    <t>Taroa</t>
  </si>
  <si>
    <t>Tauari</t>
  </si>
  <si>
    <t>Tausa</t>
  </si>
  <si>
    <t>Tihua</t>
  </si>
  <si>
    <t>Tumaco</t>
  </si>
  <si>
    <t>Volcánico</t>
  </si>
  <si>
    <t>Wengue</t>
  </si>
  <si>
    <t>Yalaa</t>
  </si>
  <si>
    <t>Ártico</t>
  </si>
  <si>
    <t>AMARETTO</t>
  </si>
  <si>
    <t>DURATEX</t>
  </si>
  <si>
    <t>AMBAR</t>
  </si>
  <si>
    <t>ARENA</t>
  </si>
  <si>
    <t>AURO</t>
  </si>
  <si>
    <t>AUSTRAL</t>
  </si>
  <si>
    <t>BAHÍA</t>
  </si>
  <si>
    <t>BLANCO</t>
  </si>
  <si>
    <t>BOHEMM</t>
  </si>
  <si>
    <t>BOREAL</t>
  </si>
  <si>
    <t>BOSCO</t>
  </si>
  <si>
    <t>CALA</t>
  </si>
  <si>
    <t>CAPUCCINO</t>
  </si>
  <si>
    <t>CARBONO</t>
  </si>
  <si>
    <t>CEDRO</t>
  </si>
  <si>
    <t>CHANTILLÍ</t>
  </si>
  <si>
    <t>CINZA COBALTO</t>
  </si>
  <si>
    <t>ETNA</t>
  </si>
  <si>
    <t>GLACIAL</t>
  </si>
  <si>
    <t>GRACIA</t>
  </si>
  <si>
    <t>GRAFFO</t>
  </si>
  <si>
    <t>HUMO</t>
  </si>
  <si>
    <t>KALLIO</t>
  </si>
  <si>
    <t>KOA</t>
  </si>
  <si>
    <t>LANA</t>
  </si>
  <si>
    <t>LUNAR</t>
  </si>
  <si>
    <t>MARMORO</t>
  </si>
  <si>
    <t>MERIL</t>
  </si>
  <si>
    <t>MITTE</t>
  </si>
  <si>
    <t>MÁCULA</t>
  </si>
  <si>
    <t>NEGRO</t>
  </si>
  <si>
    <t>NUEZ</t>
  </si>
  <si>
    <t>OASIS</t>
  </si>
  <si>
    <t>PERLA</t>
  </si>
  <si>
    <t>RIVIERA</t>
  </si>
  <si>
    <t>SAGANO</t>
  </si>
  <si>
    <t>SARGA</t>
  </si>
  <si>
    <t>SODER</t>
  </si>
  <si>
    <t>TABACCO CHIC</t>
  </si>
  <si>
    <t>TERRANTA</t>
  </si>
  <si>
    <t>TRAVIATA</t>
  </si>
  <si>
    <t>TRIBECA</t>
  </si>
  <si>
    <t>ULTRAMAR</t>
  </si>
  <si>
    <t>VERDE OLIVO</t>
  </si>
  <si>
    <t>VIENA</t>
  </si>
  <si>
    <t>VIENÉS</t>
  </si>
  <si>
    <t>WENGUE</t>
  </si>
  <si>
    <t>ÁGATHA</t>
  </si>
  <si>
    <t>Pata escritorio</t>
  </si>
  <si>
    <t>0.04 m²</t>
  </si>
  <si>
    <t>Tablero</t>
  </si>
  <si>
    <t>Repisa cajones</t>
  </si>
  <si>
    <t>0.24 m²</t>
  </si>
  <si>
    <t>Tapa Escritorio</t>
  </si>
  <si>
    <t>1.2 m²</t>
  </si>
  <si>
    <t>Tapa elevador escritorio</t>
  </si>
  <si>
    <t>0.4 m²</t>
  </si>
  <si>
    <t>Tapa trasera Cajon</t>
  </si>
  <si>
    <t>0.59 m²</t>
  </si>
  <si>
    <t>costado cajones</t>
  </si>
  <si>
    <t>0.14 m²</t>
  </si>
  <si>
    <t>patas 2 escritorio</t>
  </si>
  <si>
    <t>0.01 m²</t>
  </si>
  <si>
    <t>patas elevadores escritorio</t>
  </si>
  <si>
    <t>tapa cajon</t>
  </si>
  <si>
    <t>0.25 m²</t>
  </si>
  <si>
    <t>Repisa cajones - L</t>
  </si>
  <si>
    <t>Canto</t>
  </si>
  <si>
    <t>Tapa Escritorio - A</t>
  </si>
  <si>
    <t>Tapa Escritorio - L</t>
  </si>
  <si>
    <t>Tapa elevador escritorio - A</t>
  </si>
  <si>
    <t>Tapa elevador escritorio - L</t>
  </si>
  <si>
    <t>Tapa trasera Cajon - A</t>
  </si>
  <si>
    <t>Tapa trasera Cajon - L</t>
  </si>
  <si>
    <t>costado cajones - A</t>
  </si>
  <si>
    <t>costado cajones - L</t>
  </si>
  <si>
    <t>tapa cajon - A</t>
  </si>
  <si>
    <t>tapa cajon - L</t>
  </si>
  <si>
    <t>CRUDO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</si>
</sst>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\ * #,##0.00_-;\-&quot;$&quot;\ * #,##0.00_-;_-&quot;$&quot;\ * &quot;-&quot;??_-;_-@_-"/>
    <numFmt numFmtId="164" formatCode="_-* #,##0.00\ &quot;€&quot;_-;\-* #,##0.00\ &quot;€&quot;_-;_-* &quot;-&quot;??\ &quot;€&quot;_-;_-@_-"/>
    <numFmt numFmtId="165" formatCode="_ &quot;$&quot;* #,##0.00_ ;_ &quot;$&quot;* \-#,##0.00_ ;_ &quot;$&quot;* &quot;-&quot;??_ ;_ @_ "/>
    <numFmt numFmtId="166" formatCode="_-&quot;$&quot;\ * #,##0_-;\-&quot;$&quot;\ * #,##0_-;_-&quot;$&quot;\ * &quot;-&quot;??_-;_-@_-"/>
    <numFmt numFmtId="167" formatCode="_(&quot;$&quot;\ * #,##0.00_);_(&quot;$&quot;\ * \(#,##0.00\);_(&quot;$&quot;\ * &quot;-&quot;??_);_(@_)"/>
    <numFmt numFmtId="168" formatCode="_(&quot;$&quot;\ * #,##0_);_(&quot;$&quot;\ * \(#,##0\);_(&quot;$&quot;\ * &quot;-&quot;??_);_(@_)"/>
    <numFmt numFmtId="169" formatCode="_-[$$-409]* #,##0.00_ ;_-[$$-409]* \-#,##0.00\ ;_-[$$-409]* &quot;-&quot;??_ ;_-@_ "/>
  </numFmts>
  <fonts count="16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4"/>
      <color rgb="FF122337"/>
      <name val="Aptos Narrow"/>
      <family val="2"/>
      <scheme val="minor"/>
    </font>
    <font>
      <sz val="11"/>
      <color rgb="FF122337"/>
      <name val="Aptos Narrow"/>
      <family val="2"/>
      <scheme val="minor"/>
    </font>
    <font>
      <b/>
      <sz val="14"/>
      <color rgb="FFF6F5F0"/>
      <name val="Aptos Narrow"/>
      <family val="2"/>
      <scheme val="minor"/>
    </font>
    <font>
      <sz val="11"/>
      <color rgb="FFF6F5F0"/>
      <name val="Aptos Narrow"/>
      <family val="2"/>
      <scheme val="minor"/>
    </font>
    <font>
      <b/>
      <sz val="11"/>
      <color rgb="FFF6F5F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name val="Arial"/>
      <family val="2"/>
    </font>
    <font>
      <sz val="10"/>
      <name val="Calibri Light"/>
      <family val="2"/>
    </font>
    <font>
      <sz val="10"/>
      <color theme="1"/>
      <name val="Calibri Light"/>
      <family val="2"/>
    </font>
    <font>
      <b/>
      <sz val="12"/>
      <color indexed="8"/>
      <name val="Arial"/>
      <family val="2"/>
    </font>
    <font>
      <sz val="9"/>
      <color indexed="8"/>
      <name val="Calibri Light"/>
      <family val="2"/>
    </font>
    <font>
      <sz val="9"/>
      <name val="Arial"/>
      <family val="2"/>
    </font>
    <font>
      <b/>
      <sz val="11"/>
      <color rgb="FF00000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C7664C"/>
        <bgColor indexed="64"/>
      </patternFill>
    </fill>
    <fill>
      <patternFill patternType="solid">
        <fgColor rgb="FF122337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B6955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</borders>
  <cellStyleXfs count="14">
    <xf numFmtId="0" fontId="0" fillId="0" borderId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9" fillId="0" borderId="0"/>
    <xf numFmtId="0" fontId="7" fillId="0" borderId="0"/>
    <xf numFmtId="0" fontId="9" fillId="0" borderId="0"/>
    <xf numFmtId="167" fontId="9" fillId="0" borderId="0" applyFont="0" applyFill="0" applyBorder="0" applyAlignment="0" applyProtection="0"/>
  </cellStyleXfs>
  <cellXfs count="132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10" xfId="0" applyBorder="1"/>
    <xf numFmtId="0" fontId="0" fillId="3" borderId="0" xfId="0" applyFill="1"/>
    <xf numFmtId="0" fontId="3" fillId="3" borderId="0" xfId="0" applyFont="1" applyFill="1"/>
    <xf numFmtId="0" fontId="6" fillId="3" borderId="0" xfId="0" applyFont="1" applyFill="1"/>
    <xf numFmtId="0" fontId="0" fillId="0" borderId="1" xfId="0" applyBorder="1" applyAlignment="1">
      <alignment vertical="center"/>
    </xf>
    <xf numFmtId="0" fontId="8" fillId="0" borderId="1" xfId="0" applyFont="1" applyBorder="1" applyAlignment="1">
      <alignment horizontal="center" vertical="center"/>
    </xf>
    <xf numFmtId="44" fontId="0" fillId="0" borderId="1" xfId="7" applyFont="1" applyBorder="1"/>
    <xf numFmtId="0" fontId="0" fillId="0" borderId="1" xfId="0" applyBorder="1" applyAlignment="1">
      <alignment wrapText="1"/>
    </xf>
    <xf numFmtId="0" fontId="0" fillId="0" borderId="9" xfId="0" applyBorder="1"/>
    <xf numFmtId="44" fontId="0" fillId="0" borderId="1" xfId="2" applyFont="1" applyBorder="1"/>
    <xf numFmtId="44" fontId="0" fillId="0" borderId="9" xfId="2" applyFont="1" applyBorder="1"/>
    <xf numFmtId="44" fontId="0" fillId="0" borderId="1" xfId="2" applyFont="1" applyBorder="1" applyAlignment="1">
      <alignment horizontal="center"/>
    </xf>
    <xf numFmtId="44" fontId="0" fillId="0" borderId="1" xfId="0" applyNumberFormat="1" applyBorder="1" applyAlignment="1">
      <alignment horizontal="center"/>
    </xf>
    <xf numFmtId="0" fontId="8" fillId="0" borderId="1" xfId="0" applyFont="1" applyBorder="1"/>
    <xf numFmtId="44" fontId="0" fillId="0" borderId="1" xfId="0" applyNumberFormat="1" applyBorder="1"/>
    <xf numFmtId="44" fontId="0" fillId="0" borderId="0" xfId="0" applyNumberFormat="1"/>
    <xf numFmtId="2" fontId="0" fillId="0" borderId="0" xfId="0" applyNumberFormat="1"/>
    <xf numFmtId="165" fontId="0" fillId="0" borderId="0" xfId="4" applyFont="1"/>
    <xf numFmtId="165" fontId="0" fillId="0" borderId="0" xfId="0" applyNumberFormat="1"/>
    <xf numFmtId="44" fontId="0" fillId="0" borderId="0" xfId="2" applyFont="1"/>
    <xf numFmtId="0" fontId="11" fillId="4" borderId="2" xfId="11" applyFont="1" applyFill="1" applyBorder="1"/>
    <xf numFmtId="0" fontId="11" fillId="4" borderId="3" xfId="11" applyFont="1" applyFill="1" applyBorder="1" applyAlignment="1">
      <alignment horizontal="center" wrapText="1"/>
    </xf>
    <xf numFmtId="0" fontId="10" fillId="4" borderId="3" xfId="0" applyFont="1" applyFill="1" applyBorder="1" applyAlignment="1">
      <alignment horizontal="center" wrapText="1"/>
    </xf>
    <xf numFmtId="0" fontId="11" fillId="5" borderId="5" xfId="10" applyFont="1" applyFill="1" applyBorder="1"/>
    <xf numFmtId="0" fontId="11" fillId="5" borderId="1" xfId="11" applyFont="1" applyFill="1" applyBorder="1"/>
    <xf numFmtId="0" fontId="10" fillId="5" borderId="1" xfId="0" applyFont="1" applyFill="1" applyBorder="1"/>
    <xf numFmtId="0" fontId="11" fillId="5" borderId="1" xfId="11" applyFont="1" applyFill="1" applyBorder="1" applyProtection="1">
      <protection locked="0"/>
    </xf>
    <xf numFmtId="0" fontId="11" fillId="5" borderId="5" xfId="11" applyFont="1" applyFill="1" applyBorder="1" applyProtection="1">
      <protection locked="0"/>
    </xf>
    <xf numFmtId="0" fontId="11" fillId="5" borderId="5" xfId="11" applyFont="1" applyFill="1" applyBorder="1"/>
    <xf numFmtId="0" fontId="10" fillId="5" borderId="5" xfId="10" applyFont="1" applyFill="1" applyBorder="1"/>
    <xf numFmtId="0" fontId="11" fillId="6" borderId="1" xfId="11" applyFont="1" applyFill="1" applyBorder="1" applyProtection="1">
      <protection locked="0"/>
    </xf>
    <xf numFmtId="0" fontId="11" fillId="7" borderId="5" xfId="11" applyFont="1" applyFill="1" applyBorder="1"/>
    <xf numFmtId="0" fontId="11" fillId="7" borderId="1" xfId="11" applyFont="1" applyFill="1" applyBorder="1"/>
    <xf numFmtId="0" fontId="11" fillId="5" borderId="5" xfId="10" applyFont="1" applyFill="1" applyBorder="1" applyProtection="1">
      <protection locked="0"/>
    </xf>
    <xf numFmtId="0" fontId="10" fillId="5" borderId="1" xfId="0" applyFont="1" applyFill="1" applyBorder="1" applyProtection="1">
      <protection locked="0"/>
    </xf>
    <xf numFmtId="0" fontId="10" fillId="5" borderId="5" xfId="11" applyFont="1" applyFill="1" applyBorder="1"/>
    <xf numFmtId="0" fontId="11" fillId="5" borderId="14" xfId="10" applyFont="1" applyFill="1" applyBorder="1"/>
    <xf numFmtId="0" fontId="11" fillId="5" borderId="9" xfId="11" applyFont="1" applyFill="1" applyBorder="1"/>
    <xf numFmtId="0" fontId="11" fillId="5" borderId="15" xfId="10" applyFont="1" applyFill="1" applyBorder="1"/>
    <xf numFmtId="0" fontId="11" fillId="5" borderId="7" xfId="11" applyFont="1" applyFill="1" applyBorder="1"/>
    <xf numFmtId="0" fontId="11" fillId="5" borderId="16" xfId="11" applyFont="1" applyFill="1" applyBorder="1"/>
    <xf numFmtId="0" fontId="10" fillId="8" borderId="5" xfId="10" applyFont="1" applyFill="1" applyBorder="1"/>
    <xf numFmtId="0" fontId="11" fillId="8" borderId="1" xfId="11" applyFont="1" applyFill="1" applyBorder="1" applyProtection="1">
      <protection locked="0"/>
    </xf>
    <xf numFmtId="166" fontId="11" fillId="8" borderId="1" xfId="9" applyNumberFormat="1" applyFont="1" applyFill="1" applyBorder="1" applyProtection="1">
      <protection locked="0"/>
    </xf>
    <xf numFmtId="166" fontId="11" fillId="8" borderId="11" xfId="9" applyNumberFormat="1" applyFont="1" applyFill="1" applyBorder="1"/>
    <xf numFmtId="0" fontId="11" fillId="4" borderId="17" xfId="11" applyFont="1" applyFill="1" applyBorder="1" applyAlignment="1">
      <alignment horizontal="center" wrapText="1"/>
    </xf>
    <xf numFmtId="0" fontId="11" fillId="5" borderId="11" xfId="11" applyFont="1" applyFill="1" applyBorder="1"/>
    <xf numFmtId="0" fontId="11" fillId="5" borderId="11" xfId="11" applyFont="1" applyFill="1" applyBorder="1" applyProtection="1">
      <protection locked="0"/>
    </xf>
    <xf numFmtId="0" fontId="11" fillId="7" borderId="11" xfId="11" applyFont="1" applyFill="1" applyBorder="1"/>
    <xf numFmtId="0" fontId="11" fillId="5" borderId="18" xfId="11" applyFont="1" applyFill="1" applyBorder="1"/>
    <xf numFmtId="0" fontId="11" fillId="5" borderId="19" xfId="11" applyFont="1" applyFill="1" applyBorder="1"/>
    <xf numFmtId="0" fontId="10" fillId="4" borderId="1" xfId="0" applyFont="1" applyFill="1" applyBorder="1" applyAlignment="1">
      <alignment horizontal="center" wrapText="1"/>
    </xf>
    <xf numFmtId="166" fontId="0" fillId="0" borderId="1" xfId="0" applyNumberFormat="1" applyBorder="1"/>
    <xf numFmtId="0" fontId="12" fillId="0" borderId="2" xfId="10" applyFont="1" applyBorder="1" applyAlignment="1">
      <alignment horizontal="center" vertical="center" wrapText="1"/>
    </xf>
    <xf numFmtId="0" fontId="12" fillId="0" borderId="3" xfId="10" applyFont="1" applyBorder="1" applyAlignment="1">
      <alignment horizontal="center" vertical="center" wrapText="1"/>
    </xf>
    <xf numFmtId="0" fontId="12" fillId="0" borderId="4" xfId="10" applyFont="1" applyBorder="1" applyAlignment="1">
      <alignment horizontal="center" vertical="center" wrapText="1"/>
    </xf>
    <xf numFmtId="0" fontId="13" fillId="5" borderId="5" xfId="12" applyFont="1" applyFill="1" applyBorder="1"/>
    <xf numFmtId="168" fontId="13" fillId="5" borderId="1" xfId="13" applyNumberFormat="1" applyFont="1" applyFill="1" applyBorder="1" applyAlignment="1">
      <alignment wrapText="1"/>
    </xf>
    <xf numFmtId="0" fontId="14" fillId="0" borderId="6" xfId="10" applyFont="1" applyBorder="1"/>
    <xf numFmtId="0" fontId="13" fillId="0" borderId="5" xfId="12" applyFont="1" applyBorder="1"/>
    <xf numFmtId="168" fontId="13" fillId="0" borderId="1" xfId="13" applyNumberFormat="1" applyFont="1" applyFill="1" applyBorder="1" applyAlignment="1">
      <alignment wrapText="1"/>
    </xf>
    <xf numFmtId="0" fontId="13" fillId="0" borderId="15" xfId="12" applyFont="1" applyBorder="1"/>
    <xf numFmtId="168" fontId="13" fillId="0" borderId="7" xfId="13" applyNumberFormat="1" applyFont="1" applyFill="1" applyBorder="1" applyAlignment="1">
      <alignment wrapText="1"/>
    </xf>
    <xf numFmtId="0" fontId="14" fillId="0" borderId="8" xfId="10" applyFont="1" applyBorder="1"/>
    <xf numFmtId="9" fontId="0" fillId="0" borderId="1" xfId="3" applyFont="1" applyBorder="1"/>
    <xf numFmtId="9" fontId="0" fillId="0" borderId="1" xfId="0" applyNumberFormat="1" applyBorder="1"/>
    <xf numFmtId="0" fontId="0" fillId="0" borderId="11" xfId="0" applyBorder="1"/>
    <xf numFmtId="0" fontId="3" fillId="0" borderId="11" xfId="0" applyFont="1" applyBorder="1"/>
    <xf numFmtId="1" fontId="0" fillId="0" borderId="1" xfId="0" applyNumberFormat="1" applyBorder="1" applyAlignment="1">
      <alignment horizontal="center"/>
    </xf>
    <xf numFmtId="0" fontId="3" fillId="0" borderId="1" xfId="0" applyFont="1" applyBorder="1"/>
    <xf numFmtId="0" fontId="6" fillId="3" borderId="11" xfId="0" applyFont="1" applyFill="1" applyBorder="1"/>
    <xf numFmtId="0" fontId="6" fillId="3" borderId="20" xfId="0" applyFont="1" applyFill="1" applyBorder="1" applyAlignment="1">
      <alignment horizontal="center"/>
    </xf>
    <xf numFmtId="0" fontId="8" fillId="9" borderId="1" xfId="0" applyFont="1" applyFill="1" applyBorder="1" applyAlignment="1">
      <alignment horizontal="center"/>
    </xf>
    <xf numFmtId="0" fontId="3" fillId="5" borderId="0" xfId="0" applyFont="1" applyFill="1"/>
    <xf numFmtId="0" fontId="1" fillId="5" borderId="0" xfId="0" applyFont="1" applyFill="1"/>
    <xf numFmtId="0" fontId="0" fillId="5" borderId="0" xfId="0" applyFill="1"/>
    <xf numFmtId="0" fontId="8" fillId="5" borderId="0" xfId="0" applyFont="1" applyFill="1" applyAlignment="1">
      <alignment horizontal="center"/>
    </xf>
    <xf numFmtId="0" fontId="8" fillId="9" borderId="1" xfId="0" applyFont="1" applyFill="1" applyBorder="1"/>
    <xf numFmtId="44" fontId="0" fillId="9" borderId="1" xfId="0" applyNumberFormat="1" applyFill="1" applyBorder="1"/>
    <xf numFmtId="0" fontId="0" fillId="0" borderId="21" xfId="0" applyBorder="1"/>
    <xf numFmtId="1" fontId="0" fillId="0" borderId="21" xfId="0" applyNumberFormat="1" applyBorder="1"/>
    <xf numFmtId="0" fontId="0" fillId="0" borderId="25" xfId="0" applyBorder="1"/>
    <xf numFmtId="1" fontId="0" fillId="0" borderId="25" xfId="0" applyNumberFormat="1" applyBorder="1"/>
    <xf numFmtId="0" fontId="15" fillId="10" borderId="22" xfId="0" applyFont="1" applyFill="1" applyBorder="1" applyAlignment="1">
      <alignment horizontal="center"/>
    </xf>
    <xf numFmtId="0" fontId="15" fillId="10" borderId="23" xfId="0" applyFont="1" applyFill="1" applyBorder="1" applyAlignment="1">
      <alignment horizontal="center"/>
    </xf>
    <xf numFmtId="0" fontId="15" fillId="10" borderId="23" xfId="0" applyFont="1" applyFill="1" applyBorder="1" applyAlignment="1">
      <alignment horizontal="center" wrapText="1"/>
    </xf>
    <xf numFmtId="0" fontId="15" fillId="10" borderId="24" xfId="0" applyFont="1" applyFill="1" applyBorder="1" applyAlignment="1">
      <alignment horizontal="center"/>
    </xf>
    <xf numFmtId="169" fontId="0" fillId="0" borderId="25" xfId="0" applyNumberFormat="1" applyBorder="1"/>
    <xf numFmtId="169" fontId="0" fillId="0" borderId="21" xfId="0" applyNumberFormat="1" applyBorder="1"/>
    <xf numFmtId="0" fontId="6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2" fontId="0" fillId="0" borderId="21" xfId="0" applyNumberFormat="1" applyBorder="1"/>
    <xf numFmtId="0" fontId="15" fillId="10" borderId="27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11" borderId="0" xfId="0" applyFill="1" applyAlignment="1">
      <alignment horizontal="center"/>
    </xf>
    <xf numFmtId="0" fontId="8" fillId="11" borderId="1" xfId="0" applyFont="1" applyFill="1" applyBorder="1" applyAlignment="1">
      <alignment horizontal="center"/>
    </xf>
    <xf numFmtId="0" fontId="8" fillId="11" borderId="13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1" fillId="2" borderId="1" xfId="0" applyFont="1" applyFill="1" applyBorder="1"/>
    <xf numFmtId="0" fontId="1" fillId="2" borderId="0" xfId="0" applyFont="1" applyFill="1" applyAlignment="1">
      <alignment horizontal="center"/>
    </xf>
    <xf numFmtId="44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44" fontId="0" fillId="0" borderId="1" xfId="1" applyFont="1" applyBorder="1"/>
    <xf numFmtId="0" fontId="0" fillId="0" borderId="11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left"/>
    </xf>
    <xf numFmtId="0" fontId="4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14" fontId="5" fillId="3" borderId="0" xfId="0" applyNumberFormat="1" applyFont="1" applyFill="1" applyAlignment="1">
      <alignment horizontal="left"/>
    </xf>
    <xf numFmtId="0" fontId="5" fillId="3" borderId="0" xfId="0" applyFont="1" applyFill="1" applyAlignment="1">
      <alignment horizontal="left"/>
    </xf>
    <xf numFmtId="0" fontId="6" fillId="3" borderId="0" xfId="0" applyFont="1" applyFill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6" fillId="3" borderId="11" xfId="0" applyFont="1" applyFill="1" applyBorder="1" applyAlignment="1">
      <alignment horizontal="left"/>
    </xf>
    <xf numFmtId="0" fontId="6" fillId="3" borderId="12" xfId="0" applyFont="1" applyFill="1" applyBorder="1" applyAlignment="1">
      <alignment horizontal="left"/>
    </xf>
    <xf numFmtId="0" fontId="6" fillId="3" borderId="13" xfId="0" applyFont="1" applyFill="1" applyBorder="1" applyAlignment="1">
      <alignment horizontal="left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1" xfId="0" applyBorder="1" applyAlignment="1">
      <alignment horizontal="left" wrapText="1"/>
    </xf>
    <xf numFmtId="0" fontId="0" fillId="0" borderId="26" xfId="0" applyBorder="1" applyAlignment="1">
      <alignment horizontal="left" wrapText="1"/>
    </xf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3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center" wrapText="1"/>
    </xf>
  </cellXfs>
  <cellStyles count="14">
    <cellStyle name="Currency 2" xfId="6" xr:uid="{AD8FA430-5FE9-44B0-85C8-5D9A7AE0F81A}"/>
    <cellStyle name="Moneda" xfId="2" builtinId="4"/>
    <cellStyle name="Moneda 2" xfId="1" xr:uid="{BD0F4524-7367-47F4-9176-CF261D08C301}"/>
    <cellStyle name="Moneda 2 2" xfId="8" xr:uid="{080BD643-2EE8-41F5-B293-9B72098BD03A}"/>
    <cellStyle name="Moneda 3" xfId="4" xr:uid="{63100617-0704-4AEE-9769-536309024193}"/>
    <cellStyle name="Moneda 3 2" xfId="13" xr:uid="{B637B21F-1988-4A7E-8009-78C325BBC15E}"/>
    <cellStyle name="Moneda 4" xfId="7" xr:uid="{19C678F2-2A6E-4BAF-9752-1E53A335B96E}"/>
    <cellStyle name="Moneda 5" xfId="9" xr:uid="{B4D0A44A-861C-4FFA-BD78-06983EBDD8E4}"/>
    <cellStyle name="Normal" xfId="0" builtinId="0"/>
    <cellStyle name="Normal 10 33" xfId="12" xr:uid="{5F657669-8B22-426D-9B5F-363A82AC81BE}"/>
    <cellStyle name="Normal 2" xfId="5" xr:uid="{F2EA9DD4-109A-408D-A941-CF6331141793}"/>
    <cellStyle name="Normal 2 2" xfId="11" xr:uid="{14C42B1B-2C2D-4DBC-B252-02BFC18572D4}"/>
    <cellStyle name="Normal 2 2 2" xfId="10" xr:uid="{1EF2E22D-CB94-472F-93D8-56A66619AE36}"/>
    <cellStyle name="Porcentaje" xfId="3" builtinId="5"/>
  </cellStyles>
  <dxfs count="0"/>
  <tableStyles count="0" defaultTableStyle="TableStyleMedium2" defaultPivotStyle="PivotStyleLight16"/>
  <colors>
    <mruColors>
      <color rgb="FFB69559"/>
      <color rgb="FF122337"/>
      <color rgb="FFC7664C"/>
      <color rgb="FFF6F5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593273</xdr:colOff>
      <xdr:row>0</xdr:row>
      <xdr:rowOff>0</xdr:rowOff>
    </xdr:from>
    <xdr:to>
      <xdr:col>8</xdr:col>
      <xdr:colOff>701858</xdr:colOff>
      <xdr:row>3</xdr:row>
      <xdr:rowOff>94</xdr:rowOff>
    </xdr:to>
    <xdr:pic macro="[0]!GenerarCotizacionCompleta">
      <xdr:nvPicPr>
        <xdr:cNvPr id="3" name="Imagen 2">
          <a:extLst>
            <a:ext uri="{FF2B5EF4-FFF2-40B4-BE49-F238E27FC236}">
              <a16:creationId xmlns:a16="http://schemas.microsoft.com/office/drawing/2014/main" id="{DED48B1C-3FDF-A4B5-2380-B290282EFB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9473" y="0"/>
          <a:ext cx="870585" cy="76209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25440-3933-445D-A84D-00A480F7F4D1}">
  <sheetPr codeName="Hoja1">
    <tabColor rgb="FFB69559"/>
  </sheetPr>
  <dimension ref="A1:N200"/>
  <sheetViews>
    <sheetView workbookViewId="0">
      <selection activeCell="C9" sqref="C9"/>
    </sheetView>
  </sheetViews>
  <sheetFormatPr baseColWidth="10" defaultColWidth="8.88671875" defaultRowHeight="14.4" x14ac:dyDescent="0.3"/>
  <cols>
    <col min="1" max="1" width="11.44140625" style="102" customWidth="1"/>
    <col min="2" max="2" width="35.109375" style="101" customWidth="1"/>
    <col min="3" max="3" width="9.109375" style="103" customWidth="1"/>
    <col min="4" max="4" width="10.33203125" style="101" customWidth="1"/>
    <col min="5" max="7" width="11.44140625" style="101" customWidth="1"/>
    <col min="8" max="8" width="11.44140625" style="103" customWidth="1"/>
    <col min="9" max="9" width="25" style="101" customWidth="1"/>
    <col min="10" max="10" width="5" style="101" customWidth="1"/>
    <col min="11" max="12" width="4.5546875" style="101" customWidth="1"/>
    <col min="13" max="13" width="4.6640625" style="101" customWidth="1"/>
    <col min="14" max="14" width="19" style="101" customWidth="1"/>
  </cols>
  <sheetData>
    <row r="1" spans="1:14" x14ac:dyDescent="0.3">
      <c r="A1" s="99" t="s">
        <v>0</v>
      </c>
      <c r="B1" s="100" t="s">
        <v>1</v>
      </c>
      <c r="C1" s="99" t="s">
        <v>2</v>
      </c>
      <c r="D1" s="99" t="s">
        <v>362</v>
      </c>
      <c r="E1" s="99" t="s">
        <v>32</v>
      </c>
      <c r="F1" s="99" t="s">
        <v>496</v>
      </c>
      <c r="G1" s="99" t="s">
        <v>3</v>
      </c>
      <c r="H1" s="99" t="s">
        <v>4</v>
      </c>
      <c r="I1" s="99" t="s">
        <v>5</v>
      </c>
      <c r="J1" s="99" t="s">
        <v>497</v>
      </c>
      <c r="K1" s="99" t="s">
        <v>498</v>
      </c>
      <c r="L1" s="99" t="s">
        <v>499</v>
      </c>
      <c r="M1" s="99" t="s">
        <v>500</v>
      </c>
      <c r="N1" s="99" t="s">
        <v>501</v>
      </c>
    </row>
    <row r="2" spans="1:14" x14ac:dyDescent="0.3">
      <c r="A2" s="99" t="str">
        <f>IF(B2&lt;&gt;"",IF(COUNTA($B$2:B2)&lt;=26,CHAR(64+COUNTA($B$2:B2)),IF(COUNTA($B$2:B2)&lt;=702,CHAR(64+QUOTIENT(COUNTA($B$2:B2)-1,26))&amp;CHAR(65+MOD(COUNTA($B$2:B2)-1,26)),CHAR(64+QUOTIENT(COUNTA($B$2:B2)-27,676))&amp;CHAR(65+MOD(QUOTIENT(COUNTA($B$2:B2)-27,26),26))&amp;CHAR(65+MOD(COUNTA($B$2:B2)-1,26)))),"")</f>
        <v>A</v>
      </c>
      <c r="B2" s="97" t="s">
        <v>596</v>
      </c>
      <c r="C2" s="98">
        <v>2</v>
      </c>
      <c r="D2" s="97">
        <v>740</v>
      </c>
      <c r="E2" s="97">
        <v>50</v>
      </c>
      <c r="F2" s="97">
        <v>3.5999999999999997E-2</v>
      </c>
      <c r="G2" s="97" t="s">
        <v>597</v>
      </c>
      <c r="H2" s="98" t="s">
        <v>598</v>
      </c>
      <c r="I2" s="93" t="s">
        <v>520</v>
      </c>
      <c r="J2" s="97">
        <v>0</v>
      </c>
      <c r="K2" s="97">
        <v>0</v>
      </c>
      <c r="L2" s="97">
        <v>0</v>
      </c>
      <c r="M2" s="97">
        <v>0</v>
      </c>
      <c r="N2" s="97" t="s">
        <v>93</v>
      </c>
    </row>
    <row r="3" spans="1:14" x14ac:dyDescent="0.3">
      <c r="A3" s="99" t="str">
        <f>IF(B3&lt;&gt;"",IF(COUNTA($B$2:B3)&lt;=26,CHAR(64+COUNTA($B$2:B3)),IF(COUNTA($B$2:B3)&lt;=702,CHAR(64+QUOTIENT(COUNTA($B$2:B3)-1,26))&amp;CHAR(65+MOD(COUNTA($B$2:B3)-1,26)),CHAR(64+QUOTIENT(COUNTA($B$2:B3)-27,676))&amp;CHAR(65+MOD(QUOTIENT(COUNTA($B$2:B3)-27,26),26))&amp;CHAR(65+MOD(COUNTA($B$2:B3)-1,26)))),"")</f>
        <v>B</v>
      </c>
      <c r="B3" s="97" t="s">
        <v>599</v>
      </c>
      <c r="C3" s="98">
        <v>1</v>
      </c>
      <c r="D3" s="97">
        <v>960</v>
      </c>
      <c r="E3" s="97">
        <v>250</v>
      </c>
      <c r="F3" s="97">
        <v>1.4999999999999999E-2</v>
      </c>
      <c r="G3" s="97" t="s">
        <v>600</v>
      </c>
      <c r="H3" s="98" t="s">
        <v>598</v>
      </c>
      <c r="I3" s="93" t="s">
        <v>520</v>
      </c>
      <c r="J3" s="97">
        <v>0</v>
      </c>
      <c r="K3" s="97">
        <v>0</v>
      </c>
      <c r="L3" s="97">
        <v>1</v>
      </c>
      <c r="M3" s="97">
        <v>0</v>
      </c>
      <c r="N3" s="97" t="s">
        <v>93</v>
      </c>
    </row>
    <row r="4" spans="1:14" x14ac:dyDescent="0.3">
      <c r="A4" s="99" t="str">
        <f>IF(B4&lt;&gt;"",IF(COUNTA($B$2:B4)&lt;=26,CHAR(64+COUNTA($B$2:B4)),IF(COUNTA($B$2:B4)&lt;=702,CHAR(64+QUOTIENT(COUNTA($B$2:B4)-1,26))&amp;CHAR(65+MOD(COUNTA($B$2:B4)-1,26)),CHAR(64+QUOTIENT(COUNTA($B$2:B4)-27,676))&amp;CHAR(65+MOD(QUOTIENT(COUNTA($B$2:B4)-27,26),26))&amp;CHAR(65+MOD(COUNTA($B$2:B4)-1,26)))),"")</f>
        <v>C</v>
      </c>
      <c r="B4" s="97" t="s">
        <v>601</v>
      </c>
      <c r="C4" s="98">
        <v>1</v>
      </c>
      <c r="D4" s="97">
        <v>2000</v>
      </c>
      <c r="E4" s="97">
        <v>600</v>
      </c>
      <c r="F4" s="97">
        <v>3.5999999999999997E-2</v>
      </c>
      <c r="G4" s="97" t="s">
        <v>602</v>
      </c>
      <c r="H4" s="98" t="s">
        <v>598</v>
      </c>
      <c r="I4" s="93" t="s">
        <v>520</v>
      </c>
      <c r="J4" s="97">
        <v>1</v>
      </c>
      <c r="K4" s="97">
        <v>1</v>
      </c>
      <c r="L4" s="97">
        <v>1</v>
      </c>
      <c r="M4" s="97">
        <v>1</v>
      </c>
      <c r="N4" s="97" t="s">
        <v>93</v>
      </c>
    </row>
    <row r="5" spans="1:14" x14ac:dyDescent="0.3">
      <c r="A5" s="99" t="str">
        <f>IF(B5&lt;&gt;"",IF(COUNTA($B$2:B5)&lt;=26,CHAR(64+COUNTA($B$2:B5)),IF(COUNTA($B$2:B5)&lt;=702,CHAR(64+QUOTIENT(COUNTA($B$2:B5)-1,26))&amp;CHAR(65+MOD(COUNTA($B$2:B5)-1,26)),CHAR(64+QUOTIENT(COUNTA($B$2:B5)-27,676))&amp;CHAR(65+MOD(QUOTIENT(COUNTA($B$2:B5)-27,26),26))&amp;CHAR(65+MOD(COUNTA($B$2:B5)-1,26)))),"")</f>
        <v>D</v>
      </c>
      <c r="B5" s="97" t="s">
        <v>603</v>
      </c>
      <c r="C5" s="98">
        <v>1</v>
      </c>
      <c r="D5" s="97">
        <v>2000</v>
      </c>
      <c r="E5" s="97">
        <v>200</v>
      </c>
      <c r="F5" s="97">
        <v>1.4999999999999999E-2</v>
      </c>
      <c r="G5" s="97" t="s">
        <v>604</v>
      </c>
      <c r="H5" s="98" t="s">
        <v>598</v>
      </c>
      <c r="I5" s="93" t="s">
        <v>520</v>
      </c>
      <c r="J5" s="97">
        <v>1</v>
      </c>
      <c r="K5" s="97">
        <v>1</v>
      </c>
      <c r="L5" s="97">
        <v>1</v>
      </c>
      <c r="M5" s="97">
        <v>1</v>
      </c>
      <c r="N5" s="97" t="s">
        <v>96</v>
      </c>
    </row>
    <row r="6" spans="1:14" x14ac:dyDescent="0.3">
      <c r="A6" s="99" t="str">
        <f>IF(B6&lt;&gt;"",IF(COUNTA($B$2:B6)&lt;=26,CHAR(64+COUNTA($B$2:B6)),IF(COUNTA($B$2:B6)&lt;=702,CHAR(64+QUOTIENT(COUNTA($B$2:B6)-1,26))&amp;CHAR(65+MOD(COUNTA($B$2:B6)-1,26)),CHAR(64+QUOTIENT(COUNTA($B$2:B6)-27,676))&amp;CHAR(65+MOD(QUOTIENT(COUNTA($B$2:B6)-27,26),26))&amp;CHAR(65+MOD(COUNTA($B$2:B6)-1,26)))),"")</f>
        <v>E</v>
      </c>
      <c r="B6" s="97" t="s">
        <v>605</v>
      </c>
      <c r="C6" s="98">
        <v>1</v>
      </c>
      <c r="D6" s="97">
        <v>590</v>
      </c>
      <c r="E6" s="97">
        <v>1000</v>
      </c>
      <c r="F6" s="97">
        <v>1.4999999999999999E-2</v>
      </c>
      <c r="G6" s="97" t="s">
        <v>606</v>
      </c>
      <c r="H6" s="98" t="s">
        <v>598</v>
      </c>
      <c r="I6" s="93" t="s">
        <v>520</v>
      </c>
      <c r="J6" s="97">
        <v>1</v>
      </c>
      <c r="K6" s="97">
        <v>0</v>
      </c>
      <c r="L6" s="97">
        <v>1</v>
      </c>
      <c r="M6" s="97">
        <v>1</v>
      </c>
      <c r="N6" s="97" t="s">
        <v>96</v>
      </c>
    </row>
    <row r="7" spans="1:14" x14ac:dyDescent="0.3">
      <c r="A7" s="99" t="str">
        <f>IF(B7&lt;&gt;"",IF(COUNTA($B$2:B7)&lt;=26,CHAR(64+COUNTA($B$2:B7)),IF(COUNTA($B$2:B7)&lt;=702,CHAR(64+QUOTIENT(COUNTA($B$2:B7)-1,26))&amp;CHAR(65+MOD(COUNTA($B$2:B7)-1,26)),CHAR(64+QUOTIENT(COUNTA($B$2:B7)-27,676))&amp;CHAR(65+MOD(QUOTIENT(COUNTA($B$2:B7)-27,26),26))&amp;CHAR(65+MOD(COUNTA($B$2:B7)-1,26)))),"")</f>
        <v>F</v>
      </c>
      <c r="B7" s="97" t="s">
        <v>607</v>
      </c>
      <c r="C7" s="98">
        <v>2</v>
      </c>
      <c r="D7" s="97">
        <v>570</v>
      </c>
      <c r="E7" s="97">
        <v>250</v>
      </c>
      <c r="F7" s="97">
        <v>1.4999999999999999E-2</v>
      </c>
      <c r="G7" s="97" t="s">
        <v>608</v>
      </c>
      <c r="H7" s="98" t="s">
        <v>598</v>
      </c>
      <c r="I7" s="93" t="s">
        <v>520</v>
      </c>
      <c r="J7" s="97">
        <v>1</v>
      </c>
      <c r="K7" s="97">
        <v>0</v>
      </c>
      <c r="L7" s="97">
        <v>1</v>
      </c>
      <c r="M7" s="97">
        <v>1</v>
      </c>
      <c r="N7" s="97" t="s">
        <v>96</v>
      </c>
    </row>
    <row r="8" spans="1:14" x14ac:dyDescent="0.3">
      <c r="A8" s="99" t="str">
        <f>IF(B8&lt;&gt;"",IF(COUNTA($B$2:B8)&lt;=26,CHAR(64+COUNTA($B$2:B8)),IF(COUNTA($B$2:B8)&lt;=702,CHAR(64+QUOTIENT(COUNTA($B$2:B8)-1,26))&amp;CHAR(65+MOD(COUNTA($B$2:B8)-1,26)),CHAR(64+QUOTIENT(COUNTA($B$2:B8)-27,676))&amp;CHAR(65+MOD(QUOTIENT(COUNTA($B$2:B8)-27,26),26))&amp;CHAR(65+MOD(COUNTA($B$2:B8)-1,26)))),"")</f>
        <v>G</v>
      </c>
      <c r="B8" s="97" t="s">
        <v>609</v>
      </c>
      <c r="C8" s="98">
        <v>2</v>
      </c>
      <c r="D8" s="97">
        <v>50</v>
      </c>
      <c r="E8" s="97">
        <v>150</v>
      </c>
      <c r="F8" s="97">
        <v>3.5999999999999997E-2</v>
      </c>
      <c r="G8" s="97" t="s">
        <v>610</v>
      </c>
      <c r="H8" s="98" t="s">
        <v>598</v>
      </c>
      <c r="I8" s="93" t="s">
        <v>520</v>
      </c>
      <c r="J8" s="97">
        <v>0</v>
      </c>
      <c r="K8" s="97">
        <v>0</v>
      </c>
      <c r="L8" s="97">
        <v>0</v>
      </c>
      <c r="M8" s="97">
        <v>0</v>
      </c>
      <c r="N8" s="97" t="s">
        <v>93</v>
      </c>
    </row>
    <row r="9" spans="1:14" x14ac:dyDescent="0.3">
      <c r="A9" s="99" t="str">
        <f>IF(B9&lt;&gt;"",IF(COUNTA($B$2:B9)&lt;=26,CHAR(64+COUNTA($B$2:B9)),IF(COUNTA($B$2:B9)&lt;=702,CHAR(64+QUOTIENT(COUNTA($B$2:B9)-1,26))&amp;CHAR(65+MOD(COUNTA($B$2:B9)-1,26)),CHAR(64+QUOTIENT(COUNTA($B$2:B9)-27,676))&amp;CHAR(65+MOD(QUOTIENT(COUNTA($B$2:B9)-27,26),26))&amp;CHAR(65+MOD(COUNTA($B$2:B9)-1,26)))),"")</f>
        <v>H</v>
      </c>
      <c r="B9" s="97" t="s">
        <v>611</v>
      </c>
      <c r="C9" s="98">
        <v>4</v>
      </c>
      <c r="D9" s="97">
        <v>50</v>
      </c>
      <c r="E9" s="97">
        <v>150</v>
      </c>
      <c r="F9" s="97">
        <v>3.5999999999999997E-2</v>
      </c>
      <c r="G9" s="97" t="s">
        <v>610</v>
      </c>
      <c r="H9" s="98" t="s">
        <v>598</v>
      </c>
      <c r="I9" s="93" t="s">
        <v>520</v>
      </c>
      <c r="J9" s="97">
        <v>0</v>
      </c>
      <c r="K9" s="97">
        <v>0</v>
      </c>
      <c r="L9" s="97">
        <v>0</v>
      </c>
      <c r="M9" s="97">
        <v>0</v>
      </c>
      <c r="N9" s="97" t="s">
        <v>93</v>
      </c>
    </row>
    <row r="10" spans="1:14" x14ac:dyDescent="0.3">
      <c r="A10" s="99" t="str">
        <f>IF(B10&lt;&gt;"",IF(COUNTA($B$2:B10)&lt;=26,CHAR(64+COUNTA($B$2:B10)),IF(COUNTA($B$2:B10)&lt;=702,CHAR(64+QUOTIENT(COUNTA($B$2:B10)-1,26))&amp;CHAR(65+MOD(COUNTA($B$2:B10)-1,26)),CHAR(64+QUOTIENT(COUNTA($B$2:B10)-27,676))&amp;CHAR(65+MOD(QUOTIENT(COUNTA($B$2:B10)-27,26),26))&amp;CHAR(65+MOD(COUNTA($B$2:B10)-1,26)))),"")</f>
        <v>I</v>
      </c>
      <c r="B10" s="97" t="s">
        <v>612</v>
      </c>
      <c r="C10" s="98">
        <v>1</v>
      </c>
      <c r="D10" s="97">
        <v>1000</v>
      </c>
      <c r="E10" s="97">
        <v>250</v>
      </c>
      <c r="F10" s="97">
        <v>1.4999999999999999E-2</v>
      </c>
      <c r="G10" s="97" t="s">
        <v>613</v>
      </c>
      <c r="H10" s="98" t="s">
        <v>598</v>
      </c>
      <c r="I10" s="93" t="s">
        <v>520</v>
      </c>
      <c r="J10" s="97">
        <v>1</v>
      </c>
      <c r="K10" s="97">
        <v>1</v>
      </c>
      <c r="L10" s="97">
        <v>1</v>
      </c>
      <c r="M10" s="97">
        <v>0</v>
      </c>
      <c r="N10" s="97" t="s">
        <v>93</v>
      </c>
    </row>
    <row r="11" spans="1:14" x14ac:dyDescent="0.3">
      <c r="A11" s="99" t="str">
        <f>IF(B11&lt;&gt;"",IF(COUNTA($B$2:B11)&lt;=26,CHAR(64+COUNTA($B$2:B11)),IF(COUNTA($B$2:B11)&lt;=702,CHAR(64+QUOTIENT(COUNTA($B$2:B11)-1,26))&amp;CHAR(65+MOD(COUNTA($B$2:B11)-1,26)),CHAR(64+QUOTIENT(COUNTA($B$2:B11)-27,676))&amp;CHAR(65+MOD(QUOTIENT(COUNTA($B$2:B11)-27,26),26))&amp;CHAR(65+MOD(COUNTA($B$2:B11)-1,26)))),"")</f>
        <v>J</v>
      </c>
      <c r="B11" s="97" t="s">
        <v>614</v>
      </c>
      <c r="C11" s="98">
        <v>1</v>
      </c>
      <c r="D11" s="97">
        <v>960</v>
      </c>
      <c r="E11" s="97">
        <v>1.9E-2</v>
      </c>
      <c r="F11" s="97">
        <v>0</v>
      </c>
      <c r="G11" s="97"/>
      <c r="H11" s="98" t="s">
        <v>615</v>
      </c>
      <c r="I11" s="94" t="s">
        <v>10</v>
      </c>
      <c r="J11" s="97"/>
      <c r="K11" s="97"/>
      <c r="L11" s="97"/>
      <c r="M11" s="97"/>
      <c r="N11" s="97"/>
    </row>
    <row r="12" spans="1:14" x14ac:dyDescent="0.3">
      <c r="A12" s="99" t="str">
        <f>IF(B12&lt;&gt;"",IF(COUNTA($B$2:B12)&lt;=26,CHAR(64+COUNTA($B$2:B12)),IF(COUNTA($B$2:B12)&lt;=702,CHAR(64+QUOTIENT(COUNTA($B$2:B12)-1,26))&amp;CHAR(65+MOD(COUNTA($B$2:B12)-1,26)),CHAR(64+QUOTIENT(COUNTA($B$2:B12)-27,676))&amp;CHAR(65+MOD(QUOTIENT(COUNTA($B$2:B12)-27,26),26))&amp;CHAR(65+MOD(COUNTA($B$2:B12)-1,26)))),"")</f>
        <v>K</v>
      </c>
      <c r="B12" s="97" t="s">
        <v>616</v>
      </c>
      <c r="C12" s="98">
        <v>2</v>
      </c>
      <c r="D12" s="97">
        <v>600</v>
      </c>
      <c r="E12" s="97">
        <v>4.3999999999999997E-2</v>
      </c>
      <c r="F12" s="97">
        <v>0</v>
      </c>
      <c r="G12" s="97"/>
      <c r="H12" s="98" t="s">
        <v>615</v>
      </c>
      <c r="I12" s="94" t="s">
        <v>10</v>
      </c>
      <c r="J12" s="97"/>
      <c r="K12" s="97"/>
      <c r="L12" s="97"/>
      <c r="M12" s="97"/>
      <c r="N12" s="97"/>
    </row>
    <row r="13" spans="1:14" x14ac:dyDescent="0.3">
      <c r="A13" s="99" t="str">
        <f>IF(B13&lt;&gt;"",IF(COUNTA($B$2:B13)&lt;=26,CHAR(64+COUNTA($B$2:B13)),IF(COUNTA($B$2:B13)&lt;=702,CHAR(64+QUOTIENT(COUNTA($B$2:B13)-1,26))&amp;CHAR(65+MOD(COUNTA($B$2:B13)-1,26)),CHAR(64+QUOTIENT(COUNTA($B$2:B13)-27,676))&amp;CHAR(65+MOD(QUOTIENT(COUNTA($B$2:B13)-27,26),26))&amp;CHAR(65+MOD(COUNTA($B$2:B13)-1,26)))),"")</f>
        <v>L</v>
      </c>
      <c r="B13" s="97" t="s">
        <v>617</v>
      </c>
      <c r="C13" s="98">
        <v>2</v>
      </c>
      <c r="D13" s="97">
        <v>2000</v>
      </c>
      <c r="E13" s="97">
        <v>4.3999999999999997E-2</v>
      </c>
      <c r="F13" s="97">
        <v>0</v>
      </c>
      <c r="G13" s="97"/>
      <c r="H13" s="98" t="s">
        <v>615</v>
      </c>
      <c r="I13" s="94" t="s">
        <v>10</v>
      </c>
      <c r="J13" s="97"/>
      <c r="K13" s="97"/>
      <c r="L13" s="97"/>
      <c r="M13" s="97"/>
      <c r="N13" s="97"/>
    </row>
    <row r="14" spans="1:14" x14ac:dyDescent="0.3">
      <c r="A14" s="99" t="str">
        <f>IF(B14&lt;&gt;"",IF(COUNTA($B$2:B14)&lt;=26,CHAR(64+COUNTA($B$2:B14)),IF(COUNTA($B$2:B14)&lt;=702,CHAR(64+QUOTIENT(COUNTA($B$2:B14)-1,26))&amp;CHAR(65+MOD(COUNTA($B$2:B14)-1,26)),CHAR(64+QUOTIENT(COUNTA($B$2:B14)-27,676))&amp;CHAR(65+MOD(QUOTIENT(COUNTA($B$2:B14)-27,26),26))&amp;CHAR(65+MOD(COUNTA($B$2:B14)-1,26)))),"")</f>
        <v>M</v>
      </c>
      <c r="B14" s="97" t="s">
        <v>618</v>
      </c>
      <c r="C14" s="98">
        <v>2</v>
      </c>
      <c r="D14" s="97">
        <v>200</v>
      </c>
      <c r="E14" s="97">
        <v>1.9E-2</v>
      </c>
      <c r="F14" s="97">
        <v>0</v>
      </c>
      <c r="G14" s="97"/>
      <c r="H14" s="98" t="s">
        <v>615</v>
      </c>
      <c r="I14" s="94" t="s">
        <v>10</v>
      </c>
      <c r="J14" s="97"/>
      <c r="K14" s="97"/>
      <c r="L14" s="97"/>
      <c r="M14" s="97"/>
      <c r="N14" s="97"/>
    </row>
    <row r="15" spans="1:14" x14ac:dyDescent="0.3">
      <c r="A15" s="99" t="str">
        <f>IF(B15&lt;&gt;"",IF(COUNTA($B$2:B15)&lt;=26,CHAR(64+COUNTA($B$2:B15)),IF(COUNTA($B$2:B15)&lt;=702,CHAR(64+QUOTIENT(COUNTA($B$2:B15)-1,26))&amp;CHAR(65+MOD(COUNTA($B$2:B15)-1,26)),CHAR(64+QUOTIENT(COUNTA($B$2:B15)-27,676))&amp;CHAR(65+MOD(QUOTIENT(COUNTA($B$2:B15)-27,26),26))&amp;CHAR(65+MOD(COUNTA($B$2:B15)-1,26)))),"")</f>
        <v>N</v>
      </c>
      <c r="B15" s="97" t="s">
        <v>619</v>
      </c>
      <c r="C15" s="98">
        <v>2</v>
      </c>
      <c r="D15" s="97">
        <v>2000</v>
      </c>
      <c r="E15" s="97">
        <v>1.9E-2</v>
      </c>
      <c r="F15" s="97">
        <v>0</v>
      </c>
      <c r="G15" s="97"/>
      <c r="H15" s="98" t="s">
        <v>615</v>
      </c>
      <c r="I15" s="94" t="s">
        <v>10</v>
      </c>
      <c r="J15" s="97"/>
      <c r="K15" s="97"/>
      <c r="L15" s="97"/>
      <c r="M15" s="97"/>
      <c r="N15" s="97"/>
    </row>
    <row r="16" spans="1:14" x14ac:dyDescent="0.3">
      <c r="A16" s="99" t="str">
        <f>IF(B16&lt;&gt;"",IF(COUNTA($B$2:B16)&lt;=26,CHAR(64+COUNTA($B$2:B16)),IF(COUNTA($B$2:B16)&lt;=702,CHAR(64+QUOTIENT(COUNTA($B$2:B16)-1,26))&amp;CHAR(65+MOD(COUNTA($B$2:B16)-1,26)),CHAR(64+QUOTIENT(COUNTA($B$2:B16)-27,676))&amp;CHAR(65+MOD(QUOTIENT(COUNTA($B$2:B16)-27,26),26))&amp;CHAR(65+MOD(COUNTA($B$2:B16)-1,26)))),"")</f>
        <v>O</v>
      </c>
      <c r="B16" s="97" t="s">
        <v>620</v>
      </c>
      <c r="C16" s="98">
        <v>1</v>
      </c>
      <c r="D16" s="97">
        <v>1000</v>
      </c>
      <c r="E16" s="97">
        <v>1.9E-2</v>
      </c>
      <c r="F16" s="97">
        <v>0</v>
      </c>
      <c r="G16" s="97"/>
      <c r="H16" s="98" t="s">
        <v>615</v>
      </c>
      <c r="I16" s="94" t="s">
        <v>10</v>
      </c>
      <c r="J16" s="97"/>
      <c r="K16" s="97"/>
      <c r="L16" s="97"/>
      <c r="M16" s="97"/>
      <c r="N16" s="97"/>
    </row>
    <row r="17" spans="1:14" x14ac:dyDescent="0.3">
      <c r="A17" s="99" t="str">
        <f>IF(B17&lt;&gt;"",IF(COUNTA($B$2:B17)&lt;=26,CHAR(64+COUNTA($B$2:B17)),IF(COUNTA($B$2:B17)&lt;=702,CHAR(64+QUOTIENT(COUNTA($B$2:B17)-1,26))&amp;CHAR(65+MOD(COUNTA($B$2:B17)-1,26)),CHAR(64+QUOTIENT(COUNTA($B$2:B17)-27,676))&amp;CHAR(65+MOD(QUOTIENT(COUNTA($B$2:B17)-27,26),26))&amp;CHAR(65+MOD(COUNTA($B$2:B17)-1,26)))),"")</f>
        <v>P</v>
      </c>
      <c r="B17" s="97" t="s">
        <v>621</v>
      </c>
      <c r="C17" s="98">
        <v>2</v>
      </c>
      <c r="D17" s="97">
        <v>590</v>
      </c>
      <c r="E17" s="97">
        <v>1.9E-2</v>
      </c>
      <c r="F17" s="97">
        <v>0</v>
      </c>
      <c r="G17" s="97"/>
      <c r="H17" s="98" t="s">
        <v>615</v>
      </c>
      <c r="I17" s="94" t="s">
        <v>10</v>
      </c>
      <c r="J17" s="97"/>
      <c r="K17" s="97"/>
      <c r="L17" s="97"/>
      <c r="M17" s="97"/>
      <c r="N17" s="97"/>
    </row>
    <row r="18" spans="1:14" x14ac:dyDescent="0.3">
      <c r="A18" s="99" t="str">
        <f>IF(B18&lt;&gt;"",IF(COUNTA($B$2:B18)&lt;=26,CHAR(64+COUNTA($B$2:B18)),IF(COUNTA($B$2:B18)&lt;=702,CHAR(64+QUOTIENT(COUNTA($B$2:B18)-1,26))&amp;CHAR(65+MOD(COUNTA($B$2:B18)-1,26)),CHAR(64+QUOTIENT(COUNTA($B$2:B18)-27,676))&amp;CHAR(65+MOD(QUOTIENT(COUNTA($B$2:B18)-27,26),26))&amp;CHAR(65+MOD(COUNTA($B$2:B18)-1,26)))),"")</f>
        <v>Q</v>
      </c>
      <c r="B18" s="97" t="s">
        <v>622</v>
      </c>
      <c r="C18" s="98">
        <v>2</v>
      </c>
      <c r="D18" s="97">
        <v>250</v>
      </c>
      <c r="E18" s="97">
        <v>1.9E-2</v>
      </c>
      <c r="F18" s="97">
        <v>0</v>
      </c>
      <c r="G18" s="97"/>
      <c r="H18" s="98" t="s">
        <v>615</v>
      </c>
      <c r="I18" s="94" t="s">
        <v>10</v>
      </c>
      <c r="J18" s="97"/>
      <c r="K18" s="97"/>
      <c r="L18" s="97"/>
      <c r="M18" s="97"/>
      <c r="N18" s="97"/>
    </row>
    <row r="19" spans="1:14" x14ac:dyDescent="0.3">
      <c r="A19" s="99" t="str">
        <f>IF(B19&lt;&gt;"",IF(COUNTA($B$2:B19)&lt;=26,CHAR(64+COUNTA($B$2:B19)),IF(COUNTA($B$2:B19)&lt;=702,CHAR(64+QUOTIENT(COUNTA($B$2:B19)-1,26))&amp;CHAR(65+MOD(COUNTA($B$2:B19)-1,26)),CHAR(64+QUOTIENT(COUNTA($B$2:B19)-27,676))&amp;CHAR(65+MOD(QUOTIENT(COUNTA($B$2:B19)-27,26),26))&amp;CHAR(65+MOD(COUNTA($B$2:B19)-1,26)))),"")</f>
        <v>R</v>
      </c>
      <c r="B19" s="97" t="s">
        <v>623</v>
      </c>
      <c r="C19" s="98">
        <v>4</v>
      </c>
      <c r="D19" s="97">
        <v>570</v>
      </c>
      <c r="E19" s="97">
        <v>1.9E-2</v>
      </c>
      <c r="F19" s="97">
        <v>0</v>
      </c>
      <c r="G19" s="97"/>
      <c r="H19" s="98" t="s">
        <v>615</v>
      </c>
      <c r="I19" s="94" t="s">
        <v>10</v>
      </c>
      <c r="J19" s="97"/>
      <c r="K19" s="97"/>
      <c r="L19" s="97"/>
      <c r="M19" s="97"/>
      <c r="N19" s="97"/>
    </row>
    <row r="20" spans="1:14" x14ac:dyDescent="0.3">
      <c r="A20" s="99" t="str">
        <f>IF(B20&lt;&gt;"",IF(COUNTA($B$2:B20)&lt;=26,CHAR(64+COUNTA($B$2:B20)),IF(COUNTA($B$2:B20)&lt;=702,CHAR(64+QUOTIENT(COUNTA($B$2:B20)-1,26))&amp;CHAR(65+MOD(COUNTA($B$2:B20)-1,26)),CHAR(64+QUOTIENT(COUNTA($B$2:B20)-27,676))&amp;CHAR(65+MOD(QUOTIENT(COUNTA($B$2:B20)-27,26),26))&amp;CHAR(65+MOD(COUNTA($B$2:B20)-1,26)))),"")</f>
        <v>S</v>
      </c>
      <c r="B20" s="97" t="s">
        <v>624</v>
      </c>
      <c r="C20" s="98">
        <v>2</v>
      </c>
      <c r="D20" s="97">
        <v>250</v>
      </c>
      <c r="E20" s="97">
        <v>1.9E-2</v>
      </c>
      <c r="F20" s="97">
        <v>0</v>
      </c>
      <c r="G20" s="97"/>
      <c r="H20" s="98" t="s">
        <v>615</v>
      </c>
      <c r="I20" s="94" t="s">
        <v>10</v>
      </c>
      <c r="J20" s="97"/>
      <c r="K20" s="97"/>
      <c r="L20" s="97"/>
      <c r="M20" s="97"/>
      <c r="N20" s="97"/>
    </row>
    <row r="21" spans="1:14" x14ac:dyDescent="0.3">
      <c r="A21" s="99" t="str">
        <f>IF(B21&lt;&gt;"",IF(COUNTA($B$2:B21)&lt;=26,CHAR(64+COUNTA($B$2:B21)),IF(COUNTA($B$2:B21)&lt;=702,CHAR(64+QUOTIENT(COUNTA($B$2:B21)-1,26))&amp;CHAR(65+MOD(COUNTA($B$2:B21)-1,26)),CHAR(64+QUOTIENT(COUNTA($B$2:B21)-27,676))&amp;CHAR(65+MOD(QUOTIENT(COUNTA($B$2:B21)-27,26),26))&amp;CHAR(65+MOD(COUNTA($B$2:B21)-1,26)))),"")</f>
        <v>T</v>
      </c>
      <c r="B21" s="97" t="s">
        <v>625</v>
      </c>
      <c r="C21" s="98">
        <v>1</v>
      </c>
      <c r="D21" s="97">
        <v>1000</v>
      </c>
      <c r="E21" s="97">
        <v>1.9E-2</v>
      </c>
      <c r="F21" s="97">
        <v>0</v>
      </c>
      <c r="G21" s="97"/>
      <c r="H21" s="98" t="s">
        <v>615</v>
      </c>
      <c r="I21" s="94" t="s">
        <v>10</v>
      </c>
      <c r="J21" s="97"/>
      <c r="K21" s="97"/>
      <c r="L21" s="97"/>
      <c r="M21" s="97"/>
      <c r="N21" s="97"/>
    </row>
    <row r="22" spans="1:14" x14ac:dyDescent="0.3">
      <c r="A22" s="99" t="str">
        <f>IF(B22&lt;&gt;"",IF(COUNTA($B$2:B22)&lt;=26,CHAR(64+COUNTA($B$2:B22)),IF(COUNTA($B$2:B22)&lt;=702,CHAR(64+QUOTIENT(COUNTA($B$2:B22)-1,26))&amp;CHAR(65+MOD(COUNTA($B$2:B22)-1,26)),CHAR(64+QUOTIENT(COUNTA($B$2:B22)-27,676))&amp;CHAR(65+MOD(QUOTIENT(COUNTA($B$2:B22)-27,26),26))&amp;CHAR(65+MOD(COUNTA($B$2:B22)-1,26)))),"")</f>
        <v>U</v>
      </c>
      <c r="B22" s="97" t="s">
        <v>596</v>
      </c>
      <c r="C22" s="98">
        <v>2</v>
      </c>
      <c r="D22" s="97">
        <v>740</v>
      </c>
      <c r="E22" s="97">
        <v>50</v>
      </c>
      <c r="F22" s="97">
        <v>3.5999999999999997E-2</v>
      </c>
      <c r="G22" s="97" t="s">
        <v>597</v>
      </c>
      <c r="H22" s="98" t="s">
        <v>598</v>
      </c>
      <c r="I22" s="93" t="s">
        <v>522</v>
      </c>
      <c r="J22" s="97">
        <v>0</v>
      </c>
      <c r="K22" s="97">
        <v>0</v>
      </c>
      <c r="L22" s="97">
        <v>0</v>
      </c>
      <c r="M22" s="97">
        <v>0</v>
      </c>
      <c r="N22" s="97" t="s">
        <v>93</v>
      </c>
    </row>
    <row r="23" spans="1:14" x14ac:dyDescent="0.3">
      <c r="A23" s="99" t="str">
        <f>IF(B23&lt;&gt;"",IF(COUNTA($B$2:B23)&lt;=26,CHAR(64+COUNTA($B$2:B23)),IF(COUNTA($B$2:B23)&lt;=702,CHAR(64+QUOTIENT(COUNTA($B$2:B23)-1,26))&amp;CHAR(65+MOD(COUNTA($B$2:B23)-1,26)),CHAR(64+QUOTIENT(COUNTA($B$2:B23)-27,676))&amp;CHAR(65+MOD(QUOTIENT(COUNTA($B$2:B23)-27,26),26))&amp;CHAR(65+MOD(COUNTA($B$2:B23)-1,26)))),"")</f>
        <v>V</v>
      </c>
      <c r="B23" s="97" t="s">
        <v>599</v>
      </c>
      <c r="C23" s="98">
        <v>1</v>
      </c>
      <c r="D23" s="97">
        <v>960</v>
      </c>
      <c r="E23" s="97">
        <v>250</v>
      </c>
      <c r="F23" s="97">
        <v>1.4999999999999999E-2</v>
      </c>
      <c r="G23" s="97" t="s">
        <v>600</v>
      </c>
      <c r="H23" s="98" t="s">
        <v>598</v>
      </c>
      <c r="I23" s="93" t="s">
        <v>522</v>
      </c>
      <c r="J23" s="97">
        <v>0</v>
      </c>
      <c r="K23" s="97">
        <v>0</v>
      </c>
      <c r="L23" s="97">
        <v>1</v>
      </c>
      <c r="M23" s="97">
        <v>0</v>
      </c>
      <c r="N23" s="97" t="s">
        <v>93</v>
      </c>
    </row>
    <row r="24" spans="1:14" x14ac:dyDescent="0.3">
      <c r="A24" s="99" t="str">
        <f>IF(B24&lt;&gt;"",IF(COUNTA($B$2:B24)&lt;=26,CHAR(64+COUNTA($B$2:B24)),IF(COUNTA($B$2:B24)&lt;=702,CHAR(64+QUOTIENT(COUNTA($B$2:B24)-1,26))&amp;CHAR(65+MOD(COUNTA($B$2:B24)-1,26)),CHAR(64+QUOTIENT(COUNTA($B$2:B24)-27,676))&amp;CHAR(65+MOD(QUOTIENT(COUNTA($B$2:B24)-27,26),26))&amp;CHAR(65+MOD(COUNTA($B$2:B24)-1,26)))),"")</f>
        <v>W</v>
      </c>
      <c r="B24" s="97" t="s">
        <v>601</v>
      </c>
      <c r="C24" s="98">
        <v>1</v>
      </c>
      <c r="D24" s="97">
        <v>2000</v>
      </c>
      <c r="E24" s="97">
        <v>600</v>
      </c>
      <c r="F24" s="97">
        <v>3.5999999999999997E-2</v>
      </c>
      <c r="G24" s="97" t="s">
        <v>602</v>
      </c>
      <c r="H24" s="98" t="s">
        <v>598</v>
      </c>
      <c r="I24" s="93" t="s">
        <v>522</v>
      </c>
      <c r="J24" s="97">
        <v>1</v>
      </c>
      <c r="K24" s="97">
        <v>1</v>
      </c>
      <c r="L24" s="97">
        <v>1</v>
      </c>
      <c r="M24" s="97">
        <v>1</v>
      </c>
      <c r="N24" s="97" t="s">
        <v>93</v>
      </c>
    </row>
    <row r="25" spans="1:14" x14ac:dyDescent="0.3">
      <c r="A25" s="99" t="str">
        <f>IF(B25&lt;&gt;"",IF(COUNTA($B$2:B25)&lt;=26,CHAR(64+COUNTA($B$2:B25)),IF(COUNTA($B$2:B25)&lt;=702,CHAR(64+QUOTIENT(COUNTA($B$2:B25)-1,26))&amp;CHAR(65+MOD(COUNTA($B$2:B25)-1,26)),CHAR(64+QUOTIENT(COUNTA($B$2:B25)-27,676))&amp;CHAR(65+MOD(QUOTIENT(COUNTA($B$2:B25)-27,26),26))&amp;CHAR(65+MOD(COUNTA($B$2:B25)-1,26)))),"")</f>
        <v>X</v>
      </c>
      <c r="B25" s="97" t="s">
        <v>603</v>
      </c>
      <c r="C25" s="98">
        <v>1</v>
      </c>
      <c r="D25" s="97">
        <v>2000</v>
      </c>
      <c r="E25" s="97">
        <v>200</v>
      </c>
      <c r="F25" s="97">
        <v>1.4999999999999999E-2</v>
      </c>
      <c r="G25" s="97" t="s">
        <v>604</v>
      </c>
      <c r="H25" s="98" t="s">
        <v>598</v>
      </c>
      <c r="I25" s="93" t="s">
        <v>522</v>
      </c>
      <c r="J25" s="97">
        <v>1</v>
      </c>
      <c r="K25" s="97">
        <v>1</v>
      </c>
      <c r="L25" s="97">
        <v>1</v>
      </c>
      <c r="M25" s="97">
        <v>1</v>
      </c>
      <c r="N25" s="97" t="s">
        <v>96</v>
      </c>
    </row>
    <row r="26" spans="1:14" x14ac:dyDescent="0.3">
      <c r="A26" s="99" t="str">
        <f>IF(B26&lt;&gt;"",IF(COUNTA($B$2:B26)&lt;=26,CHAR(64+COUNTA($B$2:B26)),IF(COUNTA($B$2:B26)&lt;=702,CHAR(64+QUOTIENT(COUNTA($B$2:B26)-1,26))&amp;CHAR(65+MOD(COUNTA($B$2:B26)-1,26)),CHAR(64+QUOTIENT(COUNTA($B$2:B26)-27,676))&amp;CHAR(65+MOD(QUOTIENT(COUNTA($B$2:B26)-27,26),26))&amp;CHAR(65+MOD(COUNTA($B$2:B26)-1,26)))),"")</f>
        <v>Y</v>
      </c>
      <c r="B26" s="97" t="s">
        <v>605</v>
      </c>
      <c r="C26" s="98">
        <v>1</v>
      </c>
      <c r="D26" s="97">
        <v>590</v>
      </c>
      <c r="E26" s="97">
        <v>1000</v>
      </c>
      <c r="F26" s="97">
        <v>1.4999999999999999E-2</v>
      </c>
      <c r="G26" s="97" t="s">
        <v>606</v>
      </c>
      <c r="H26" s="98" t="s">
        <v>598</v>
      </c>
      <c r="I26" s="93" t="s">
        <v>522</v>
      </c>
      <c r="J26" s="97">
        <v>1</v>
      </c>
      <c r="K26" s="97">
        <v>0</v>
      </c>
      <c r="L26" s="97">
        <v>1</v>
      </c>
      <c r="M26" s="97">
        <v>1</v>
      </c>
      <c r="N26" s="97" t="s">
        <v>96</v>
      </c>
    </row>
    <row r="27" spans="1:14" x14ac:dyDescent="0.3">
      <c r="A27" s="99" t="str">
        <f>IF(B27&lt;&gt;"",IF(COUNTA($B$2:B27)&lt;=26,CHAR(64+COUNTA($B$2:B27)),IF(COUNTA($B$2:B27)&lt;=702,CHAR(64+QUOTIENT(COUNTA($B$2:B27)-1,26))&amp;CHAR(65+MOD(COUNTA($B$2:B27)-1,26)),CHAR(64+QUOTIENT(COUNTA($B$2:B27)-27,676))&amp;CHAR(65+MOD(QUOTIENT(COUNTA($B$2:B27)-27,26),26))&amp;CHAR(65+MOD(COUNTA($B$2:B27)-1,26)))),"")</f>
        <v>Z</v>
      </c>
      <c r="B27" s="97" t="s">
        <v>607</v>
      </c>
      <c r="C27" s="98">
        <v>2</v>
      </c>
      <c r="D27" s="97">
        <v>570</v>
      </c>
      <c r="E27" s="97">
        <v>250</v>
      </c>
      <c r="F27" s="97">
        <v>1.4999999999999999E-2</v>
      </c>
      <c r="G27" s="97" t="s">
        <v>608</v>
      </c>
      <c r="H27" s="98" t="s">
        <v>598</v>
      </c>
      <c r="I27" s="93" t="s">
        <v>522</v>
      </c>
      <c r="J27" s="97">
        <v>1</v>
      </c>
      <c r="K27" s="97">
        <v>0</v>
      </c>
      <c r="L27" s="97">
        <v>1</v>
      </c>
      <c r="M27" s="97">
        <v>1</v>
      </c>
      <c r="N27" s="97" t="s">
        <v>96</v>
      </c>
    </row>
    <row r="28" spans="1:14" x14ac:dyDescent="0.3">
      <c r="A28" s="99" t="str">
        <f>IF(B28&lt;&gt;"",IF(COUNTA($B$2:B28)&lt;=26,CHAR(64+COUNTA($B$2:B28)),IF(COUNTA($B$2:B28)&lt;=702,CHAR(64+QUOTIENT(COUNTA($B$2:B28)-1,26))&amp;CHAR(65+MOD(COUNTA($B$2:B28)-1,26)),CHAR(64+QUOTIENT(COUNTA($B$2:B28)-27,676))&amp;CHAR(65+MOD(QUOTIENT(COUNTA($B$2:B28)-27,26),26))&amp;CHAR(65+MOD(COUNTA($B$2:B28)-1,26)))),"")</f>
        <v>AA</v>
      </c>
      <c r="B28" s="97" t="s">
        <v>609</v>
      </c>
      <c r="C28" s="98">
        <v>2</v>
      </c>
      <c r="D28" s="97">
        <v>50</v>
      </c>
      <c r="E28" s="97">
        <v>150</v>
      </c>
      <c r="F28" s="97">
        <v>3.5999999999999997E-2</v>
      </c>
      <c r="G28" s="97" t="s">
        <v>610</v>
      </c>
      <c r="H28" s="98" t="s">
        <v>598</v>
      </c>
      <c r="I28" s="93" t="s">
        <v>522</v>
      </c>
      <c r="J28" s="97">
        <v>0</v>
      </c>
      <c r="K28" s="97">
        <v>0</v>
      </c>
      <c r="L28" s="97">
        <v>0</v>
      </c>
      <c r="M28" s="97">
        <v>0</v>
      </c>
      <c r="N28" s="97" t="s">
        <v>93</v>
      </c>
    </row>
    <row r="29" spans="1:14" x14ac:dyDescent="0.3">
      <c r="A29" s="99" t="str">
        <f>IF(B29&lt;&gt;"",IF(COUNTA($B$2:B29)&lt;=26,CHAR(64+COUNTA($B$2:B29)),IF(COUNTA($B$2:B29)&lt;=702,CHAR(64+QUOTIENT(COUNTA($B$2:B29)-1,26))&amp;CHAR(65+MOD(COUNTA($B$2:B29)-1,26)),CHAR(64+QUOTIENT(COUNTA($B$2:B29)-27,676))&amp;CHAR(65+MOD(QUOTIENT(COUNTA($B$2:B29)-27,26),26))&amp;CHAR(65+MOD(COUNTA($B$2:B29)-1,26)))),"")</f>
        <v>AB</v>
      </c>
      <c r="B29" s="97" t="s">
        <v>611</v>
      </c>
      <c r="C29" s="98">
        <v>4</v>
      </c>
      <c r="D29" s="97">
        <v>50</v>
      </c>
      <c r="E29" s="97">
        <v>150</v>
      </c>
      <c r="F29" s="97">
        <v>3.5999999999999997E-2</v>
      </c>
      <c r="G29" s="97" t="s">
        <v>610</v>
      </c>
      <c r="H29" s="98" t="s">
        <v>598</v>
      </c>
      <c r="I29" s="93" t="s">
        <v>522</v>
      </c>
      <c r="J29" s="97">
        <v>0</v>
      </c>
      <c r="K29" s="97">
        <v>0</v>
      </c>
      <c r="L29" s="97">
        <v>0</v>
      </c>
      <c r="M29" s="97">
        <v>0</v>
      </c>
      <c r="N29" s="97" t="s">
        <v>93</v>
      </c>
    </row>
    <row r="30" spans="1:14" x14ac:dyDescent="0.3">
      <c r="A30" s="99" t="str">
        <f>IF(B30&lt;&gt;"",IF(COUNTA($B$2:B30)&lt;=26,CHAR(64+COUNTA($B$2:B30)),IF(COUNTA($B$2:B30)&lt;=702,CHAR(64+QUOTIENT(COUNTA($B$2:B30)-1,26))&amp;CHAR(65+MOD(COUNTA($B$2:B30)-1,26)),CHAR(64+QUOTIENT(COUNTA($B$2:B30)-27,676))&amp;CHAR(65+MOD(QUOTIENT(COUNTA($B$2:B30)-27,26),26))&amp;CHAR(65+MOD(COUNTA($B$2:B30)-1,26)))),"")</f>
        <v>AC</v>
      </c>
      <c r="B30" s="97" t="s">
        <v>612</v>
      </c>
      <c r="C30" s="98">
        <v>1</v>
      </c>
      <c r="D30" s="97">
        <v>1000</v>
      </c>
      <c r="E30" s="97">
        <v>250</v>
      </c>
      <c r="F30" s="97">
        <v>1.4999999999999999E-2</v>
      </c>
      <c r="G30" s="97" t="s">
        <v>613</v>
      </c>
      <c r="H30" s="98" t="s">
        <v>598</v>
      </c>
      <c r="I30" s="93" t="s">
        <v>522</v>
      </c>
      <c r="J30" s="97">
        <v>1</v>
      </c>
      <c r="K30" s="97">
        <v>1</v>
      </c>
      <c r="L30" s="97">
        <v>1</v>
      </c>
      <c r="M30" s="97">
        <v>0</v>
      </c>
      <c r="N30" s="97" t="s">
        <v>93</v>
      </c>
    </row>
    <row r="31" spans="1:14" x14ac:dyDescent="0.3">
      <c r="A31" s="99" t="str">
        <f>IF(B31&lt;&gt;"",IF(COUNTA($B$2:B31)&lt;=26,CHAR(64+COUNTA($B$2:B31)),IF(COUNTA($B$2:B31)&lt;=702,CHAR(64+QUOTIENT(COUNTA($B$2:B31)-1,26))&amp;CHAR(65+MOD(COUNTA($B$2:B31)-1,26)),CHAR(64+QUOTIENT(COUNTA($B$2:B31)-27,676))&amp;CHAR(65+MOD(QUOTIENT(COUNTA($B$2:B31)-27,26),26))&amp;CHAR(65+MOD(COUNTA($B$2:B31)-1,26)))),"")</f>
        <v>AD</v>
      </c>
      <c r="B31" s="97" t="s">
        <v>614</v>
      </c>
      <c r="C31" s="98">
        <v>1</v>
      </c>
      <c r="D31" s="97">
        <v>960</v>
      </c>
      <c r="E31" s="97">
        <v>1.9E-2</v>
      </c>
      <c r="F31" s="97">
        <v>0</v>
      </c>
      <c r="G31" s="97"/>
      <c r="H31" s="98" t="s">
        <v>615</v>
      </c>
      <c r="I31" s="94" t="s">
        <v>10</v>
      </c>
      <c r="J31" s="97"/>
      <c r="K31" s="97"/>
      <c r="L31" s="97"/>
      <c r="M31" s="97"/>
      <c r="N31" s="97"/>
    </row>
    <row r="32" spans="1:14" x14ac:dyDescent="0.3">
      <c r="A32" s="99" t="str">
        <f>IF(B32&lt;&gt;"",IF(COUNTA($B$2:B32)&lt;=26,CHAR(64+COUNTA($B$2:B32)),IF(COUNTA($B$2:B32)&lt;=702,CHAR(64+QUOTIENT(COUNTA($B$2:B32)-1,26))&amp;CHAR(65+MOD(COUNTA($B$2:B32)-1,26)),CHAR(64+QUOTIENT(COUNTA($B$2:B32)-27,676))&amp;CHAR(65+MOD(QUOTIENT(COUNTA($B$2:B32)-27,26),26))&amp;CHAR(65+MOD(COUNTA($B$2:B32)-1,26)))),"")</f>
        <v>AE</v>
      </c>
      <c r="B32" s="97" t="s">
        <v>616</v>
      </c>
      <c r="C32" s="98">
        <v>2</v>
      </c>
      <c r="D32" s="97">
        <v>600</v>
      </c>
      <c r="E32" s="97">
        <v>4.3999999999999997E-2</v>
      </c>
      <c r="F32" s="97">
        <v>0</v>
      </c>
      <c r="G32" s="97"/>
      <c r="H32" s="98" t="s">
        <v>615</v>
      </c>
      <c r="I32" s="94" t="s">
        <v>10</v>
      </c>
      <c r="J32" s="97"/>
      <c r="K32" s="97"/>
      <c r="L32" s="97"/>
      <c r="M32" s="97"/>
      <c r="N32" s="97"/>
    </row>
    <row r="33" spans="1:14" x14ac:dyDescent="0.3">
      <c r="A33" s="99" t="str">
        <f>IF(B33&lt;&gt;"",IF(COUNTA($B$2:B33)&lt;=26,CHAR(64+COUNTA($B$2:B33)),IF(COUNTA($B$2:B33)&lt;=702,CHAR(64+QUOTIENT(COUNTA($B$2:B33)-1,26))&amp;CHAR(65+MOD(COUNTA($B$2:B33)-1,26)),CHAR(64+QUOTIENT(COUNTA($B$2:B33)-27,676))&amp;CHAR(65+MOD(QUOTIENT(COUNTA($B$2:B33)-27,26),26))&amp;CHAR(65+MOD(COUNTA($B$2:B33)-1,26)))),"")</f>
        <v>AF</v>
      </c>
      <c r="B33" s="97" t="s">
        <v>617</v>
      </c>
      <c r="C33" s="98">
        <v>2</v>
      </c>
      <c r="D33" s="97">
        <v>2000</v>
      </c>
      <c r="E33" s="97">
        <v>4.3999999999999997E-2</v>
      </c>
      <c r="F33" s="97">
        <v>0</v>
      </c>
      <c r="G33" s="97"/>
      <c r="H33" s="98" t="s">
        <v>615</v>
      </c>
      <c r="I33" s="94" t="s">
        <v>10</v>
      </c>
      <c r="J33"/>
      <c r="K33"/>
      <c r="L33"/>
      <c r="M33"/>
      <c r="N33" s="97"/>
    </row>
    <row r="34" spans="1:14" x14ac:dyDescent="0.3">
      <c r="A34" s="99" t="str">
        <f>IF(B34&lt;&gt;"",IF(COUNTA($B$2:B34)&lt;=26,CHAR(64+COUNTA($B$2:B34)),IF(COUNTA($B$2:B34)&lt;=702,CHAR(64+QUOTIENT(COUNTA($B$2:B34)-1,26))&amp;CHAR(65+MOD(COUNTA($B$2:B34)-1,26)),CHAR(64+QUOTIENT(COUNTA($B$2:B34)-27,676))&amp;CHAR(65+MOD(QUOTIENT(COUNTA($B$2:B34)-27,26),26))&amp;CHAR(65+MOD(COUNTA($B$2:B34)-1,26)))),"")</f>
        <v>AG</v>
      </c>
      <c r="B34" s="97" t="s">
        <v>618</v>
      </c>
      <c r="C34" s="98">
        <v>2</v>
      </c>
      <c r="D34" s="97">
        <v>200</v>
      </c>
      <c r="E34" s="97">
        <v>1.9E-2</v>
      </c>
      <c r="F34" s="97">
        <v>0</v>
      </c>
      <c r="G34" s="97"/>
      <c r="H34" s="98" t="s">
        <v>615</v>
      </c>
      <c r="I34" s="94" t="s">
        <v>10</v>
      </c>
      <c r="J34"/>
      <c r="K34"/>
      <c r="L34"/>
      <c r="M34"/>
      <c r="N34" s="97"/>
    </row>
    <row r="35" spans="1:14" x14ac:dyDescent="0.3">
      <c r="A35" s="99" t="str">
        <f>IF(B35&lt;&gt;"",IF(COUNTA($B$2:B35)&lt;=26,CHAR(64+COUNTA($B$2:B35)),IF(COUNTA($B$2:B35)&lt;=702,CHAR(64+QUOTIENT(COUNTA($B$2:B35)-1,26))&amp;CHAR(65+MOD(COUNTA($B$2:B35)-1,26)),CHAR(64+QUOTIENT(COUNTA($B$2:B35)-27,676))&amp;CHAR(65+MOD(QUOTIENT(COUNTA($B$2:B35)-27,26),26))&amp;CHAR(65+MOD(COUNTA($B$2:B35)-1,26)))),"")</f>
        <v>AH</v>
      </c>
      <c r="B35" s="97" t="s">
        <v>619</v>
      </c>
      <c r="C35" s="98">
        <v>2</v>
      </c>
      <c r="D35" s="97">
        <v>2000</v>
      </c>
      <c r="E35" s="97">
        <v>1.9E-2</v>
      </c>
      <c r="F35" s="97">
        <v>0</v>
      </c>
      <c r="G35" s="97"/>
      <c r="H35" s="98" t="s">
        <v>615</v>
      </c>
      <c r="I35" s="94" t="s">
        <v>10</v>
      </c>
      <c r="J35"/>
      <c r="K35"/>
      <c r="L35"/>
      <c r="M35"/>
      <c r="N35" s="97"/>
    </row>
    <row r="36" spans="1:14" x14ac:dyDescent="0.3">
      <c r="A36" s="99" t="str">
        <f>IF(B36&lt;&gt;"",IF(COUNTA($B$2:B36)&lt;=26,CHAR(64+COUNTA($B$2:B36)),IF(COUNTA($B$2:B36)&lt;=702,CHAR(64+QUOTIENT(COUNTA($B$2:B36)-1,26))&amp;CHAR(65+MOD(COUNTA($B$2:B36)-1,26)),CHAR(64+QUOTIENT(COUNTA($B$2:B36)-27,676))&amp;CHAR(65+MOD(QUOTIENT(COUNTA($B$2:B36)-27,26),26))&amp;CHAR(65+MOD(COUNTA($B$2:B36)-1,26)))),"")</f>
        <v>AI</v>
      </c>
      <c r="B36" s="97" t="s">
        <v>620</v>
      </c>
      <c r="C36" s="98">
        <v>1</v>
      </c>
      <c r="D36" s="97">
        <v>1000</v>
      </c>
      <c r="E36" s="97">
        <v>1.9E-2</v>
      </c>
      <c r="F36" s="97">
        <v>0</v>
      </c>
      <c r="G36" s="97"/>
      <c r="H36" s="98" t="s">
        <v>615</v>
      </c>
      <c r="I36" s="94" t="s">
        <v>10</v>
      </c>
      <c r="J36"/>
      <c r="K36"/>
      <c r="L36"/>
      <c r="M36"/>
      <c r="N36" s="97"/>
    </row>
    <row r="37" spans="1:14" x14ac:dyDescent="0.3">
      <c r="A37" s="99" t="str">
        <f>IF(B37&lt;&gt;"",IF(COUNTA($B$2:B37)&lt;=26,CHAR(64+COUNTA($B$2:B37)),IF(COUNTA($B$2:B37)&lt;=702,CHAR(64+QUOTIENT(COUNTA($B$2:B37)-1,26))&amp;CHAR(65+MOD(COUNTA($B$2:B37)-1,26)),CHAR(64+QUOTIENT(COUNTA($B$2:B37)-27,676))&amp;CHAR(65+MOD(QUOTIENT(COUNTA($B$2:B37)-27,26),26))&amp;CHAR(65+MOD(COUNTA($B$2:B37)-1,26)))),"")</f>
        <v>AJ</v>
      </c>
      <c r="B37" s="97" t="s">
        <v>621</v>
      </c>
      <c r="C37" s="98">
        <v>2</v>
      </c>
      <c r="D37" s="97">
        <v>590</v>
      </c>
      <c r="E37" s="97">
        <v>1.9E-2</v>
      </c>
      <c r="F37" s="97">
        <v>0</v>
      </c>
      <c r="G37" s="97"/>
      <c r="H37" s="98" t="s">
        <v>615</v>
      </c>
      <c r="I37" s="94" t="s">
        <v>10</v>
      </c>
      <c r="J37"/>
      <c r="K37"/>
      <c r="L37"/>
      <c r="M37"/>
      <c r="N37" s="97"/>
    </row>
    <row r="38" spans="1:14" x14ac:dyDescent="0.3">
      <c r="A38" s="99" t="str">
        <f>IF(B38&lt;&gt;"",IF(COUNTA($B$2:B38)&lt;=26,CHAR(64+COUNTA($B$2:B38)),IF(COUNTA($B$2:B38)&lt;=702,CHAR(64+QUOTIENT(COUNTA($B$2:B38)-1,26))&amp;CHAR(65+MOD(COUNTA($B$2:B38)-1,26)),CHAR(64+QUOTIENT(COUNTA($B$2:B38)-27,676))&amp;CHAR(65+MOD(QUOTIENT(COUNTA($B$2:B38)-27,26),26))&amp;CHAR(65+MOD(COUNTA($B$2:B38)-1,26)))),"")</f>
        <v>AK</v>
      </c>
      <c r="B38" s="97" t="s">
        <v>622</v>
      </c>
      <c r="C38" s="98">
        <v>2</v>
      </c>
      <c r="D38" s="97">
        <v>250</v>
      </c>
      <c r="E38" s="97">
        <v>1.9E-2</v>
      </c>
      <c r="F38" s="97">
        <v>0</v>
      </c>
      <c r="G38" s="97"/>
      <c r="H38" s="98" t="s">
        <v>615</v>
      </c>
      <c r="I38" s="94" t="s">
        <v>10</v>
      </c>
      <c r="J38"/>
      <c r="K38"/>
      <c r="L38"/>
      <c r="M38"/>
      <c r="N38" s="97"/>
    </row>
    <row r="39" spans="1:14" x14ac:dyDescent="0.3">
      <c r="A39" s="99" t="str">
        <f>IF(B39&lt;&gt;"",IF(COUNTA($B$2:B39)&lt;=26,CHAR(64+COUNTA($B$2:B39)),IF(COUNTA($B$2:B39)&lt;=702,CHAR(64+QUOTIENT(COUNTA($B$2:B39)-1,26))&amp;CHAR(65+MOD(COUNTA($B$2:B39)-1,26)),CHAR(64+QUOTIENT(COUNTA($B$2:B39)-27,676))&amp;CHAR(65+MOD(QUOTIENT(COUNTA($B$2:B39)-27,26),26))&amp;CHAR(65+MOD(COUNTA($B$2:B39)-1,26)))),"")</f>
        <v>AL</v>
      </c>
      <c r="B39" s="97" t="s">
        <v>623</v>
      </c>
      <c r="C39" s="98">
        <v>4</v>
      </c>
      <c r="D39" s="97">
        <v>570</v>
      </c>
      <c r="E39" s="97">
        <v>1.9E-2</v>
      </c>
      <c r="F39" s="97">
        <v>0</v>
      </c>
      <c r="G39" s="97"/>
      <c r="H39" s="98" t="s">
        <v>615</v>
      </c>
      <c r="I39" s="94" t="s">
        <v>10</v>
      </c>
      <c r="J39"/>
      <c r="K39"/>
      <c r="L39"/>
      <c r="M39"/>
      <c r="N39" s="97"/>
    </row>
    <row r="40" spans="1:14" x14ac:dyDescent="0.3">
      <c r="A40" s="99" t="str">
        <f>IF(B40&lt;&gt;"",IF(COUNTA($B$2:B40)&lt;=26,CHAR(64+COUNTA($B$2:B40)),IF(COUNTA($B$2:B40)&lt;=702,CHAR(64+QUOTIENT(COUNTA($B$2:B40)-1,26))&amp;CHAR(65+MOD(COUNTA($B$2:B40)-1,26)),CHAR(64+QUOTIENT(COUNTA($B$2:B40)-27,676))&amp;CHAR(65+MOD(QUOTIENT(COUNTA($B$2:B40)-27,26),26))&amp;CHAR(65+MOD(COUNTA($B$2:B40)-1,26)))),"")</f>
        <v>AM</v>
      </c>
      <c r="B40" s="97" t="s">
        <v>624</v>
      </c>
      <c r="C40" s="98">
        <v>2</v>
      </c>
      <c r="D40" s="97">
        <v>250</v>
      </c>
      <c r="E40" s="97">
        <v>1.9E-2</v>
      </c>
      <c r="F40" s="97">
        <v>0</v>
      </c>
      <c r="G40" s="97"/>
      <c r="H40" s="98" t="s">
        <v>615</v>
      </c>
      <c r="I40" s="94" t="s">
        <v>10</v>
      </c>
      <c r="J40"/>
      <c r="K40"/>
      <c r="L40"/>
      <c r="M40"/>
      <c r="N40" s="97"/>
    </row>
    <row r="41" spans="1:14" x14ac:dyDescent="0.3">
      <c r="A41" s="99" t="str">
        <f>IF(B41&lt;&gt;"",IF(COUNTA($B$2:B41)&lt;=26,CHAR(64+COUNTA($B$2:B41)),IF(COUNTA($B$2:B41)&lt;=702,CHAR(64+QUOTIENT(COUNTA($B$2:B41)-1,26))&amp;CHAR(65+MOD(COUNTA($B$2:B41)-1,26)),CHAR(64+QUOTIENT(COUNTA($B$2:B41)-27,676))&amp;CHAR(65+MOD(QUOTIENT(COUNTA($B$2:B41)-27,26),26))&amp;CHAR(65+MOD(COUNTA($B$2:B41)-1,26)))),"")</f>
        <v>AN</v>
      </c>
      <c r="B41" s="97" t="s">
        <v>625</v>
      </c>
      <c r="C41" s="98">
        <v>1</v>
      </c>
      <c r="D41" s="97">
        <v>1000</v>
      </c>
      <c r="E41" s="97">
        <v>1.9E-2</v>
      </c>
      <c r="F41" s="97">
        <v>0</v>
      </c>
      <c r="G41" s="97"/>
      <c r="H41" s="98" t="s">
        <v>615</v>
      </c>
      <c r="I41" s="94" t="s">
        <v>10</v>
      </c>
      <c r="J41"/>
      <c r="K41"/>
      <c r="L41"/>
      <c r="M41"/>
      <c r="N41" s="97"/>
    </row>
    <row r="42" spans="1:14" x14ac:dyDescent="0.3">
      <c r="A42" s="99" t="str">
        <f>IF(B42&lt;&gt;"",IF(COUNTA($B$2:B42)&lt;=26,CHAR(64+COUNTA($B$2:B42)),IF(COUNTA($B$2:B42)&lt;=702,CHAR(64+QUOTIENT(COUNTA($B$2:B42)-1,26))&amp;CHAR(65+MOD(COUNTA($B$2:B42)-1,26)),CHAR(64+QUOTIENT(COUNTA($B$2:B42)-27,676))&amp;CHAR(65+MOD(QUOTIENT(COUNTA($B$2:B42)-27,26),26))&amp;CHAR(65+MOD(COUNTA($B$2:B42)-1,26)))),"")</f>
        <v/>
      </c>
      <c r="B42" s="97"/>
      <c r="C42" s="98"/>
      <c r="D42" s="97"/>
      <c r="E42" s="97"/>
      <c r="F42" s="97"/>
      <c r="G42" s="97"/>
      <c r="H42" s="98"/>
      <c r="I42" s="97"/>
      <c r="N42" s="97"/>
    </row>
    <row r="43" spans="1:14" x14ac:dyDescent="0.3">
      <c r="A43" s="99" t="str">
        <f>IF(B43&lt;&gt;"",IF(COUNTA($B$2:B43)&lt;=26,CHAR(64+COUNTA($B$2:B43)),IF(COUNTA($B$2:B43)&lt;=702,CHAR(64+QUOTIENT(COUNTA($B$2:B43)-1,26))&amp;CHAR(65+MOD(COUNTA($B$2:B43)-1,26)),CHAR(64+QUOTIENT(COUNTA($B$2:B43)-27,676))&amp;CHAR(65+MOD(QUOTIENT(COUNTA($B$2:B43)-27,26),26))&amp;CHAR(65+MOD(COUNTA($B$2:B43)-1,26)))),"")</f>
        <v/>
      </c>
      <c r="B43" s="97"/>
      <c r="C43" s="98"/>
      <c r="D43" s="97"/>
      <c r="E43" s="97"/>
      <c r="F43" s="97"/>
      <c r="G43" s="97"/>
      <c r="H43" s="98"/>
      <c r="I43" s="97"/>
      <c r="N43" s="97"/>
    </row>
    <row r="44" spans="1:14" x14ac:dyDescent="0.3">
      <c r="A44" s="99" t="str">
        <f>IF(B44&lt;&gt;"",IF(COUNTA($B$2:B44)&lt;=26,CHAR(64+COUNTA($B$2:B44)),IF(COUNTA($B$2:B44)&lt;=702,CHAR(64+QUOTIENT(COUNTA($B$2:B44)-1,26))&amp;CHAR(65+MOD(COUNTA($B$2:B44)-1,26)),CHAR(64+QUOTIENT(COUNTA($B$2:B44)-27,676))&amp;CHAR(65+MOD(QUOTIENT(COUNTA($B$2:B44)-27,26),26))&amp;CHAR(65+MOD(COUNTA($B$2:B44)-1,26)))),"")</f>
        <v/>
      </c>
      <c r="B44" s="97"/>
      <c r="C44" s="98"/>
      <c r="D44" s="97"/>
      <c r="E44" s="97"/>
      <c r="F44" s="97"/>
      <c r="G44" s="97"/>
      <c r="H44" s="98"/>
      <c r="I44" s="97"/>
      <c r="N44" s="97"/>
    </row>
    <row r="45" spans="1:14" x14ac:dyDescent="0.3">
      <c r="A45" s="99" t="str">
        <f>IF(B45&lt;&gt;"",IF(COUNTA($B$2:B45)&lt;=26,CHAR(64+COUNTA($B$2:B45)),IF(COUNTA($B$2:B45)&lt;=702,CHAR(64+QUOTIENT(COUNTA($B$2:B45)-1,26))&amp;CHAR(65+MOD(COUNTA($B$2:B45)-1,26)),CHAR(64+QUOTIENT(COUNTA($B$2:B45)-27,676))&amp;CHAR(65+MOD(QUOTIENT(COUNTA($B$2:B45)-27,26),26))&amp;CHAR(65+MOD(COUNTA($B$2:B45)-1,26)))),"")</f>
        <v/>
      </c>
      <c r="B45" s="97"/>
      <c r="C45" s="98"/>
      <c r="D45" s="97"/>
      <c r="E45" s="97"/>
      <c r="F45" s="97"/>
      <c r="G45" s="97"/>
      <c r="H45" s="98"/>
      <c r="I45" s="97"/>
      <c r="N45" s="97"/>
    </row>
    <row r="46" spans="1:14" x14ac:dyDescent="0.3">
      <c r="A46" s="99" t="str">
        <f>IF(B46&lt;&gt;"",IF(COUNTA($B$2:B46)&lt;=26,CHAR(64+COUNTA($B$2:B46)),IF(COUNTA($B$2:B46)&lt;=702,CHAR(64+QUOTIENT(COUNTA($B$2:B46)-1,26))&amp;CHAR(65+MOD(COUNTA($B$2:B46)-1,26)),CHAR(64+QUOTIENT(COUNTA($B$2:B46)-27,676))&amp;CHAR(65+MOD(QUOTIENT(COUNTA($B$2:B46)-27,26),26))&amp;CHAR(65+MOD(COUNTA($B$2:B46)-1,26)))),"")</f>
        <v/>
      </c>
      <c r="B46" s="97"/>
      <c r="C46" s="98"/>
      <c r="D46" s="97"/>
      <c r="E46" s="97"/>
      <c r="F46" s="97"/>
      <c r="G46" s="97"/>
      <c r="H46" s="98"/>
      <c r="I46" s="97"/>
      <c r="N46" s="97"/>
    </row>
    <row r="47" spans="1:14" x14ac:dyDescent="0.3">
      <c r="A47" s="99" t="str">
        <f>IF(B47&lt;&gt;"",IF(COUNTA($B$2:B47)&lt;=26,CHAR(64+COUNTA($B$2:B47)),IF(COUNTA($B$2:B47)&lt;=702,CHAR(64+QUOTIENT(COUNTA($B$2:B47)-1,26))&amp;CHAR(65+MOD(COUNTA($B$2:B47)-1,26)),CHAR(64+QUOTIENT(COUNTA($B$2:B47)-27,676))&amp;CHAR(65+MOD(QUOTIENT(COUNTA($B$2:B47)-27,26),26))&amp;CHAR(65+MOD(COUNTA($B$2:B47)-1,26)))),"")</f>
        <v/>
      </c>
      <c r="B47" s="97"/>
      <c r="C47" s="98"/>
      <c r="D47" s="97"/>
      <c r="E47" s="97"/>
      <c r="F47" s="97"/>
      <c r="G47" s="97"/>
      <c r="H47" s="98"/>
      <c r="I47" s="97"/>
      <c r="N47" s="97"/>
    </row>
    <row r="48" spans="1:14" x14ac:dyDescent="0.3">
      <c r="A48" s="99" t="str">
        <f>IF(B48&lt;&gt;"",IF(COUNTA($B$2:B48)&lt;=26,CHAR(64+COUNTA($B$2:B48)),IF(COUNTA($B$2:B48)&lt;=702,CHAR(64+QUOTIENT(COUNTA($B$2:B48)-1,26))&amp;CHAR(65+MOD(COUNTA($B$2:B48)-1,26)),CHAR(64+QUOTIENT(COUNTA($B$2:B48)-27,676))&amp;CHAR(65+MOD(QUOTIENT(COUNTA($B$2:B48)-27,26),26))&amp;CHAR(65+MOD(COUNTA($B$2:B48)-1,26)))),"")</f>
        <v/>
      </c>
      <c r="B48" s="97"/>
      <c r="C48" s="98"/>
      <c r="D48" s="97"/>
      <c r="E48" s="97"/>
      <c r="F48" s="97"/>
      <c r="G48" s="97"/>
      <c r="H48" s="98"/>
      <c r="I48" s="97"/>
      <c r="N48" s="97"/>
    </row>
    <row r="49" spans="1:14" x14ac:dyDescent="0.3">
      <c r="A49" s="99" t="str">
        <f>IF(B49&lt;&gt;"",IF(COUNTA($B$2:B49)&lt;=26,CHAR(64+COUNTA($B$2:B49)),IF(COUNTA($B$2:B49)&lt;=702,CHAR(64+QUOTIENT(COUNTA($B$2:B49)-1,26))&amp;CHAR(65+MOD(COUNTA($B$2:B49)-1,26)),CHAR(64+QUOTIENT(COUNTA($B$2:B49)-27,676))&amp;CHAR(65+MOD(QUOTIENT(COUNTA($B$2:B49)-27,26),26))&amp;CHAR(65+MOD(COUNTA($B$2:B49)-1,26)))),"")</f>
        <v/>
      </c>
      <c r="B49" s="97"/>
      <c r="C49" s="98"/>
      <c r="D49" s="97"/>
      <c r="E49" s="97"/>
      <c r="F49" s="97"/>
      <c r="G49" s="97"/>
      <c r="H49" s="98"/>
      <c r="I49" s="97"/>
      <c r="N49" s="97"/>
    </row>
    <row r="50" spans="1:14" x14ac:dyDescent="0.3">
      <c r="A50" s="99" t="str">
        <f>IF(B50&lt;&gt;"",IF(COUNTA($B$2:B50)&lt;=26,CHAR(64+COUNTA($B$2:B50)),IF(COUNTA($B$2:B50)&lt;=702,CHAR(64+QUOTIENT(COUNTA($B$2:B50)-1,26))&amp;CHAR(65+MOD(COUNTA($B$2:B50)-1,26)),CHAR(64+QUOTIENT(COUNTA($B$2:B50)-27,676))&amp;CHAR(65+MOD(QUOTIENT(COUNTA($B$2:B50)-27,26),26))&amp;CHAR(65+MOD(COUNTA($B$2:B50)-1,26)))),"")</f>
        <v/>
      </c>
      <c r="B50" s="97"/>
      <c r="C50" s="98"/>
      <c r="D50" s="97"/>
      <c r="E50" s="97"/>
      <c r="F50" s="97"/>
      <c r="G50" s="97"/>
      <c r="H50" s="98"/>
      <c r="I50" s="97"/>
      <c r="N50" s="97"/>
    </row>
    <row r="51" spans="1:14" x14ac:dyDescent="0.3">
      <c r="A51" s="99" t="str">
        <f>IF(B51&lt;&gt;"",IF(COUNTA($B$2:B51)&lt;=26,CHAR(64+COUNTA($B$2:B51)),IF(COUNTA($B$2:B51)&lt;=702,CHAR(64+QUOTIENT(COUNTA($B$2:B51)-1,26))&amp;CHAR(65+MOD(COUNTA($B$2:B51)-1,26)),CHAR(64+QUOTIENT(COUNTA($B$2:B51)-27,676))&amp;CHAR(65+MOD(QUOTIENT(COUNTA($B$2:B51)-27,26),26))&amp;CHAR(65+MOD(COUNTA($B$2:B51)-1,26)))),"")</f>
        <v/>
      </c>
      <c r="B51" s="97"/>
      <c r="C51" s="98"/>
      <c r="D51" s="97"/>
      <c r="E51" s="97"/>
      <c r="F51" s="97"/>
      <c r="G51" s="97"/>
      <c r="H51" s="98"/>
      <c r="I51" s="97"/>
      <c r="N51" s="97"/>
    </row>
    <row r="52" spans="1:14" x14ac:dyDescent="0.3">
      <c r="A52" s="99" t="str">
        <f>IF(B52&lt;&gt;"",IF(COUNTA($B$2:B52)&lt;=26,CHAR(64+COUNTA($B$2:B52)),IF(COUNTA($B$2:B52)&lt;=702,CHAR(64+QUOTIENT(COUNTA($B$2:B52)-1,26))&amp;CHAR(65+MOD(COUNTA($B$2:B52)-1,26)),CHAR(64+QUOTIENT(COUNTA($B$2:B52)-27,676))&amp;CHAR(65+MOD(QUOTIENT(COUNTA($B$2:B52)-27,26),26))&amp;CHAR(65+MOD(COUNTA($B$2:B52)-1,26)))),"")</f>
        <v/>
      </c>
      <c r="B52" s="97"/>
      <c r="C52" s="98"/>
      <c r="D52" s="97"/>
      <c r="E52" s="97"/>
      <c r="F52" s="97"/>
      <c r="G52" s="97"/>
      <c r="H52" s="98"/>
      <c r="I52" s="97"/>
      <c r="N52" s="97"/>
    </row>
    <row r="53" spans="1:14" x14ac:dyDescent="0.3">
      <c r="A53" s="99" t="str">
        <f>IF(B53&lt;&gt;"",IF(COUNTA($B$2:B53)&lt;=26,CHAR(64+COUNTA($B$2:B53)),IF(COUNTA($B$2:B53)&lt;=702,CHAR(64+QUOTIENT(COUNTA($B$2:B53)-1,26))&amp;CHAR(65+MOD(COUNTA($B$2:B53)-1,26)),CHAR(64+QUOTIENT(COUNTA($B$2:B53)-27,676))&amp;CHAR(65+MOD(QUOTIENT(COUNTA($B$2:B53)-27,26),26))&amp;CHAR(65+MOD(COUNTA($B$2:B53)-1,26)))),"")</f>
        <v/>
      </c>
      <c r="B53" s="97"/>
      <c r="C53" s="98"/>
      <c r="D53" s="97"/>
      <c r="E53" s="97"/>
      <c r="F53" s="97"/>
      <c r="G53" s="97"/>
      <c r="H53" s="98"/>
      <c r="I53" s="97"/>
      <c r="N53" s="97"/>
    </row>
    <row r="54" spans="1:14" x14ac:dyDescent="0.3">
      <c r="A54" s="99" t="str">
        <f>IF(B54&lt;&gt;"",IF(COUNTA($B$2:B54)&lt;=26,CHAR(64+COUNTA($B$2:B54)),IF(COUNTA($B$2:B54)&lt;=702,CHAR(64+QUOTIENT(COUNTA($B$2:B54)-1,26))&amp;CHAR(65+MOD(COUNTA($B$2:B54)-1,26)),CHAR(64+QUOTIENT(COUNTA($B$2:B54)-27,676))&amp;CHAR(65+MOD(QUOTIENT(COUNTA($B$2:B54)-27,26),26))&amp;CHAR(65+MOD(COUNTA($B$2:B54)-1,26)))),"")</f>
        <v/>
      </c>
      <c r="B54" s="97"/>
      <c r="C54" s="98"/>
      <c r="D54" s="97"/>
      <c r="E54" s="97"/>
      <c r="F54" s="97"/>
      <c r="G54" s="97"/>
      <c r="H54" s="98"/>
      <c r="I54" s="97"/>
      <c r="N54" s="97"/>
    </row>
    <row r="55" spans="1:14" x14ac:dyDescent="0.3">
      <c r="A55" s="99" t="str">
        <f>IF(B55&lt;&gt;"",IF(COUNTA($B$2:B55)&lt;=26,CHAR(64+COUNTA($B$2:B55)),IF(COUNTA($B$2:B55)&lt;=702,CHAR(64+QUOTIENT(COUNTA($B$2:B55)-1,26))&amp;CHAR(65+MOD(COUNTA($B$2:B55)-1,26)),CHAR(64+QUOTIENT(COUNTA($B$2:B55)-27,676))&amp;CHAR(65+MOD(QUOTIENT(COUNTA($B$2:B55)-27,26),26))&amp;CHAR(65+MOD(COUNTA($B$2:B55)-1,26)))),"")</f>
        <v/>
      </c>
      <c r="B55" s="97"/>
      <c r="C55" s="98"/>
      <c r="D55" s="97"/>
      <c r="E55" s="97"/>
      <c r="F55" s="97"/>
      <c r="G55" s="97"/>
      <c r="H55" s="98"/>
      <c r="I55" s="97"/>
      <c r="N55" s="97"/>
    </row>
    <row r="56" spans="1:14" x14ac:dyDescent="0.3">
      <c r="A56" s="99" t="str">
        <f>IF(B56&lt;&gt;"",IF(COUNTA($B$2:B56)&lt;=26,CHAR(64+COUNTA($B$2:B56)),IF(COUNTA($B$2:B56)&lt;=702,CHAR(64+QUOTIENT(COUNTA($B$2:B56)-1,26))&amp;CHAR(65+MOD(COUNTA($B$2:B56)-1,26)),CHAR(64+QUOTIENT(COUNTA($B$2:B56)-27,676))&amp;CHAR(65+MOD(QUOTIENT(COUNTA($B$2:B56)-27,26),26))&amp;CHAR(65+MOD(COUNTA($B$2:B56)-1,26)))),"")</f>
        <v/>
      </c>
      <c r="B56" s="97"/>
      <c r="C56" s="98"/>
      <c r="D56" s="97"/>
      <c r="E56" s="97"/>
      <c r="F56" s="97"/>
      <c r="G56" s="97"/>
      <c r="H56" s="98"/>
      <c r="I56" s="97"/>
      <c r="N56" s="97"/>
    </row>
    <row r="57" spans="1:14" x14ac:dyDescent="0.3">
      <c r="A57" s="99" t="str">
        <f>IF(B57&lt;&gt;"",IF(COUNTA($B$2:B57)&lt;=26,CHAR(64+COUNTA($B$2:B57)),IF(COUNTA($B$2:B57)&lt;=702,CHAR(64+QUOTIENT(COUNTA($B$2:B57)-1,26))&amp;CHAR(65+MOD(COUNTA($B$2:B57)-1,26)),CHAR(64+QUOTIENT(COUNTA($B$2:B57)-27,676))&amp;CHAR(65+MOD(QUOTIENT(COUNTA($B$2:B57)-27,26),26))&amp;CHAR(65+MOD(COUNTA($B$2:B57)-1,26)))),"")</f>
        <v/>
      </c>
      <c r="B57" s="97"/>
      <c r="C57" s="98"/>
      <c r="D57" s="97"/>
      <c r="E57" s="97"/>
      <c r="F57" s="97"/>
      <c r="G57" s="97"/>
      <c r="H57" s="98"/>
      <c r="I57" s="97"/>
      <c r="N57" s="97"/>
    </row>
    <row r="58" spans="1:14" x14ac:dyDescent="0.3">
      <c r="A58" s="99" t="str">
        <f>IF(B58&lt;&gt;"",IF(COUNTA($B$2:B58)&lt;=26,CHAR(64+COUNTA($B$2:B58)),IF(COUNTA($B$2:B58)&lt;=702,CHAR(64+QUOTIENT(COUNTA($B$2:B58)-1,26))&amp;CHAR(65+MOD(COUNTA($B$2:B58)-1,26)),CHAR(64+QUOTIENT(COUNTA($B$2:B58)-27,676))&amp;CHAR(65+MOD(QUOTIENT(COUNTA($B$2:B58)-27,26),26))&amp;CHAR(65+MOD(COUNTA($B$2:B58)-1,26)))),"")</f>
        <v/>
      </c>
      <c r="B58" s="97"/>
      <c r="C58" s="98"/>
      <c r="D58" s="97"/>
      <c r="E58" s="97"/>
      <c r="F58" s="97"/>
      <c r="G58" s="97"/>
      <c r="H58" s="98"/>
      <c r="I58" s="97"/>
      <c r="N58" s="97"/>
    </row>
    <row r="59" spans="1:14" x14ac:dyDescent="0.3">
      <c r="A59" s="99" t="str">
        <f>IF(B59&lt;&gt;"",IF(COUNTA($B$2:B59)&lt;=26,CHAR(64+COUNTA($B$2:B59)),IF(COUNTA($B$2:B59)&lt;=702,CHAR(64+QUOTIENT(COUNTA($B$2:B59)-1,26))&amp;CHAR(65+MOD(COUNTA($B$2:B59)-1,26)),CHAR(64+QUOTIENT(COUNTA($B$2:B59)-27,676))&amp;CHAR(65+MOD(QUOTIENT(COUNTA($B$2:B59)-27,26),26))&amp;CHAR(65+MOD(COUNTA($B$2:B59)-1,26)))),"")</f>
        <v/>
      </c>
      <c r="B59" s="97"/>
      <c r="C59" s="98"/>
      <c r="D59" s="97"/>
      <c r="E59" s="97"/>
      <c r="F59" s="97"/>
      <c r="G59" s="97"/>
      <c r="H59" s="98"/>
      <c r="I59" s="97"/>
      <c r="N59" s="97"/>
    </row>
    <row r="60" spans="1:14" x14ac:dyDescent="0.3">
      <c r="A60" s="99" t="str">
        <f>IF(B60&lt;&gt;"",IF(COUNTA($B$2:B60)&lt;=26,CHAR(64+COUNTA($B$2:B60)),IF(COUNTA($B$2:B60)&lt;=702,CHAR(64+QUOTIENT(COUNTA($B$2:B60)-1,26))&amp;CHAR(65+MOD(COUNTA($B$2:B60)-1,26)),CHAR(64+QUOTIENT(COUNTA($B$2:B60)-27,676))&amp;CHAR(65+MOD(QUOTIENT(COUNTA($B$2:B60)-27,26),26))&amp;CHAR(65+MOD(COUNTA($B$2:B60)-1,26)))),"")</f>
        <v/>
      </c>
      <c r="B60" s="97"/>
      <c r="C60" s="98"/>
      <c r="D60" s="97"/>
      <c r="E60" s="97"/>
      <c r="F60" s="97"/>
      <c r="G60" s="97"/>
      <c r="H60" s="98"/>
      <c r="I60" s="97"/>
      <c r="N60" s="97"/>
    </row>
    <row r="61" spans="1:14" x14ac:dyDescent="0.3">
      <c r="A61" s="99" t="str">
        <f>IF(B61&lt;&gt;"",IF(COUNTA($B$2:B61)&lt;=26,CHAR(64+COUNTA($B$2:B61)),IF(COUNTA($B$2:B61)&lt;=702,CHAR(64+QUOTIENT(COUNTA($B$2:B61)-1,26))&amp;CHAR(65+MOD(COUNTA($B$2:B61)-1,26)),CHAR(64+QUOTIENT(COUNTA($B$2:B61)-27,676))&amp;CHAR(65+MOD(QUOTIENT(COUNTA($B$2:B61)-27,26),26))&amp;CHAR(65+MOD(COUNTA($B$2:B61)-1,26)))),"")</f>
        <v/>
      </c>
      <c r="B61" s="97"/>
      <c r="C61" s="98"/>
      <c r="D61" s="97"/>
      <c r="E61" s="97"/>
      <c r="F61" s="97"/>
      <c r="G61" s="97"/>
      <c r="H61" s="98"/>
      <c r="I61" s="97"/>
      <c r="N61" s="97"/>
    </row>
    <row r="62" spans="1:14" x14ac:dyDescent="0.3">
      <c r="A62" s="99" t="str">
        <f>IF(B62&lt;&gt;"",IF(COUNTA($B$2:B62)&lt;=26,CHAR(64+COUNTA($B$2:B62)),IF(COUNTA($B$2:B62)&lt;=702,CHAR(64+QUOTIENT(COUNTA($B$2:B62)-1,26))&amp;CHAR(65+MOD(COUNTA($B$2:B62)-1,26)),CHAR(64+QUOTIENT(COUNTA($B$2:B62)-27,676))&amp;CHAR(65+MOD(QUOTIENT(COUNTA($B$2:B62)-27,26),26))&amp;CHAR(65+MOD(COUNTA($B$2:B62)-1,26)))),"")</f>
        <v/>
      </c>
      <c r="B62" s="97"/>
      <c r="C62" s="98"/>
      <c r="D62" s="97"/>
      <c r="E62" s="97"/>
      <c r="F62" s="97"/>
      <c r="G62" s="97"/>
      <c r="H62" s="98"/>
      <c r="I62" s="97"/>
      <c r="N62" s="97"/>
    </row>
    <row r="63" spans="1:14" x14ac:dyDescent="0.3">
      <c r="A63" s="99" t="str">
        <f>IF(B63&lt;&gt;"",IF(COUNTA($B$2:B63)&lt;=26,CHAR(64+COUNTA($B$2:B63)),IF(COUNTA($B$2:B63)&lt;=702,CHAR(64+QUOTIENT(COUNTA($B$2:B63)-1,26))&amp;CHAR(65+MOD(COUNTA($B$2:B63)-1,26)),CHAR(64+QUOTIENT(COUNTA($B$2:B63)-27,676))&amp;CHAR(65+MOD(QUOTIENT(COUNTA($B$2:B63)-27,26),26))&amp;CHAR(65+MOD(COUNTA($B$2:B63)-1,26)))),"")</f>
        <v/>
      </c>
      <c r="B63" s="97"/>
      <c r="C63" s="98"/>
      <c r="D63" s="97"/>
      <c r="E63" s="97"/>
      <c r="F63" s="97"/>
      <c r="G63" s="97"/>
      <c r="H63" s="98"/>
      <c r="I63" s="97"/>
      <c r="N63" s="97"/>
    </row>
    <row r="64" spans="1:14" x14ac:dyDescent="0.3">
      <c r="A64" s="99" t="str">
        <f>IF(B64&lt;&gt;"",IF(COUNTA($B$2:B64)&lt;=26,CHAR(64+COUNTA($B$2:B64)),IF(COUNTA($B$2:B64)&lt;=702,CHAR(64+QUOTIENT(COUNTA($B$2:B64)-1,26))&amp;CHAR(65+MOD(COUNTA($B$2:B64)-1,26)),CHAR(64+QUOTIENT(COUNTA($B$2:B64)-27,676))&amp;CHAR(65+MOD(QUOTIENT(COUNTA($B$2:B64)-27,26),26))&amp;CHAR(65+MOD(COUNTA($B$2:B64)-1,26)))),"")</f>
        <v/>
      </c>
      <c r="B64" s="97"/>
      <c r="C64" s="98"/>
      <c r="D64" s="97"/>
      <c r="E64" s="97"/>
      <c r="F64" s="97"/>
      <c r="G64" s="97"/>
      <c r="H64" s="98"/>
      <c r="I64" s="97"/>
      <c r="N64" s="97"/>
    </row>
    <row r="65" spans="1:14" x14ac:dyDescent="0.3">
      <c r="A65" s="99" t="str">
        <f>IF(B65&lt;&gt;"",IF(COUNTA($B$2:B65)&lt;=26,CHAR(64+COUNTA($B$2:B65)),IF(COUNTA($B$2:B65)&lt;=702,CHAR(64+QUOTIENT(COUNTA($B$2:B65)-1,26))&amp;CHAR(65+MOD(COUNTA($B$2:B65)-1,26)),CHAR(64+QUOTIENT(COUNTA($B$2:B65)-27,676))&amp;CHAR(65+MOD(QUOTIENT(COUNTA($B$2:B65)-27,26),26))&amp;CHAR(65+MOD(COUNTA($B$2:B65)-1,26)))),"")</f>
        <v/>
      </c>
      <c r="B65" s="97"/>
      <c r="C65" s="98"/>
      <c r="D65" s="97"/>
      <c r="E65" s="97"/>
      <c r="F65" s="97"/>
      <c r="G65" s="97"/>
      <c r="H65" s="98"/>
      <c r="I65" s="97"/>
      <c r="N65" s="97"/>
    </row>
    <row r="66" spans="1:14" x14ac:dyDescent="0.3">
      <c r="A66" s="99" t="str">
        <f>IF(B66&lt;&gt;"",IF(COUNTA($B$2:B66)&lt;=26,CHAR(64+COUNTA($B$2:B66)),IF(COUNTA($B$2:B66)&lt;=702,CHAR(64+QUOTIENT(COUNTA($B$2:B66)-1,26))&amp;CHAR(65+MOD(COUNTA($B$2:B66)-1,26)),CHAR(64+QUOTIENT(COUNTA($B$2:B66)-27,676))&amp;CHAR(65+MOD(QUOTIENT(COUNTA($B$2:B66)-27,26),26))&amp;CHAR(65+MOD(COUNTA($B$2:B66)-1,26)))),"")</f>
        <v/>
      </c>
      <c r="B66" s="97"/>
      <c r="C66" s="98"/>
      <c r="D66" s="97"/>
      <c r="E66" s="97"/>
      <c r="F66" s="97"/>
      <c r="G66" s="97"/>
      <c r="H66" s="98"/>
      <c r="I66" s="97"/>
      <c r="N66" s="97"/>
    </row>
    <row r="67" spans="1:14" x14ac:dyDescent="0.3">
      <c r="A67" s="99" t="str">
        <f>IF(B67&lt;&gt;"",IF(COUNTA($B$2:B67)&lt;=26,CHAR(64+COUNTA($B$2:B67)),IF(COUNTA($B$2:B67)&lt;=702,CHAR(64+QUOTIENT(COUNTA($B$2:B67)-1,26))&amp;CHAR(65+MOD(COUNTA($B$2:B67)-1,26)),CHAR(64+QUOTIENT(COUNTA($B$2:B67)-27,676))&amp;CHAR(65+MOD(QUOTIENT(COUNTA($B$2:B67)-27,26),26))&amp;CHAR(65+MOD(COUNTA($B$2:B67)-1,26)))),"")</f>
        <v/>
      </c>
      <c r="B67" s="97"/>
      <c r="C67" s="98"/>
      <c r="D67" s="97"/>
      <c r="E67" s="97"/>
      <c r="F67" s="97"/>
      <c r="G67" s="97"/>
      <c r="H67" s="98"/>
      <c r="I67" s="97"/>
      <c r="N67" s="97"/>
    </row>
    <row r="68" spans="1:14" x14ac:dyDescent="0.3">
      <c r="A68" s="99" t="str">
        <f>IF(B68&lt;&gt;"",IF(COUNTA($B$2:B68)&lt;=26,CHAR(64+COUNTA($B$2:B68)),IF(COUNTA($B$2:B68)&lt;=702,CHAR(64+QUOTIENT(COUNTA($B$2:B68)-1,26))&amp;CHAR(65+MOD(COUNTA($B$2:B68)-1,26)),CHAR(64+QUOTIENT(COUNTA($B$2:B68)-27,676))&amp;CHAR(65+MOD(QUOTIENT(COUNTA($B$2:B68)-27,26),26))&amp;CHAR(65+MOD(COUNTA($B$2:B68)-1,26)))),"")</f>
        <v/>
      </c>
      <c r="B68" s="97"/>
      <c r="C68" s="98"/>
      <c r="D68" s="97"/>
      <c r="E68" s="97"/>
      <c r="F68" s="97"/>
      <c r="G68" s="97"/>
      <c r="H68" s="98"/>
      <c r="I68" s="97"/>
      <c r="N68" s="97"/>
    </row>
    <row r="69" spans="1:14" x14ac:dyDescent="0.3">
      <c r="A69" s="99" t="str">
        <f>IF(B69&lt;&gt;"",IF(COUNTA($B$2:B69)&lt;=26,CHAR(64+COUNTA($B$2:B69)),IF(COUNTA($B$2:B69)&lt;=702,CHAR(64+QUOTIENT(COUNTA($B$2:B69)-1,26))&amp;CHAR(65+MOD(COUNTA($B$2:B69)-1,26)),CHAR(64+QUOTIENT(COUNTA($B$2:B69)-27,676))&amp;CHAR(65+MOD(QUOTIENT(COUNTA($B$2:B69)-27,26),26))&amp;CHAR(65+MOD(COUNTA($B$2:B69)-1,26)))),"")</f>
        <v/>
      </c>
      <c r="B69" s="97"/>
      <c r="C69" s="98"/>
      <c r="D69" s="97"/>
      <c r="E69" s="97"/>
      <c r="F69" s="97"/>
      <c r="G69" s="97"/>
      <c r="H69" s="98"/>
      <c r="I69" s="97"/>
      <c r="N69" s="97"/>
    </row>
    <row r="70" spans="1:14" x14ac:dyDescent="0.3">
      <c r="A70" s="99" t="str">
        <f>IF(B70&lt;&gt;"",IF(COUNTA($B$2:B70)&lt;=26,CHAR(64+COUNTA($B$2:B70)),IF(COUNTA($B$2:B70)&lt;=702,CHAR(64+QUOTIENT(COUNTA($B$2:B70)-1,26))&amp;CHAR(65+MOD(COUNTA($B$2:B70)-1,26)),CHAR(64+QUOTIENT(COUNTA($B$2:B70)-27,676))&amp;CHAR(65+MOD(QUOTIENT(COUNTA($B$2:B70)-27,26),26))&amp;CHAR(65+MOD(COUNTA($B$2:B70)-1,26)))),"")</f>
        <v/>
      </c>
      <c r="B70" s="97"/>
      <c r="C70" s="98"/>
      <c r="D70" s="97"/>
      <c r="E70" s="97"/>
      <c r="F70" s="97"/>
      <c r="G70" s="97"/>
      <c r="H70" s="98"/>
      <c r="I70" s="97"/>
      <c r="N70" s="97"/>
    </row>
    <row r="71" spans="1:14" x14ac:dyDescent="0.3">
      <c r="A71" s="99" t="str">
        <f>IF(B71&lt;&gt;"",IF(COUNTA($B$2:B71)&lt;=26,CHAR(64+COUNTA($B$2:B71)),IF(COUNTA($B$2:B71)&lt;=702,CHAR(64+QUOTIENT(COUNTA($B$2:B71)-1,26))&amp;CHAR(65+MOD(COUNTA($B$2:B71)-1,26)),CHAR(64+QUOTIENT(COUNTA($B$2:B71)-27,676))&amp;CHAR(65+MOD(QUOTIENT(COUNTA($B$2:B71)-27,26),26))&amp;CHAR(65+MOD(COUNTA($B$2:B71)-1,26)))),"")</f>
        <v/>
      </c>
      <c r="B71" s="97"/>
      <c r="C71" s="98"/>
      <c r="D71" s="97"/>
      <c r="E71" s="97"/>
      <c r="F71" s="97"/>
      <c r="G71" s="97"/>
      <c r="H71" s="98"/>
      <c r="I71" s="97"/>
      <c r="N71" s="97"/>
    </row>
    <row r="72" spans="1:14" x14ac:dyDescent="0.3">
      <c r="A72" s="99" t="str">
        <f>IF(B72&lt;&gt;"",IF(COUNTA($B$2:B72)&lt;=26,CHAR(64+COUNTA($B$2:B72)),IF(COUNTA($B$2:B72)&lt;=702,CHAR(64+QUOTIENT(COUNTA($B$2:B72)-1,26))&amp;CHAR(65+MOD(COUNTA($B$2:B72)-1,26)),CHAR(64+QUOTIENT(COUNTA($B$2:B72)-27,676))&amp;CHAR(65+MOD(QUOTIENT(COUNTA($B$2:B72)-27,26),26))&amp;CHAR(65+MOD(COUNTA($B$2:B72)-1,26)))),"")</f>
        <v/>
      </c>
      <c r="B72" s="97"/>
      <c r="C72" s="98"/>
      <c r="D72" s="97"/>
      <c r="E72" s="97"/>
      <c r="F72" s="97"/>
      <c r="G72" s="97"/>
      <c r="H72" s="98"/>
      <c r="I72" s="97"/>
      <c r="N72" s="97"/>
    </row>
    <row r="73" spans="1:14" x14ac:dyDescent="0.3">
      <c r="A73" s="99" t="str">
        <f>IF(B73&lt;&gt;"",IF(COUNTA($B$2:B73)&lt;=26,CHAR(64+COUNTA($B$2:B73)),IF(COUNTA($B$2:B73)&lt;=702,CHAR(64+QUOTIENT(COUNTA($B$2:B73)-1,26))&amp;CHAR(65+MOD(COUNTA($B$2:B73)-1,26)),CHAR(64+QUOTIENT(COUNTA($B$2:B73)-27,676))&amp;CHAR(65+MOD(QUOTIENT(COUNTA($B$2:B73)-27,26),26))&amp;CHAR(65+MOD(COUNTA($B$2:B73)-1,26)))),"")</f>
        <v/>
      </c>
      <c r="B73" s="97"/>
      <c r="C73" s="98"/>
      <c r="D73" s="97"/>
      <c r="E73" s="97"/>
      <c r="F73" s="97"/>
      <c r="G73" s="97"/>
      <c r="H73" s="98"/>
      <c r="I73" s="97"/>
      <c r="N73" s="97"/>
    </row>
    <row r="74" spans="1:14" x14ac:dyDescent="0.3">
      <c r="A74" s="99" t="str">
        <f>IF(B74&lt;&gt;"",IF(COUNTA($B$2:B74)&lt;=26,CHAR(64+COUNTA($B$2:B74)),IF(COUNTA($B$2:B74)&lt;=702,CHAR(64+QUOTIENT(COUNTA($B$2:B74)-1,26))&amp;CHAR(65+MOD(COUNTA($B$2:B74)-1,26)),CHAR(64+QUOTIENT(COUNTA($B$2:B74)-27,676))&amp;CHAR(65+MOD(QUOTIENT(COUNTA($B$2:B74)-27,26),26))&amp;CHAR(65+MOD(COUNTA($B$2:B74)-1,26)))),"")</f>
        <v/>
      </c>
      <c r="B74" s="97"/>
      <c r="C74" s="98"/>
      <c r="D74" s="97"/>
      <c r="E74" s="97"/>
      <c r="F74" s="97"/>
      <c r="G74" s="97"/>
      <c r="H74" s="98"/>
      <c r="I74" s="97"/>
      <c r="N74" s="97"/>
    </row>
    <row r="75" spans="1:14" x14ac:dyDescent="0.3">
      <c r="A75" s="99" t="str">
        <f>IF(B75&lt;&gt;"",IF(COUNTA($B$2:B75)&lt;=26,CHAR(64+COUNTA($B$2:B75)),IF(COUNTA($B$2:B75)&lt;=702,CHAR(64+QUOTIENT(COUNTA($B$2:B75)-1,26))&amp;CHAR(65+MOD(COUNTA($B$2:B75)-1,26)),CHAR(64+QUOTIENT(COUNTA($B$2:B75)-27,676))&amp;CHAR(65+MOD(QUOTIENT(COUNTA($B$2:B75)-27,26),26))&amp;CHAR(65+MOD(COUNTA($B$2:B75)-1,26)))),"")</f>
        <v/>
      </c>
      <c r="B75" s="97"/>
      <c r="C75" s="98"/>
      <c r="D75" s="97"/>
      <c r="E75" s="97"/>
      <c r="F75" s="97"/>
      <c r="G75" s="97"/>
      <c r="H75" s="98"/>
      <c r="I75" s="97"/>
      <c r="N75" s="97"/>
    </row>
    <row r="76" spans="1:14" x14ac:dyDescent="0.3">
      <c r="A76" s="99" t="str">
        <f>IF(B76&lt;&gt;"",IF(COUNTA($B$2:B76)&lt;=26,CHAR(64+COUNTA($B$2:B76)),IF(COUNTA($B$2:B76)&lt;=702,CHAR(64+QUOTIENT(COUNTA($B$2:B76)-1,26))&amp;CHAR(65+MOD(COUNTA($B$2:B76)-1,26)),CHAR(64+QUOTIENT(COUNTA($B$2:B76)-27,676))&amp;CHAR(65+MOD(QUOTIENT(COUNTA($B$2:B76)-27,26),26))&amp;CHAR(65+MOD(COUNTA($B$2:B76)-1,26)))),"")</f>
        <v/>
      </c>
      <c r="B76" s="97"/>
      <c r="C76" s="98"/>
      <c r="D76" s="97"/>
      <c r="E76" s="97"/>
      <c r="F76" s="97"/>
      <c r="G76" s="97"/>
      <c r="H76" s="98"/>
      <c r="I76" s="97"/>
      <c r="N76" s="97"/>
    </row>
    <row r="77" spans="1:14" x14ac:dyDescent="0.3">
      <c r="A77" s="99" t="str">
        <f>IF(B77&lt;&gt;"",IF(COUNTA($B$2:B77)&lt;=26,CHAR(64+COUNTA($B$2:B77)),IF(COUNTA($B$2:B77)&lt;=702,CHAR(64+QUOTIENT(COUNTA($B$2:B77)-1,26))&amp;CHAR(65+MOD(COUNTA($B$2:B77)-1,26)),CHAR(64+QUOTIENT(COUNTA($B$2:B77)-27,676))&amp;CHAR(65+MOD(QUOTIENT(COUNTA($B$2:B77)-27,26),26))&amp;CHAR(65+MOD(COUNTA($B$2:B77)-1,26)))),"")</f>
        <v/>
      </c>
      <c r="B77" s="97"/>
      <c r="C77" s="98"/>
      <c r="D77" s="97"/>
      <c r="E77" s="97"/>
      <c r="F77" s="97"/>
      <c r="G77" s="97"/>
      <c r="H77" s="98"/>
      <c r="I77" s="97"/>
      <c r="N77" s="97"/>
    </row>
    <row r="78" spans="1:14" x14ac:dyDescent="0.3">
      <c r="A78" s="99" t="str">
        <f>IF(B78&lt;&gt;"",IF(COUNTA($B$2:B78)&lt;=26,CHAR(64+COUNTA($B$2:B78)),IF(COUNTA($B$2:B78)&lt;=702,CHAR(64+QUOTIENT(COUNTA($B$2:B78)-1,26))&amp;CHAR(65+MOD(COUNTA($B$2:B78)-1,26)),CHAR(64+QUOTIENT(COUNTA($B$2:B78)-27,676))&amp;CHAR(65+MOD(QUOTIENT(COUNTA($B$2:B78)-27,26),26))&amp;CHAR(65+MOD(COUNTA($B$2:B78)-1,26)))),"")</f>
        <v/>
      </c>
      <c r="B78" s="97"/>
      <c r="C78" s="98"/>
      <c r="D78" s="97"/>
      <c r="E78" s="97"/>
      <c r="F78" s="97"/>
      <c r="G78" s="97"/>
      <c r="H78" s="98"/>
      <c r="I78" s="97"/>
      <c r="N78" s="97"/>
    </row>
    <row r="79" spans="1:14" x14ac:dyDescent="0.3">
      <c r="A79" s="99" t="str">
        <f>IF(B79&lt;&gt;"",IF(COUNTA($B$2:B79)&lt;=26,CHAR(64+COUNTA($B$2:B79)),IF(COUNTA($B$2:B79)&lt;=702,CHAR(64+QUOTIENT(COUNTA($B$2:B79)-1,26))&amp;CHAR(65+MOD(COUNTA($B$2:B79)-1,26)),CHAR(64+QUOTIENT(COUNTA($B$2:B79)-27,676))&amp;CHAR(65+MOD(QUOTIENT(COUNTA($B$2:B79)-27,26),26))&amp;CHAR(65+MOD(COUNTA($B$2:B79)-1,26)))),"")</f>
        <v/>
      </c>
      <c r="B79" s="97"/>
      <c r="C79" s="98"/>
      <c r="D79" s="97"/>
      <c r="E79" s="97"/>
      <c r="F79" s="97"/>
      <c r="G79" s="97"/>
      <c r="H79" s="98"/>
      <c r="I79" s="97"/>
      <c r="N79" s="97"/>
    </row>
    <row r="80" spans="1:14" x14ac:dyDescent="0.3">
      <c r="A80" s="99" t="str">
        <f>IF(B80&lt;&gt;"",IF(COUNTA($B$2:B80)&lt;=26,CHAR(64+COUNTA($B$2:B80)),IF(COUNTA($B$2:B80)&lt;=702,CHAR(64+QUOTIENT(COUNTA($B$2:B80)-1,26))&amp;CHAR(65+MOD(COUNTA($B$2:B80)-1,26)),CHAR(64+QUOTIENT(COUNTA($B$2:B80)-27,676))&amp;CHAR(65+MOD(QUOTIENT(COUNTA($B$2:B80)-27,26),26))&amp;CHAR(65+MOD(COUNTA($B$2:B80)-1,26)))),"")</f>
        <v/>
      </c>
      <c r="B80" s="97"/>
      <c r="C80" s="98"/>
      <c r="D80" s="97"/>
      <c r="E80" s="97"/>
      <c r="F80" s="97"/>
      <c r="G80" s="97"/>
      <c r="H80" s="98"/>
      <c r="I80" s="97"/>
      <c r="N80" s="97"/>
    </row>
    <row r="81" spans="1:14" x14ac:dyDescent="0.3">
      <c r="A81" s="99" t="str">
        <f>IF(B81&lt;&gt;"",IF(COUNTA($B$2:B81)&lt;=26,CHAR(64+COUNTA($B$2:B81)),IF(COUNTA($B$2:B81)&lt;=702,CHAR(64+QUOTIENT(COUNTA($B$2:B81)-1,26))&amp;CHAR(65+MOD(COUNTA($B$2:B81)-1,26)),CHAR(64+QUOTIENT(COUNTA($B$2:B81)-27,676))&amp;CHAR(65+MOD(QUOTIENT(COUNTA($B$2:B81)-27,26),26))&amp;CHAR(65+MOD(COUNTA($B$2:B81)-1,26)))),"")</f>
        <v/>
      </c>
      <c r="B81" s="97"/>
      <c r="C81" s="98"/>
      <c r="D81" s="97"/>
      <c r="E81" s="97"/>
      <c r="F81" s="97"/>
      <c r="G81" s="97"/>
      <c r="H81" s="98"/>
      <c r="I81" s="97"/>
      <c r="N81" s="97"/>
    </row>
    <row r="82" spans="1:14" x14ac:dyDescent="0.3">
      <c r="A82" s="99" t="str">
        <f>IF(B82&lt;&gt;"",IF(COUNTA($B$2:B82)&lt;=26,CHAR(64+COUNTA($B$2:B82)),IF(COUNTA($B$2:B82)&lt;=702,CHAR(64+QUOTIENT(COUNTA($B$2:B82)-1,26))&amp;CHAR(65+MOD(COUNTA($B$2:B82)-1,26)),CHAR(64+QUOTIENT(COUNTA($B$2:B82)-27,676))&amp;CHAR(65+MOD(QUOTIENT(COUNTA($B$2:B82)-27,26),26))&amp;CHAR(65+MOD(COUNTA($B$2:B82)-1,26)))),"")</f>
        <v/>
      </c>
      <c r="B82" s="97"/>
      <c r="C82" s="98"/>
      <c r="D82" s="97"/>
      <c r="E82" s="97"/>
      <c r="F82" s="97"/>
      <c r="G82" s="97"/>
      <c r="H82" s="98"/>
      <c r="I82" s="97"/>
      <c r="N82" s="97"/>
    </row>
    <row r="83" spans="1:14" x14ac:dyDescent="0.3">
      <c r="A83" s="99" t="str">
        <f>IF(B83&lt;&gt;"",IF(COUNTA($B$2:B83)&lt;=26,CHAR(64+COUNTA($B$2:B83)),IF(COUNTA($B$2:B83)&lt;=702,CHAR(64+QUOTIENT(COUNTA($B$2:B83)-1,26))&amp;CHAR(65+MOD(COUNTA($B$2:B83)-1,26)),CHAR(64+QUOTIENT(COUNTA($B$2:B83)-27,676))&amp;CHAR(65+MOD(QUOTIENT(COUNTA($B$2:B83)-27,26),26))&amp;CHAR(65+MOD(COUNTA($B$2:B83)-1,26)))),"")</f>
        <v/>
      </c>
      <c r="B83" s="97"/>
      <c r="C83" s="98"/>
      <c r="D83" s="97"/>
      <c r="E83" s="97"/>
      <c r="F83" s="97"/>
      <c r="G83" s="97"/>
      <c r="H83" s="98"/>
      <c r="I83" s="97"/>
      <c r="N83" s="97"/>
    </row>
    <row r="84" spans="1:14" x14ac:dyDescent="0.3">
      <c r="A84" s="99" t="str">
        <f>IF(B84&lt;&gt;"",IF(COUNTA($B$2:B84)&lt;=26,CHAR(64+COUNTA($B$2:B84)),IF(COUNTA($B$2:B84)&lt;=702,CHAR(64+QUOTIENT(COUNTA($B$2:B84)-1,26))&amp;CHAR(65+MOD(COUNTA($B$2:B84)-1,26)),CHAR(64+QUOTIENT(COUNTA($B$2:B84)-27,676))&amp;CHAR(65+MOD(QUOTIENT(COUNTA($B$2:B84)-27,26),26))&amp;CHAR(65+MOD(COUNTA($B$2:B84)-1,26)))),"")</f>
        <v/>
      </c>
      <c r="B84" s="97"/>
      <c r="C84" s="98"/>
      <c r="D84" s="97"/>
      <c r="E84" s="97"/>
      <c r="F84" s="97"/>
      <c r="G84" s="97"/>
      <c r="H84" s="98"/>
      <c r="I84" s="97"/>
      <c r="N84" s="97"/>
    </row>
    <row r="85" spans="1:14" x14ac:dyDescent="0.3">
      <c r="A85" s="99" t="str">
        <f>IF(B85&lt;&gt;"",IF(COUNTA($B$2:B85)&lt;=26,CHAR(64+COUNTA($B$2:B85)),IF(COUNTA($B$2:B85)&lt;=702,CHAR(64+QUOTIENT(COUNTA($B$2:B85)-1,26))&amp;CHAR(65+MOD(COUNTA($B$2:B85)-1,26)),CHAR(64+QUOTIENT(COUNTA($B$2:B85)-27,676))&amp;CHAR(65+MOD(QUOTIENT(COUNTA($B$2:B85)-27,26),26))&amp;CHAR(65+MOD(COUNTA($B$2:B85)-1,26)))),"")</f>
        <v/>
      </c>
      <c r="B85" s="97"/>
      <c r="C85" s="98"/>
      <c r="D85" s="97"/>
      <c r="E85" s="97"/>
      <c r="F85" s="97"/>
      <c r="G85" s="97"/>
      <c r="H85" s="98"/>
      <c r="I85" s="97"/>
      <c r="N85" s="97"/>
    </row>
    <row r="86" spans="1:14" x14ac:dyDescent="0.3">
      <c r="A86" s="99" t="str">
        <f>IF(B86&lt;&gt;"",IF(COUNTA($B$2:B86)&lt;=26,CHAR(64+COUNTA($B$2:B86)),IF(COUNTA($B$2:B86)&lt;=702,CHAR(64+QUOTIENT(COUNTA($B$2:B86)-1,26))&amp;CHAR(65+MOD(COUNTA($B$2:B86)-1,26)),CHAR(64+QUOTIENT(COUNTA($B$2:B86)-27,676))&amp;CHAR(65+MOD(QUOTIENT(COUNTA($B$2:B86)-27,26),26))&amp;CHAR(65+MOD(COUNTA($B$2:B86)-1,26)))),"")</f>
        <v/>
      </c>
      <c r="B86" s="97"/>
      <c r="C86" s="98"/>
      <c r="D86" s="97"/>
      <c r="E86" s="97"/>
      <c r="F86" s="97"/>
      <c r="G86" s="97"/>
      <c r="H86" s="98"/>
      <c r="I86" s="97"/>
      <c r="N86" s="97"/>
    </row>
    <row r="87" spans="1:14" x14ac:dyDescent="0.3">
      <c r="A87" s="99" t="str">
        <f>IF(B87&lt;&gt;"",IF(COUNTA($B$2:B87)&lt;=26,CHAR(64+COUNTA($B$2:B87)),IF(COUNTA($B$2:B87)&lt;=702,CHAR(64+QUOTIENT(COUNTA($B$2:B87)-1,26))&amp;CHAR(65+MOD(COUNTA($B$2:B87)-1,26)),CHAR(64+QUOTIENT(COUNTA($B$2:B87)-27,676))&amp;CHAR(65+MOD(QUOTIENT(COUNTA($B$2:B87)-27,26),26))&amp;CHAR(65+MOD(COUNTA($B$2:B87)-1,26)))),"")</f>
        <v/>
      </c>
      <c r="B87" s="97"/>
      <c r="C87" s="98"/>
      <c r="D87" s="97"/>
      <c r="E87" s="97"/>
      <c r="F87" s="97"/>
      <c r="G87" s="97"/>
      <c r="H87" s="98"/>
      <c r="I87" s="97"/>
      <c r="N87" s="97"/>
    </row>
    <row r="88" spans="1:14" x14ac:dyDescent="0.3">
      <c r="A88" s="99" t="str">
        <f>IF(B88&lt;&gt;"",IF(COUNTA($B$2:B88)&lt;=26,CHAR(64+COUNTA($B$2:B88)),IF(COUNTA($B$2:B88)&lt;=702,CHAR(64+QUOTIENT(COUNTA($B$2:B88)-1,26))&amp;CHAR(65+MOD(COUNTA($B$2:B88)-1,26)),CHAR(64+QUOTIENT(COUNTA($B$2:B88)-27,676))&amp;CHAR(65+MOD(QUOTIENT(COUNTA($B$2:B88)-27,26),26))&amp;CHAR(65+MOD(COUNTA($B$2:B88)-1,26)))),"")</f>
        <v/>
      </c>
      <c r="B88" s="97"/>
      <c r="C88" s="98"/>
      <c r="D88" s="97"/>
      <c r="E88" s="97"/>
      <c r="F88" s="97"/>
      <c r="G88" s="97"/>
      <c r="H88" s="98"/>
      <c r="I88" s="97"/>
      <c r="N88" s="97"/>
    </row>
    <row r="89" spans="1:14" x14ac:dyDescent="0.3">
      <c r="A89" s="99" t="str">
        <f>IF(B89&lt;&gt;"",IF(COUNTA($B$2:B89)&lt;=26,CHAR(64+COUNTA($B$2:B89)),IF(COUNTA($B$2:B89)&lt;=702,CHAR(64+QUOTIENT(COUNTA($B$2:B89)-1,26))&amp;CHAR(65+MOD(COUNTA($B$2:B89)-1,26)),CHAR(64+QUOTIENT(COUNTA($B$2:B89)-27,676))&amp;CHAR(65+MOD(QUOTIENT(COUNTA($B$2:B89)-27,26),26))&amp;CHAR(65+MOD(COUNTA($B$2:B89)-1,26)))),"")</f>
        <v/>
      </c>
      <c r="B89" s="97"/>
      <c r="C89" s="98"/>
      <c r="D89" s="97"/>
      <c r="E89" s="97"/>
      <c r="F89" s="97"/>
      <c r="G89" s="97"/>
      <c r="H89" s="98"/>
      <c r="I89" s="97"/>
      <c r="N89" s="97"/>
    </row>
    <row r="90" spans="1:14" x14ac:dyDescent="0.3">
      <c r="A90" s="99" t="str">
        <f>IF(B90&lt;&gt;"",IF(COUNTA($B$2:B90)&lt;=26,CHAR(64+COUNTA($B$2:B90)),IF(COUNTA($B$2:B90)&lt;=702,CHAR(64+QUOTIENT(COUNTA($B$2:B90)-1,26))&amp;CHAR(65+MOD(COUNTA($B$2:B90)-1,26)),CHAR(64+QUOTIENT(COUNTA($B$2:B90)-27,676))&amp;CHAR(65+MOD(QUOTIENT(COUNTA($B$2:B90)-27,26),26))&amp;CHAR(65+MOD(COUNTA($B$2:B90)-1,26)))),"")</f>
        <v/>
      </c>
      <c r="B90" s="97"/>
      <c r="C90" s="98"/>
      <c r="D90" s="97"/>
      <c r="E90" s="97"/>
      <c r="F90" s="97"/>
      <c r="G90" s="97"/>
      <c r="H90" s="98"/>
      <c r="I90" s="97"/>
      <c r="N90" s="97"/>
    </row>
    <row r="91" spans="1:14" x14ac:dyDescent="0.3">
      <c r="A91" s="99" t="str">
        <f>IF(B91&lt;&gt;"",IF(COUNTA($B$2:B91)&lt;=26,CHAR(64+COUNTA($B$2:B91)),IF(COUNTA($B$2:B91)&lt;=702,CHAR(64+QUOTIENT(COUNTA($B$2:B91)-1,26))&amp;CHAR(65+MOD(COUNTA($B$2:B91)-1,26)),CHAR(64+QUOTIENT(COUNTA($B$2:B91)-27,676))&amp;CHAR(65+MOD(QUOTIENT(COUNTA($B$2:B91)-27,26),26))&amp;CHAR(65+MOD(COUNTA($B$2:B91)-1,26)))),"")</f>
        <v/>
      </c>
      <c r="B91" s="97"/>
      <c r="C91" s="98"/>
      <c r="D91" s="97"/>
      <c r="E91" s="97"/>
      <c r="F91" s="97"/>
      <c r="G91" s="97"/>
      <c r="H91" s="98"/>
      <c r="I91" s="97"/>
      <c r="N91" s="97"/>
    </row>
    <row r="92" spans="1:14" x14ac:dyDescent="0.3">
      <c r="A92" s="99" t="str">
        <f>IF(B92&lt;&gt;"",IF(COUNTA($B$2:B92)&lt;=26,CHAR(64+COUNTA($B$2:B92)),IF(COUNTA($B$2:B92)&lt;=702,CHAR(64+QUOTIENT(COUNTA($B$2:B92)-1,26))&amp;CHAR(65+MOD(COUNTA($B$2:B92)-1,26)),CHAR(64+QUOTIENT(COUNTA($B$2:B92)-27,676))&amp;CHAR(65+MOD(QUOTIENT(COUNTA($B$2:B92)-27,26),26))&amp;CHAR(65+MOD(COUNTA($B$2:B92)-1,26)))),"")</f>
        <v/>
      </c>
      <c r="B92" s="97"/>
      <c r="C92" s="98"/>
      <c r="D92" s="97"/>
      <c r="E92" s="97"/>
      <c r="F92" s="97"/>
      <c r="G92" s="97"/>
      <c r="H92" s="98"/>
      <c r="I92" s="97"/>
      <c r="N92" s="97"/>
    </row>
    <row r="93" spans="1:14" x14ac:dyDescent="0.3">
      <c r="A93" s="99" t="str">
        <f>IF(B93&lt;&gt;"",IF(COUNTA($B$2:B93)&lt;=26,CHAR(64+COUNTA($B$2:B93)),IF(COUNTA($B$2:B93)&lt;=702,CHAR(64+QUOTIENT(COUNTA($B$2:B93)-1,26))&amp;CHAR(65+MOD(COUNTA($B$2:B93)-1,26)),CHAR(64+QUOTIENT(COUNTA($B$2:B93)-27,676))&amp;CHAR(65+MOD(QUOTIENT(COUNTA($B$2:B93)-27,26),26))&amp;CHAR(65+MOD(COUNTA($B$2:B93)-1,26)))),"")</f>
        <v/>
      </c>
      <c r="B93" s="97"/>
      <c r="C93" s="98"/>
      <c r="D93" s="97"/>
      <c r="E93" s="97"/>
      <c r="F93" s="97"/>
      <c r="G93" s="97"/>
      <c r="H93" s="98"/>
      <c r="I93" s="97"/>
      <c r="N93" s="97"/>
    </row>
    <row r="94" spans="1:14" x14ac:dyDescent="0.3">
      <c r="A94" s="99" t="str">
        <f>IF(B94&lt;&gt;"",IF(COUNTA($B$2:B94)&lt;=26,CHAR(64+COUNTA($B$2:B94)),IF(COUNTA($B$2:B94)&lt;=702,CHAR(64+QUOTIENT(COUNTA($B$2:B94)-1,26))&amp;CHAR(65+MOD(COUNTA($B$2:B94)-1,26)),CHAR(64+QUOTIENT(COUNTA($B$2:B94)-27,676))&amp;CHAR(65+MOD(QUOTIENT(COUNTA($B$2:B94)-27,26),26))&amp;CHAR(65+MOD(COUNTA($B$2:B94)-1,26)))),"")</f>
        <v/>
      </c>
      <c r="B94" s="97"/>
      <c r="C94" s="98"/>
      <c r="D94" s="97"/>
      <c r="E94" s="97"/>
      <c r="F94" s="97"/>
      <c r="G94" s="97"/>
      <c r="H94" s="98"/>
      <c r="I94" s="97"/>
      <c r="N94" s="97"/>
    </row>
    <row r="95" spans="1:14" x14ac:dyDescent="0.3">
      <c r="A95" s="99" t="str">
        <f>IF(B95&lt;&gt;"",IF(COUNTA($B$2:B95)&lt;=26,CHAR(64+COUNTA($B$2:B95)),IF(COUNTA($B$2:B95)&lt;=702,CHAR(64+QUOTIENT(COUNTA($B$2:B95)-1,26))&amp;CHAR(65+MOD(COUNTA($B$2:B95)-1,26)),CHAR(64+QUOTIENT(COUNTA($B$2:B95)-27,676))&amp;CHAR(65+MOD(QUOTIENT(COUNTA($B$2:B95)-27,26),26))&amp;CHAR(65+MOD(COUNTA($B$2:B95)-1,26)))),"")</f>
        <v/>
      </c>
      <c r="B95" s="97"/>
      <c r="C95" s="98"/>
      <c r="D95" s="97"/>
      <c r="E95" s="97"/>
      <c r="F95" s="97"/>
      <c r="G95" s="97"/>
      <c r="H95" s="98"/>
      <c r="I95" s="97"/>
      <c r="N95" s="97"/>
    </row>
    <row r="96" spans="1:14" x14ac:dyDescent="0.3">
      <c r="A96" s="99" t="str">
        <f>IF(B96&lt;&gt;"",IF(COUNTA($B$2:B96)&lt;=26,CHAR(64+COUNTA($B$2:B96)),IF(COUNTA($B$2:B96)&lt;=702,CHAR(64+QUOTIENT(COUNTA($B$2:B96)-1,26))&amp;CHAR(65+MOD(COUNTA($B$2:B96)-1,26)),CHAR(64+QUOTIENT(COUNTA($B$2:B96)-27,676))&amp;CHAR(65+MOD(QUOTIENT(COUNTA($B$2:B96)-27,26),26))&amp;CHAR(65+MOD(COUNTA($B$2:B96)-1,26)))),"")</f>
        <v/>
      </c>
      <c r="B96" s="97"/>
      <c r="C96" s="98"/>
      <c r="D96" s="97"/>
      <c r="E96" s="97"/>
      <c r="F96" s="97"/>
      <c r="G96" s="97"/>
      <c r="H96" s="98"/>
      <c r="I96" s="97"/>
      <c r="N96" s="97"/>
    </row>
    <row r="97" spans="1:14" x14ac:dyDescent="0.3">
      <c r="A97" s="99" t="str">
        <f>IF(B97&lt;&gt;"",IF(COUNTA($B$2:B97)&lt;=26,CHAR(64+COUNTA($B$2:B97)),IF(COUNTA($B$2:B97)&lt;=702,CHAR(64+QUOTIENT(COUNTA($B$2:B97)-1,26))&amp;CHAR(65+MOD(COUNTA($B$2:B97)-1,26)),CHAR(64+QUOTIENT(COUNTA($B$2:B97)-27,676))&amp;CHAR(65+MOD(QUOTIENT(COUNTA($B$2:B97)-27,26),26))&amp;CHAR(65+MOD(COUNTA($B$2:B97)-1,26)))),"")</f>
        <v/>
      </c>
      <c r="B97" s="97"/>
      <c r="C97" s="98"/>
      <c r="D97" s="97"/>
      <c r="E97" s="97"/>
      <c r="F97" s="97"/>
      <c r="G97" s="97"/>
      <c r="H97" s="98"/>
      <c r="I97" s="97"/>
      <c r="N97" s="97"/>
    </row>
    <row r="98" spans="1:14" x14ac:dyDescent="0.3">
      <c r="A98" s="99" t="str">
        <f>IF(B98&lt;&gt;"",IF(COUNTA($B$2:B98)&lt;=26,CHAR(64+COUNTA($B$2:B98)),IF(COUNTA($B$2:B98)&lt;=702,CHAR(64+QUOTIENT(COUNTA($B$2:B98)-1,26))&amp;CHAR(65+MOD(COUNTA($B$2:B98)-1,26)),CHAR(64+QUOTIENT(COUNTA($B$2:B98)-27,676))&amp;CHAR(65+MOD(QUOTIENT(COUNTA($B$2:B98)-27,26),26))&amp;CHAR(65+MOD(COUNTA($B$2:B98)-1,26)))),"")</f>
        <v/>
      </c>
      <c r="B98" s="97"/>
      <c r="C98" s="98"/>
      <c r="D98" s="97"/>
      <c r="E98" s="97"/>
      <c r="F98" s="97"/>
      <c r="G98" s="97"/>
      <c r="H98" s="98"/>
      <c r="I98" s="97"/>
      <c r="N98" s="97"/>
    </row>
    <row r="99" spans="1:14" x14ac:dyDescent="0.3">
      <c r="A99" s="99" t="str">
        <f>IF(B99&lt;&gt;"",IF(COUNTA($B$2:B99)&lt;=26,CHAR(64+COUNTA($B$2:B99)),IF(COUNTA($B$2:B99)&lt;=702,CHAR(64+QUOTIENT(COUNTA($B$2:B99)-1,26))&amp;CHAR(65+MOD(COUNTA($B$2:B99)-1,26)),CHAR(64+QUOTIENT(COUNTA($B$2:B99)-27,676))&amp;CHAR(65+MOD(QUOTIENT(COUNTA($B$2:B99)-27,26),26))&amp;CHAR(65+MOD(COUNTA($B$2:B99)-1,26)))),"")</f>
        <v/>
      </c>
      <c r="B99" s="97"/>
      <c r="C99" s="98"/>
      <c r="D99" s="97"/>
      <c r="E99" s="97"/>
      <c r="F99" s="97"/>
      <c r="G99" s="97"/>
      <c r="H99" s="98"/>
      <c r="I99" s="97"/>
      <c r="N99" s="97"/>
    </row>
    <row r="100" spans="1:14" x14ac:dyDescent="0.3">
      <c r="A100" s="99" t="str">
        <f>IF(B100&lt;&gt;"",IF(COUNTA($B$2:B100)&lt;=26,CHAR(64+COUNTA($B$2:B100)),IF(COUNTA($B$2:B100)&lt;=702,CHAR(64+QUOTIENT(COUNTA($B$2:B100)-1,26))&amp;CHAR(65+MOD(COUNTA($B$2:B100)-1,26)),CHAR(64+QUOTIENT(COUNTA($B$2:B100)-27,676))&amp;CHAR(65+MOD(QUOTIENT(COUNTA($B$2:B100)-27,26),26))&amp;CHAR(65+MOD(COUNTA($B$2:B100)-1,26)))),"")</f>
        <v/>
      </c>
      <c r="B100" s="97"/>
      <c r="C100" s="98"/>
      <c r="D100" s="97"/>
      <c r="E100" s="97"/>
      <c r="F100" s="97"/>
      <c r="G100" s="97"/>
      <c r="H100" s="98"/>
      <c r="I100" s="97"/>
      <c r="N100" s="97"/>
    </row>
    <row r="101" spans="1:14" x14ac:dyDescent="0.3">
      <c r="A101" s="99" t="str">
        <f>IF(B101&lt;&gt;"",IF(COUNTA($B$2:B101)&lt;=26,CHAR(64+COUNTA($B$2:B101)),IF(COUNTA($B$2:B101)&lt;=702,CHAR(64+QUOTIENT(COUNTA($B$2:B101)-1,26))&amp;CHAR(65+MOD(COUNTA($B$2:B101)-1,26)),CHAR(64+QUOTIENT(COUNTA($B$2:B101)-27,676))&amp;CHAR(65+MOD(QUOTIENT(COUNTA($B$2:B101)-27,26),26))&amp;CHAR(65+MOD(COUNTA($B$2:B101)-1,26)))),"")</f>
        <v/>
      </c>
      <c r="B101" s="97"/>
      <c r="C101" s="98"/>
      <c r="D101" s="97"/>
      <c r="E101" s="97"/>
      <c r="F101" s="97"/>
      <c r="G101" s="97"/>
      <c r="H101" s="98"/>
      <c r="I101" s="97"/>
      <c r="N101" s="97"/>
    </row>
    <row r="102" spans="1:14" x14ac:dyDescent="0.3">
      <c r="A102" s="99" t="str">
        <f>IF(B102&lt;&gt;"",IF(COUNTA($B$2:B102)&lt;=26,CHAR(64+COUNTA($B$2:B102)),IF(COUNTA($B$2:B102)&lt;=702,CHAR(64+QUOTIENT(COUNTA($B$2:B102)-1,26))&amp;CHAR(65+MOD(COUNTA($B$2:B102)-1,26)),CHAR(64+QUOTIENT(COUNTA($B$2:B102)-27,676))&amp;CHAR(65+MOD(QUOTIENT(COUNTA($B$2:B102)-27,26),26))&amp;CHAR(65+MOD(COUNTA($B$2:B102)-1,26)))),"")</f>
        <v/>
      </c>
      <c r="B102" s="97"/>
      <c r="C102" s="98"/>
      <c r="D102" s="97"/>
      <c r="E102" s="97"/>
      <c r="F102" s="97"/>
      <c r="G102" s="97"/>
      <c r="H102" s="98"/>
      <c r="I102" s="97"/>
      <c r="N102" s="97"/>
    </row>
    <row r="103" spans="1:14" x14ac:dyDescent="0.3">
      <c r="A103" s="99" t="str">
        <f>IF(B103&lt;&gt;"",IF(COUNTA($B$2:B103)&lt;=26,CHAR(64+COUNTA($B$2:B103)),IF(COUNTA($B$2:B103)&lt;=702,CHAR(64+QUOTIENT(COUNTA($B$2:B103)-1,26))&amp;CHAR(65+MOD(COUNTA($B$2:B103)-1,26)),CHAR(64+QUOTIENT(COUNTA($B$2:B103)-27,676))&amp;CHAR(65+MOD(QUOTIENT(COUNTA($B$2:B103)-27,26),26))&amp;CHAR(65+MOD(COUNTA($B$2:B103)-1,26)))),"")</f>
        <v/>
      </c>
      <c r="B103" s="97"/>
      <c r="C103" s="98"/>
      <c r="D103" s="97"/>
      <c r="E103" s="97"/>
      <c r="F103" s="97"/>
      <c r="G103" s="97"/>
      <c r="H103" s="98"/>
      <c r="I103" s="97"/>
      <c r="N103" s="97"/>
    </row>
    <row r="104" spans="1:14" x14ac:dyDescent="0.3">
      <c r="A104" s="99" t="str">
        <f>IF(B104&lt;&gt;"",IF(COUNTA($B$2:B104)&lt;=26,CHAR(64+COUNTA($B$2:B104)),IF(COUNTA($B$2:B104)&lt;=702,CHAR(64+QUOTIENT(COUNTA($B$2:B104)-1,26))&amp;CHAR(65+MOD(COUNTA($B$2:B104)-1,26)),CHAR(64+QUOTIENT(COUNTA($B$2:B104)-27,676))&amp;CHAR(65+MOD(QUOTIENT(COUNTA($B$2:B104)-27,26),26))&amp;CHAR(65+MOD(COUNTA($B$2:B104)-1,26)))),"")</f>
        <v/>
      </c>
      <c r="B104" s="97"/>
      <c r="C104" s="98"/>
      <c r="D104" s="97"/>
      <c r="E104" s="97"/>
      <c r="F104" s="97"/>
      <c r="G104" s="97"/>
      <c r="H104" s="98"/>
      <c r="I104" s="97"/>
      <c r="N104" s="97"/>
    </row>
    <row r="105" spans="1:14" x14ac:dyDescent="0.3">
      <c r="A105" s="99" t="str">
        <f>IF(B105&lt;&gt;"",IF(COUNTA($B$2:B105)&lt;=26,CHAR(64+COUNTA($B$2:B105)),IF(COUNTA($B$2:B105)&lt;=702,CHAR(64+QUOTIENT(COUNTA($B$2:B105)-1,26))&amp;CHAR(65+MOD(COUNTA($B$2:B105)-1,26)),CHAR(64+QUOTIENT(COUNTA($B$2:B105)-27,676))&amp;CHAR(65+MOD(QUOTIENT(COUNTA($B$2:B105)-27,26),26))&amp;CHAR(65+MOD(COUNTA($B$2:B105)-1,26)))),"")</f>
        <v/>
      </c>
      <c r="B105" s="97"/>
      <c r="C105" s="98"/>
      <c r="D105" s="97"/>
      <c r="E105" s="97"/>
      <c r="F105" s="97"/>
      <c r="G105" s="97"/>
      <c r="H105" s="98"/>
      <c r="I105" s="97"/>
      <c r="N105" s="97"/>
    </row>
    <row r="106" spans="1:14" x14ac:dyDescent="0.3">
      <c r="A106" s="99" t="str">
        <f>IF(B106&lt;&gt;"",IF(COUNTA($B$2:B106)&lt;=26,CHAR(64+COUNTA($B$2:B106)),IF(COUNTA($B$2:B106)&lt;=702,CHAR(64+QUOTIENT(COUNTA($B$2:B106)-1,26))&amp;CHAR(65+MOD(COUNTA($B$2:B106)-1,26)),CHAR(64+QUOTIENT(COUNTA($B$2:B106)-27,676))&amp;CHAR(65+MOD(QUOTIENT(COUNTA($B$2:B106)-27,26),26))&amp;CHAR(65+MOD(COUNTA($B$2:B106)-1,26)))),"")</f>
        <v/>
      </c>
      <c r="B106" s="97"/>
      <c r="C106" s="98"/>
      <c r="D106" s="97"/>
      <c r="E106" s="97"/>
      <c r="F106" s="97"/>
      <c r="G106" s="97"/>
      <c r="H106" s="98"/>
      <c r="I106" s="97"/>
      <c r="N106" s="97"/>
    </row>
    <row r="107" spans="1:14" x14ac:dyDescent="0.3">
      <c r="A107" s="99" t="str">
        <f>IF(B107&lt;&gt;"",IF(COUNTA($B$2:B107)&lt;=26,CHAR(64+COUNTA($B$2:B107)),IF(COUNTA($B$2:B107)&lt;=702,CHAR(64+QUOTIENT(COUNTA($B$2:B107)-1,26))&amp;CHAR(65+MOD(COUNTA($B$2:B107)-1,26)),CHAR(64+QUOTIENT(COUNTA($B$2:B107)-27,676))&amp;CHAR(65+MOD(QUOTIENT(COUNTA($B$2:B107)-27,26),26))&amp;CHAR(65+MOD(COUNTA($B$2:B107)-1,26)))),"")</f>
        <v/>
      </c>
      <c r="B107" s="97"/>
      <c r="C107" s="98"/>
      <c r="D107" s="97"/>
      <c r="E107" s="97"/>
      <c r="F107" s="97"/>
      <c r="G107" s="97"/>
      <c r="H107" s="98"/>
      <c r="I107" s="97"/>
      <c r="N107" s="97"/>
    </row>
    <row r="108" spans="1:14" x14ac:dyDescent="0.3">
      <c r="A108" s="99" t="str">
        <f>IF(B108&lt;&gt;"",IF(COUNTA($B$2:B108)&lt;=26,CHAR(64+COUNTA($B$2:B108)),IF(COUNTA($B$2:B108)&lt;=702,CHAR(64+QUOTIENT(COUNTA($B$2:B108)-1,26))&amp;CHAR(65+MOD(COUNTA($B$2:B108)-1,26)),CHAR(64+QUOTIENT(COUNTA($B$2:B108)-27,676))&amp;CHAR(65+MOD(QUOTIENT(COUNTA($B$2:B108)-27,26),26))&amp;CHAR(65+MOD(COUNTA($B$2:B108)-1,26)))),"")</f>
        <v/>
      </c>
      <c r="B108" s="97"/>
      <c r="C108" s="98"/>
      <c r="D108" s="97"/>
      <c r="E108" s="97"/>
      <c r="F108" s="97"/>
      <c r="G108" s="97"/>
      <c r="H108" s="98"/>
      <c r="I108" s="97"/>
      <c r="N108" s="97"/>
    </row>
    <row r="109" spans="1:14" x14ac:dyDescent="0.3">
      <c r="A109" s="99" t="str">
        <f>IF(B109&lt;&gt;"",IF(COUNTA($B$2:B109)&lt;=26,CHAR(64+COUNTA($B$2:B109)),IF(COUNTA($B$2:B109)&lt;=702,CHAR(64+QUOTIENT(COUNTA($B$2:B109)-1,26))&amp;CHAR(65+MOD(COUNTA($B$2:B109)-1,26)),CHAR(64+QUOTIENT(COUNTA($B$2:B109)-27,676))&amp;CHAR(65+MOD(QUOTIENT(COUNTA($B$2:B109)-27,26),26))&amp;CHAR(65+MOD(COUNTA($B$2:B109)-1,26)))),"")</f>
        <v/>
      </c>
      <c r="B109" s="97"/>
      <c r="C109" s="98"/>
      <c r="D109" s="97"/>
      <c r="E109" s="97"/>
      <c r="F109" s="97"/>
      <c r="G109" s="97"/>
      <c r="H109" s="98"/>
      <c r="I109" s="97"/>
      <c r="N109" s="97"/>
    </row>
    <row r="110" spans="1:14" x14ac:dyDescent="0.3">
      <c r="A110" s="99" t="str">
        <f>IF(B110&lt;&gt;"",IF(COUNTA($B$2:B110)&lt;=26,CHAR(64+COUNTA($B$2:B110)),IF(COUNTA($B$2:B110)&lt;=702,CHAR(64+QUOTIENT(COUNTA($B$2:B110)-1,26))&amp;CHAR(65+MOD(COUNTA($B$2:B110)-1,26)),CHAR(64+QUOTIENT(COUNTA($B$2:B110)-27,676))&amp;CHAR(65+MOD(QUOTIENT(COUNTA($B$2:B110)-27,26),26))&amp;CHAR(65+MOD(COUNTA($B$2:B110)-1,26)))),"")</f>
        <v/>
      </c>
      <c r="B110" s="97"/>
      <c r="C110" s="98"/>
      <c r="D110" s="97"/>
      <c r="E110" s="97"/>
      <c r="F110" s="97"/>
      <c r="G110" s="97"/>
      <c r="H110" s="98"/>
      <c r="I110" s="97"/>
      <c r="N110" s="97"/>
    </row>
    <row r="111" spans="1:14" x14ac:dyDescent="0.3">
      <c r="A111" s="99" t="str">
        <f>IF(B111&lt;&gt;"",IF(COUNTA($B$2:B111)&lt;=26,CHAR(64+COUNTA($B$2:B111)),IF(COUNTA($B$2:B111)&lt;=702,CHAR(64+QUOTIENT(COUNTA($B$2:B111)-1,26))&amp;CHAR(65+MOD(COUNTA($B$2:B111)-1,26)),CHAR(64+QUOTIENT(COUNTA($B$2:B111)-27,676))&amp;CHAR(65+MOD(QUOTIENT(COUNTA($B$2:B111)-27,26),26))&amp;CHAR(65+MOD(COUNTA($B$2:B111)-1,26)))),"")</f>
        <v/>
      </c>
      <c r="B111" s="97"/>
      <c r="C111" s="98"/>
      <c r="D111" s="97"/>
      <c r="E111" s="97"/>
      <c r="F111" s="97"/>
      <c r="G111" s="97"/>
      <c r="H111" s="98"/>
      <c r="I111" s="97"/>
      <c r="N111" s="97"/>
    </row>
    <row r="112" spans="1:14" x14ac:dyDescent="0.3">
      <c r="A112" s="99" t="str">
        <f>IF(B112&lt;&gt;"",IF(COUNTA($B$2:B112)&lt;=26,CHAR(64+COUNTA($B$2:B112)),IF(COUNTA($B$2:B112)&lt;=702,CHAR(64+QUOTIENT(COUNTA($B$2:B112)-1,26))&amp;CHAR(65+MOD(COUNTA($B$2:B112)-1,26)),CHAR(64+QUOTIENT(COUNTA($B$2:B112)-27,676))&amp;CHAR(65+MOD(QUOTIENT(COUNTA($B$2:B112)-27,26),26))&amp;CHAR(65+MOD(COUNTA($B$2:B112)-1,26)))),"")</f>
        <v/>
      </c>
      <c r="B112" s="97"/>
      <c r="C112" s="98"/>
      <c r="D112" s="97"/>
      <c r="E112" s="97"/>
      <c r="F112" s="97"/>
      <c r="G112" s="97"/>
      <c r="H112" s="98"/>
      <c r="I112" s="97"/>
      <c r="N112" s="97"/>
    </row>
    <row r="113" spans="1:14" x14ac:dyDescent="0.3">
      <c r="A113" s="99" t="str">
        <f>IF(B113&lt;&gt;"",IF(COUNTA($B$2:B113)&lt;=26,CHAR(64+COUNTA($B$2:B113)),IF(COUNTA($B$2:B113)&lt;=702,CHAR(64+QUOTIENT(COUNTA($B$2:B113)-1,26))&amp;CHAR(65+MOD(COUNTA($B$2:B113)-1,26)),CHAR(64+QUOTIENT(COUNTA($B$2:B113)-27,676))&amp;CHAR(65+MOD(QUOTIENT(COUNTA($B$2:B113)-27,26),26))&amp;CHAR(65+MOD(COUNTA($B$2:B113)-1,26)))),"")</f>
        <v/>
      </c>
      <c r="B113" s="97"/>
      <c r="C113" s="98"/>
      <c r="D113" s="97"/>
      <c r="E113" s="97"/>
      <c r="F113" s="97"/>
      <c r="G113" s="97"/>
      <c r="H113" s="98"/>
      <c r="I113" s="97"/>
      <c r="N113" s="97"/>
    </row>
    <row r="114" spans="1:14" x14ac:dyDescent="0.3">
      <c r="A114" s="99" t="str">
        <f>IF(B114&lt;&gt;"",IF(COUNTA($B$2:B114)&lt;=26,CHAR(64+COUNTA($B$2:B114)),IF(COUNTA($B$2:B114)&lt;=702,CHAR(64+QUOTIENT(COUNTA($B$2:B114)-1,26))&amp;CHAR(65+MOD(COUNTA($B$2:B114)-1,26)),CHAR(64+QUOTIENT(COUNTA($B$2:B114)-27,676))&amp;CHAR(65+MOD(QUOTIENT(COUNTA($B$2:B114)-27,26),26))&amp;CHAR(65+MOD(COUNTA($B$2:B114)-1,26)))),"")</f>
        <v/>
      </c>
      <c r="B114" s="97"/>
      <c r="C114" s="98"/>
      <c r="D114" s="97"/>
      <c r="E114" s="97"/>
      <c r="F114" s="97"/>
      <c r="G114" s="97"/>
      <c r="H114" s="98"/>
      <c r="I114" s="97"/>
      <c r="N114" s="97"/>
    </row>
    <row r="115" spans="1:14" x14ac:dyDescent="0.3">
      <c r="A115" s="99" t="str">
        <f>IF(B115&lt;&gt;"",IF(COUNTA($B$2:B115)&lt;=26,CHAR(64+COUNTA($B$2:B115)),IF(COUNTA($B$2:B115)&lt;=702,CHAR(64+QUOTIENT(COUNTA($B$2:B115)-1,26))&amp;CHAR(65+MOD(COUNTA($B$2:B115)-1,26)),CHAR(64+QUOTIENT(COUNTA($B$2:B115)-27,676))&amp;CHAR(65+MOD(QUOTIENT(COUNTA($B$2:B115)-27,26),26))&amp;CHAR(65+MOD(COUNTA($B$2:B115)-1,26)))),"")</f>
        <v/>
      </c>
      <c r="B115" s="97"/>
      <c r="C115" s="98"/>
      <c r="D115" s="97"/>
      <c r="E115" s="97"/>
      <c r="F115" s="97"/>
      <c r="G115" s="97"/>
      <c r="H115" s="98"/>
      <c r="I115" s="97"/>
      <c r="N115" s="97"/>
    </row>
    <row r="116" spans="1:14" x14ac:dyDescent="0.3">
      <c r="A116" s="99" t="str">
        <f>IF(B116&lt;&gt;"",IF(COUNTA($B$2:B116)&lt;=26,CHAR(64+COUNTA($B$2:B116)),IF(COUNTA($B$2:B116)&lt;=702,CHAR(64+QUOTIENT(COUNTA($B$2:B116)-1,26))&amp;CHAR(65+MOD(COUNTA($B$2:B116)-1,26)),CHAR(64+QUOTIENT(COUNTA($B$2:B116)-27,676))&amp;CHAR(65+MOD(QUOTIENT(COUNTA($B$2:B116)-27,26),26))&amp;CHAR(65+MOD(COUNTA($B$2:B116)-1,26)))),"")</f>
        <v/>
      </c>
      <c r="B116" s="97"/>
      <c r="C116" s="98"/>
      <c r="D116" s="97"/>
      <c r="E116" s="97"/>
      <c r="F116" s="97"/>
      <c r="G116" s="97"/>
      <c r="H116" s="98"/>
      <c r="I116" s="97"/>
      <c r="N116" s="97"/>
    </row>
    <row r="117" spans="1:14" x14ac:dyDescent="0.3">
      <c r="A117" s="99" t="str">
        <f>IF(B117&lt;&gt;"",IF(COUNTA($B$2:B117)&lt;=26,CHAR(64+COUNTA($B$2:B117)),IF(COUNTA($B$2:B117)&lt;=702,CHAR(64+QUOTIENT(COUNTA($B$2:B117)-1,26))&amp;CHAR(65+MOD(COUNTA($B$2:B117)-1,26)),CHAR(64+QUOTIENT(COUNTA($B$2:B117)-27,676))&amp;CHAR(65+MOD(QUOTIENT(COUNTA($B$2:B117)-27,26),26))&amp;CHAR(65+MOD(COUNTA($B$2:B117)-1,26)))),"")</f>
        <v/>
      </c>
      <c r="B117" s="97"/>
      <c r="C117" s="98"/>
      <c r="D117" s="97"/>
      <c r="E117" s="97"/>
      <c r="F117" s="97"/>
      <c r="G117" s="97"/>
      <c r="H117" s="98"/>
      <c r="I117" s="97"/>
      <c r="N117" s="97"/>
    </row>
    <row r="118" spans="1:14" x14ac:dyDescent="0.3">
      <c r="A118" s="99" t="str">
        <f>IF(B118&lt;&gt;"",IF(COUNTA($B$2:B118)&lt;=26,CHAR(64+COUNTA($B$2:B118)),IF(COUNTA($B$2:B118)&lt;=702,CHAR(64+QUOTIENT(COUNTA($B$2:B118)-1,26))&amp;CHAR(65+MOD(COUNTA($B$2:B118)-1,26)),CHAR(64+QUOTIENT(COUNTA($B$2:B118)-27,676))&amp;CHAR(65+MOD(QUOTIENT(COUNTA($B$2:B118)-27,26),26))&amp;CHAR(65+MOD(COUNTA($B$2:B118)-1,26)))),"")</f>
        <v/>
      </c>
      <c r="B118" s="97"/>
      <c r="C118" s="98"/>
      <c r="D118" s="97"/>
      <c r="E118" s="97"/>
      <c r="F118" s="97"/>
      <c r="G118" s="97"/>
      <c r="H118" s="98"/>
      <c r="I118" s="97"/>
      <c r="N118" s="97"/>
    </row>
    <row r="119" spans="1:14" x14ac:dyDescent="0.3">
      <c r="A119" s="99" t="str">
        <f>IF(B119&lt;&gt;"",IF(COUNTA($B$2:B119)&lt;=26,CHAR(64+COUNTA($B$2:B119)),IF(COUNTA($B$2:B119)&lt;=702,CHAR(64+QUOTIENT(COUNTA($B$2:B119)-1,26))&amp;CHAR(65+MOD(COUNTA($B$2:B119)-1,26)),CHAR(64+QUOTIENT(COUNTA($B$2:B119)-27,676))&amp;CHAR(65+MOD(QUOTIENT(COUNTA($B$2:B119)-27,26),26))&amp;CHAR(65+MOD(COUNTA($B$2:B119)-1,26)))),"")</f>
        <v/>
      </c>
      <c r="B119" s="97"/>
      <c r="C119" s="98"/>
      <c r="D119" s="97"/>
      <c r="E119" s="97"/>
      <c r="F119" s="97"/>
      <c r="G119" s="97"/>
      <c r="H119" s="98"/>
      <c r="I119" s="97"/>
      <c r="N119" s="97"/>
    </row>
    <row r="120" spans="1:14" x14ac:dyDescent="0.3">
      <c r="A120" s="99" t="str">
        <f>IF(B120&lt;&gt;"",IF(COUNTA($B$2:B120)&lt;=26,CHAR(64+COUNTA($B$2:B120)),IF(COUNTA($B$2:B120)&lt;=702,CHAR(64+QUOTIENT(COUNTA($B$2:B120)-1,26))&amp;CHAR(65+MOD(COUNTA($B$2:B120)-1,26)),CHAR(64+QUOTIENT(COUNTA($B$2:B120)-27,676))&amp;CHAR(65+MOD(QUOTIENT(COUNTA($B$2:B120)-27,26),26))&amp;CHAR(65+MOD(COUNTA($B$2:B120)-1,26)))),"")</f>
        <v/>
      </c>
      <c r="B120" s="97"/>
      <c r="C120" s="98"/>
      <c r="D120" s="97"/>
      <c r="E120" s="97"/>
      <c r="F120" s="97"/>
      <c r="G120" s="97"/>
      <c r="H120" s="98"/>
      <c r="I120" s="97"/>
      <c r="N120" s="97"/>
    </row>
    <row r="121" spans="1:14" x14ac:dyDescent="0.3">
      <c r="A121" s="99" t="str">
        <f>IF(B121&lt;&gt;"",IF(COUNTA($B$2:B121)&lt;=26,CHAR(64+COUNTA($B$2:B121)),IF(COUNTA($B$2:B121)&lt;=702,CHAR(64+QUOTIENT(COUNTA($B$2:B121)-1,26))&amp;CHAR(65+MOD(COUNTA($B$2:B121)-1,26)),CHAR(64+QUOTIENT(COUNTA($B$2:B121)-27,676))&amp;CHAR(65+MOD(QUOTIENT(COUNTA($B$2:B121)-27,26),26))&amp;CHAR(65+MOD(COUNTA($B$2:B121)-1,26)))),"")</f>
        <v/>
      </c>
      <c r="B121" s="97"/>
      <c r="C121" s="98"/>
      <c r="D121" s="97"/>
      <c r="E121" s="97"/>
      <c r="F121" s="97"/>
      <c r="G121" s="97"/>
      <c r="H121" s="98"/>
      <c r="I121" s="97"/>
      <c r="N121" s="97"/>
    </row>
    <row r="122" spans="1:14" x14ac:dyDescent="0.3">
      <c r="A122" s="99" t="str">
        <f>IF(B122&lt;&gt;"",IF(COUNTA($B$2:B122)&lt;=26,CHAR(64+COUNTA($B$2:B122)),IF(COUNTA($B$2:B122)&lt;=702,CHAR(64+QUOTIENT(COUNTA($B$2:B122)-1,26))&amp;CHAR(65+MOD(COUNTA($B$2:B122)-1,26)),CHAR(64+QUOTIENT(COUNTA($B$2:B122)-27,676))&amp;CHAR(65+MOD(QUOTIENT(COUNTA($B$2:B122)-27,26),26))&amp;CHAR(65+MOD(COUNTA($B$2:B122)-1,26)))),"")</f>
        <v/>
      </c>
      <c r="B122" s="97"/>
      <c r="C122" s="98"/>
      <c r="D122" s="97"/>
      <c r="E122" s="97"/>
      <c r="F122" s="97"/>
      <c r="G122" s="97"/>
      <c r="H122" s="98"/>
      <c r="I122" s="97"/>
      <c r="N122" s="97"/>
    </row>
    <row r="123" spans="1:14" x14ac:dyDescent="0.3">
      <c r="A123" s="99" t="str">
        <f>IF(B123&lt;&gt;"",IF(COUNTA($B$2:B123)&lt;=26,CHAR(64+COUNTA($B$2:B123)),IF(COUNTA($B$2:B123)&lt;=702,CHAR(64+QUOTIENT(COUNTA($B$2:B123)-1,26))&amp;CHAR(65+MOD(COUNTA($B$2:B123)-1,26)),CHAR(64+QUOTIENT(COUNTA($B$2:B123)-27,676))&amp;CHAR(65+MOD(QUOTIENT(COUNTA($B$2:B123)-27,26),26))&amp;CHAR(65+MOD(COUNTA($B$2:B123)-1,26)))),"")</f>
        <v/>
      </c>
      <c r="B123" s="97"/>
      <c r="C123" s="98"/>
      <c r="D123" s="97"/>
      <c r="E123" s="97"/>
      <c r="F123" s="97"/>
      <c r="G123" s="97"/>
      <c r="H123" s="98"/>
      <c r="I123" s="97"/>
      <c r="N123" s="97"/>
    </row>
    <row r="124" spans="1:14" x14ac:dyDescent="0.3">
      <c r="A124" s="99" t="str">
        <f>IF(B124&lt;&gt;"",IF(COUNTA($B$2:B124)&lt;=26,CHAR(64+COUNTA($B$2:B124)),IF(COUNTA($B$2:B124)&lt;=702,CHAR(64+QUOTIENT(COUNTA($B$2:B124)-1,26))&amp;CHAR(65+MOD(COUNTA($B$2:B124)-1,26)),CHAR(64+QUOTIENT(COUNTA($B$2:B124)-27,676))&amp;CHAR(65+MOD(QUOTIENT(COUNTA($B$2:B124)-27,26),26))&amp;CHAR(65+MOD(COUNTA($B$2:B124)-1,26)))),"")</f>
        <v/>
      </c>
      <c r="B124" s="97"/>
      <c r="C124" s="98"/>
      <c r="D124" s="97"/>
      <c r="E124" s="97"/>
      <c r="F124" s="97"/>
      <c r="G124" s="97"/>
      <c r="H124" s="98"/>
      <c r="I124" s="97"/>
      <c r="N124" s="97"/>
    </row>
    <row r="125" spans="1:14" x14ac:dyDescent="0.3">
      <c r="A125" s="99" t="str">
        <f>IF(B125&lt;&gt;"",IF(COUNTA($B$2:B125)&lt;=26,CHAR(64+COUNTA($B$2:B125)),IF(COUNTA($B$2:B125)&lt;=702,CHAR(64+QUOTIENT(COUNTA($B$2:B125)-1,26))&amp;CHAR(65+MOD(COUNTA($B$2:B125)-1,26)),CHAR(64+QUOTIENT(COUNTA($B$2:B125)-27,676))&amp;CHAR(65+MOD(QUOTIENT(COUNTA($B$2:B125)-27,26),26))&amp;CHAR(65+MOD(COUNTA($B$2:B125)-1,26)))),"")</f>
        <v/>
      </c>
      <c r="B125" s="97"/>
      <c r="C125" s="98"/>
      <c r="D125" s="97"/>
      <c r="E125" s="97"/>
      <c r="F125" s="97"/>
      <c r="G125" s="97"/>
      <c r="H125" s="98"/>
      <c r="I125" s="97"/>
      <c r="N125" s="97"/>
    </row>
    <row r="126" spans="1:14" x14ac:dyDescent="0.3">
      <c r="A126" s="99" t="str">
        <f>IF(B126&lt;&gt;"",IF(COUNTA($B$2:B126)&lt;=26,CHAR(64+COUNTA($B$2:B126)),IF(COUNTA($B$2:B126)&lt;=702,CHAR(64+QUOTIENT(COUNTA($B$2:B126)-1,26))&amp;CHAR(65+MOD(COUNTA($B$2:B126)-1,26)),CHAR(64+QUOTIENT(COUNTA($B$2:B126)-27,676))&amp;CHAR(65+MOD(QUOTIENT(COUNTA($B$2:B126)-27,26),26))&amp;CHAR(65+MOD(COUNTA($B$2:B126)-1,26)))),"")</f>
        <v/>
      </c>
      <c r="B126" s="97"/>
      <c r="C126" s="98"/>
      <c r="D126" s="97"/>
      <c r="E126" s="97"/>
      <c r="F126" s="97"/>
      <c r="G126" s="97"/>
      <c r="H126" s="98"/>
      <c r="I126" s="97"/>
      <c r="N126" s="97"/>
    </row>
    <row r="127" spans="1:14" x14ac:dyDescent="0.3">
      <c r="A127" s="99" t="str">
        <f>IF(B127&lt;&gt;"",IF(COUNTA($B$2:B127)&lt;=26,CHAR(64+COUNTA($B$2:B127)),IF(COUNTA($B$2:B127)&lt;=702,CHAR(64+QUOTIENT(COUNTA($B$2:B127)-1,26))&amp;CHAR(65+MOD(COUNTA($B$2:B127)-1,26)),CHAR(64+QUOTIENT(COUNTA($B$2:B127)-27,676))&amp;CHAR(65+MOD(QUOTIENT(COUNTA($B$2:B127)-27,26),26))&amp;CHAR(65+MOD(COUNTA($B$2:B127)-1,26)))),"")</f>
        <v/>
      </c>
      <c r="B127" s="97"/>
      <c r="C127" s="98"/>
      <c r="D127" s="97"/>
      <c r="E127" s="97"/>
      <c r="F127" s="97"/>
      <c r="G127" s="97"/>
      <c r="H127" s="98"/>
      <c r="I127" s="97"/>
      <c r="N127" s="97"/>
    </row>
    <row r="128" spans="1:14" x14ac:dyDescent="0.3">
      <c r="A128" s="99" t="str">
        <f>IF(B128&lt;&gt;"",IF(COUNTA($B$2:B128)&lt;=26,CHAR(64+COUNTA($B$2:B128)),IF(COUNTA($B$2:B128)&lt;=702,CHAR(64+QUOTIENT(COUNTA($B$2:B128)-1,26))&amp;CHAR(65+MOD(COUNTA($B$2:B128)-1,26)),CHAR(64+QUOTIENT(COUNTA($B$2:B128)-27,676))&amp;CHAR(65+MOD(QUOTIENT(COUNTA($B$2:B128)-27,26),26))&amp;CHAR(65+MOD(COUNTA($B$2:B128)-1,26)))),"")</f>
        <v/>
      </c>
      <c r="B128" s="97"/>
      <c r="C128" s="98"/>
      <c r="D128" s="97"/>
      <c r="E128" s="97"/>
      <c r="F128" s="97"/>
      <c r="G128" s="97"/>
      <c r="H128" s="98"/>
      <c r="I128" s="97"/>
      <c r="N128" s="97"/>
    </row>
    <row r="129" spans="1:14" x14ac:dyDescent="0.3">
      <c r="A129" s="99" t="str">
        <f>IF(B129&lt;&gt;"",IF(COUNTA($B$2:B129)&lt;=26,CHAR(64+COUNTA($B$2:B129)),IF(COUNTA($B$2:B129)&lt;=702,CHAR(64+QUOTIENT(COUNTA($B$2:B129)-1,26))&amp;CHAR(65+MOD(COUNTA($B$2:B129)-1,26)),CHAR(64+QUOTIENT(COUNTA($B$2:B129)-27,676))&amp;CHAR(65+MOD(QUOTIENT(COUNTA($B$2:B129)-27,26),26))&amp;CHAR(65+MOD(COUNTA($B$2:B129)-1,26)))),"")</f>
        <v/>
      </c>
      <c r="B129" s="97"/>
      <c r="C129" s="98"/>
      <c r="D129" s="97"/>
      <c r="E129" s="97"/>
      <c r="F129" s="97"/>
      <c r="G129" s="97"/>
      <c r="H129" s="98"/>
      <c r="I129" s="97"/>
      <c r="J129" s="97"/>
      <c r="K129" s="97"/>
      <c r="L129" s="97"/>
      <c r="M129" s="97"/>
      <c r="N129" s="97"/>
    </row>
    <row r="130" spans="1:14" x14ac:dyDescent="0.3">
      <c r="A130" s="99" t="str">
        <f>IF(B130&lt;&gt;"",IF(COUNTA($B$2:B130)&lt;=26,CHAR(64+COUNTA($B$2:B130)),IF(COUNTA($B$2:B130)&lt;=702,CHAR(64+QUOTIENT(COUNTA($B$2:B130)-1,26))&amp;CHAR(65+MOD(COUNTA($B$2:B130)-1,26)),CHAR(64+QUOTIENT(COUNTA($B$2:B130)-27,676))&amp;CHAR(65+MOD(QUOTIENT(COUNTA($B$2:B130)-27,26),26))&amp;CHAR(65+MOD(COUNTA($B$2:B130)-1,26)))),"")</f>
        <v/>
      </c>
      <c r="B130" s="97"/>
      <c r="C130" s="98"/>
      <c r="D130" s="97"/>
      <c r="E130" s="97"/>
      <c r="F130" s="97"/>
      <c r="G130" s="97"/>
      <c r="H130" s="98"/>
      <c r="I130" s="97"/>
      <c r="J130" s="97"/>
      <c r="K130" s="97"/>
      <c r="L130" s="97"/>
      <c r="M130" s="97"/>
      <c r="N130" s="97"/>
    </row>
    <row r="131" spans="1:14" x14ac:dyDescent="0.3">
      <c r="A131" s="99" t="str">
        <f>IF(B131&lt;&gt;"",IF(COUNTA($B$2:B131)&lt;=26,CHAR(64+COUNTA($B$2:B131)),IF(COUNTA($B$2:B131)&lt;=702,CHAR(64+QUOTIENT(COUNTA($B$2:B131)-1,26))&amp;CHAR(65+MOD(COUNTA($B$2:B131)-1,26)),CHAR(64+QUOTIENT(COUNTA($B$2:B131)-27,676))&amp;CHAR(65+MOD(QUOTIENT(COUNTA($B$2:B131)-27,26),26))&amp;CHAR(65+MOD(COUNTA($B$2:B131)-1,26)))),"")</f>
        <v/>
      </c>
      <c r="B131" s="97"/>
      <c r="C131" s="98"/>
      <c r="D131" s="97"/>
      <c r="E131" s="97"/>
      <c r="F131" s="97"/>
      <c r="G131" s="97"/>
      <c r="H131" s="98"/>
      <c r="I131" s="97"/>
      <c r="J131" s="97"/>
      <c r="K131" s="97"/>
      <c r="L131" s="97"/>
      <c r="M131" s="97"/>
      <c r="N131" s="97"/>
    </row>
    <row r="132" spans="1:14" x14ac:dyDescent="0.3">
      <c r="A132" s="99" t="str">
        <f>IF(B132&lt;&gt;"",IF(COUNTA($B$2:B132)&lt;=26,CHAR(64+COUNTA($B$2:B132)),IF(COUNTA($B$2:B132)&lt;=702,CHAR(64+QUOTIENT(COUNTA($B$2:B132)-1,26))&amp;CHAR(65+MOD(COUNTA($B$2:B132)-1,26)),CHAR(64+QUOTIENT(COUNTA($B$2:B132)-27,676))&amp;CHAR(65+MOD(QUOTIENT(COUNTA($B$2:B132)-27,26),26))&amp;CHAR(65+MOD(COUNTA($B$2:B132)-1,26)))),"")</f>
        <v/>
      </c>
      <c r="B132" s="97"/>
      <c r="C132" s="98"/>
      <c r="D132" s="97"/>
      <c r="E132" s="97"/>
      <c r="F132" s="97"/>
      <c r="G132" s="97"/>
      <c r="H132" s="98"/>
      <c r="I132" s="97"/>
      <c r="J132" s="97"/>
      <c r="K132" s="97"/>
      <c r="L132" s="97"/>
      <c r="M132" s="97"/>
      <c r="N132" s="97"/>
    </row>
    <row r="133" spans="1:14" x14ac:dyDescent="0.3">
      <c r="A133" s="99" t="str">
        <f>IF(B133&lt;&gt;"",IF(COUNTA($B$2:B133)&lt;=26,CHAR(64+COUNTA($B$2:B133)),IF(COUNTA($B$2:B133)&lt;=702,CHAR(64+QUOTIENT(COUNTA($B$2:B133)-1,26))&amp;CHAR(65+MOD(COUNTA($B$2:B133)-1,26)),CHAR(64+QUOTIENT(COUNTA($B$2:B133)-27,676))&amp;CHAR(65+MOD(QUOTIENT(COUNTA($B$2:B133)-27,26),26))&amp;CHAR(65+MOD(COUNTA($B$2:B133)-1,26)))),"")</f>
        <v/>
      </c>
      <c r="B133" s="97"/>
      <c r="C133" s="98"/>
      <c r="D133" s="97"/>
      <c r="E133" s="97"/>
      <c r="F133" s="97"/>
      <c r="G133" s="97"/>
      <c r="H133" s="98"/>
      <c r="I133" s="97"/>
      <c r="J133" s="97"/>
      <c r="K133" s="97"/>
      <c r="L133" s="97"/>
      <c r="M133" s="97"/>
      <c r="N133" s="97"/>
    </row>
    <row r="134" spans="1:14" x14ac:dyDescent="0.3">
      <c r="A134" s="99" t="str">
        <f>IF(B134&lt;&gt;"",IF(COUNTA($B$2:B134)&lt;=26,CHAR(64+COUNTA($B$2:B134)),IF(COUNTA($B$2:B134)&lt;=702,CHAR(64+QUOTIENT(COUNTA($B$2:B134)-1,26))&amp;CHAR(65+MOD(COUNTA($B$2:B134)-1,26)),CHAR(64+QUOTIENT(COUNTA($B$2:B134)-27,676))&amp;CHAR(65+MOD(QUOTIENT(COUNTA($B$2:B134)-27,26),26))&amp;CHAR(65+MOD(COUNTA($B$2:B134)-1,26)))),"")</f>
        <v/>
      </c>
      <c r="B134" s="97"/>
      <c r="C134" s="98"/>
      <c r="D134" s="97"/>
      <c r="E134" s="97"/>
      <c r="F134" s="97"/>
      <c r="G134" s="97"/>
      <c r="H134" s="98"/>
      <c r="I134" s="97"/>
      <c r="J134" s="97"/>
      <c r="K134" s="97"/>
      <c r="L134" s="97"/>
      <c r="M134" s="97"/>
      <c r="N134" s="97"/>
    </row>
    <row r="135" spans="1:14" x14ac:dyDescent="0.3">
      <c r="A135" s="99" t="str">
        <f>IF(B135&lt;&gt;"",IF(COUNTA($B$2:B135)&lt;=26,CHAR(64+COUNTA($B$2:B135)),IF(COUNTA($B$2:B135)&lt;=702,CHAR(64+QUOTIENT(COUNTA($B$2:B135)-1,26))&amp;CHAR(65+MOD(COUNTA($B$2:B135)-1,26)),CHAR(64+QUOTIENT(COUNTA($B$2:B135)-27,676))&amp;CHAR(65+MOD(QUOTIENT(COUNTA($B$2:B135)-27,26),26))&amp;CHAR(65+MOD(COUNTA($B$2:B135)-1,26)))),"")</f>
        <v/>
      </c>
      <c r="B135" s="97"/>
      <c r="C135" s="98"/>
      <c r="D135" s="97"/>
      <c r="E135" s="97"/>
      <c r="F135" s="97"/>
      <c r="G135" s="97"/>
      <c r="H135" s="98"/>
      <c r="I135" s="97"/>
      <c r="J135" s="97"/>
      <c r="K135" s="97"/>
      <c r="L135" s="97"/>
      <c r="M135" s="97"/>
      <c r="N135" s="97"/>
    </row>
    <row r="136" spans="1:14" x14ac:dyDescent="0.3">
      <c r="A136" s="99" t="str">
        <f>IF(B136&lt;&gt;"",IF(COUNTA($B$2:B136)&lt;=26,CHAR(64+COUNTA($B$2:B136)),IF(COUNTA($B$2:B136)&lt;=702,CHAR(64+QUOTIENT(COUNTA($B$2:B136)-1,26))&amp;CHAR(65+MOD(COUNTA($B$2:B136)-1,26)),CHAR(64+QUOTIENT(COUNTA($B$2:B136)-27,676))&amp;CHAR(65+MOD(QUOTIENT(COUNTA($B$2:B136)-27,26),26))&amp;CHAR(65+MOD(COUNTA($B$2:B136)-1,26)))),"")</f>
        <v/>
      </c>
      <c r="B136" s="97"/>
      <c r="C136" s="98"/>
      <c r="D136" s="97"/>
      <c r="E136" s="97"/>
      <c r="F136" s="97"/>
      <c r="G136" s="97"/>
      <c r="H136" s="98"/>
      <c r="I136" s="97"/>
      <c r="J136" s="97"/>
      <c r="K136" s="97"/>
      <c r="L136" s="97"/>
      <c r="M136" s="97"/>
      <c r="N136" s="97"/>
    </row>
    <row r="137" spans="1:14" x14ac:dyDescent="0.3">
      <c r="A137" s="99" t="str">
        <f>IF(B137&lt;&gt;"",IF(COUNTA($B$2:B137)&lt;=26,CHAR(64+COUNTA($B$2:B137)),IF(COUNTA($B$2:B137)&lt;=702,CHAR(64+QUOTIENT(COUNTA($B$2:B137)-1,26))&amp;CHAR(65+MOD(COUNTA($B$2:B137)-1,26)),CHAR(64+QUOTIENT(COUNTA($B$2:B137)-27,676))&amp;CHAR(65+MOD(QUOTIENT(COUNTA($B$2:B137)-27,26),26))&amp;CHAR(65+MOD(COUNTA($B$2:B137)-1,26)))),"")</f>
        <v/>
      </c>
      <c r="B137" s="97"/>
      <c r="C137" s="98"/>
      <c r="D137" s="97"/>
      <c r="E137" s="97"/>
      <c r="F137" s="97"/>
      <c r="G137" s="97"/>
      <c r="H137" s="98"/>
      <c r="I137" s="97"/>
      <c r="J137" s="97"/>
      <c r="K137" s="97"/>
      <c r="L137" s="97"/>
      <c r="M137" s="97"/>
      <c r="N137" s="97"/>
    </row>
    <row r="138" spans="1:14" x14ac:dyDescent="0.3">
      <c r="A138" s="99" t="str">
        <f>IF(B138&lt;&gt;"",IF(COUNTA($B$2:B138)&lt;=26,CHAR(64+COUNTA($B$2:B138)),IF(COUNTA($B$2:B138)&lt;=702,CHAR(64+QUOTIENT(COUNTA($B$2:B138)-1,26))&amp;CHAR(65+MOD(COUNTA($B$2:B138)-1,26)),CHAR(64+QUOTIENT(COUNTA($B$2:B138)-27,676))&amp;CHAR(65+MOD(QUOTIENT(COUNTA($B$2:B138)-27,26),26))&amp;CHAR(65+MOD(COUNTA($B$2:B138)-1,26)))),"")</f>
        <v/>
      </c>
      <c r="B138" s="97"/>
      <c r="C138" s="98"/>
      <c r="D138" s="97"/>
      <c r="E138" s="97"/>
      <c r="F138" s="97"/>
      <c r="G138" s="97"/>
      <c r="H138" s="98"/>
      <c r="I138" s="97"/>
      <c r="J138" s="97"/>
      <c r="K138" s="97"/>
      <c r="L138" s="97"/>
      <c r="M138" s="97"/>
      <c r="N138" s="97"/>
    </row>
    <row r="139" spans="1:14" x14ac:dyDescent="0.3">
      <c r="A139" s="99" t="str">
        <f>IF(B139&lt;&gt;"",IF(COUNTA($B$2:B139)&lt;=26,CHAR(64+COUNTA($B$2:B139)),IF(COUNTA($B$2:B139)&lt;=702,CHAR(64+QUOTIENT(COUNTA($B$2:B139)-1,26))&amp;CHAR(65+MOD(COUNTA($B$2:B139)-1,26)),CHAR(64+QUOTIENT(COUNTA($B$2:B139)-27,676))&amp;CHAR(65+MOD(QUOTIENT(COUNTA($B$2:B139)-27,26),26))&amp;CHAR(65+MOD(COUNTA($B$2:B139)-1,26)))),"")</f>
        <v/>
      </c>
      <c r="B139" s="97"/>
      <c r="C139" s="98"/>
      <c r="D139" s="97"/>
      <c r="E139" s="97"/>
      <c r="F139" s="97"/>
      <c r="G139" s="97"/>
      <c r="H139" s="98"/>
      <c r="I139" s="97"/>
      <c r="J139" s="97"/>
      <c r="K139" s="97"/>
      <c r="L139" s="97"/>
      <c r="M139" s="97"/>
      <c r="N139" s="97"/>
    </row>
    <row r="140" spans="1:14" x14ac:dyDescent="0.3">
      <c r="A140" s="99" t="str">
        <f>IF(B140&lt;&gt;"",IF(COUNTA($B$2:B140)&lt;=26,CHAR(64+COUNTA($B$2:B140)),IF(COUNTA($B$2:B140)&lt;=702,CHAR(64+QUOTIENT(COUNTA($B$2:B140)-1,26))&amp;CHAR(65+MOD(COUNTA($B$2:B140)-1,26)),CHAR(64+QUOTIENT(COUNTA($B$2:B140)-27,676))&amp;CHAR(65+MOD(QUOTIENT(COUNTA($B$2:B140)-27,26),26))&amp;CHAR(65+MOD(COUNTA($B$2:B140)-1,26)))),"")</f>
        <v/>
      </c>
      <c r="B140" s="97"/>
      <c r="C140" s="98"/>
      <c r="D140" s="97"/>
      <c r="E140" s="97"/>
      <c r="F140" s="97"/>
      <c r="G140" s="97"/>
      <c r="H140" s="98"/>
      <c r="I140" s="97"/>
      <c r="J140" s="97"/>
      <c r="K140" s="97"/>
      <c r="L140" s="97"/>
      <c r="M140" s="97"/>
      <c r="N140" s="97"/>
    </row>
    <row r="141" spans="1:14" x14ac:dyDescent="0.3">
      <c r="A141" s="99" t="str">
        <f>IF(B141&lt;&gt;"",IF(COUNTA($B$2:B141)&lt;=26,CHAR(64+COUNTA($B$2:B141)),IF(COUNTA($B$2:B141)&lt;=702,CHAR(64+QUOTIENT(COUNTA($B$2:B141)-1,26))&amp;CHAR(65+MOD(COUNTA($B$2:B141)-1,26)),CHAR(64+QUOTIENT(COUNTA($B$2:B141)-27,676))&amp;CHAR(65+MOD(QUOTIENT(COUNTA($B$2:B141)-27,26),26))&amp;CHAR(65+MOD(COUNTA($B$2:B141)-1,26)))),"")</f>
        <v/>
      </c>
      <c r="B141" s="97"/>
      <c r="C141" s="98"/>
      <c r="D141" s="97"/>
      <c r="E141" s="97"/>
      <c r="F141" s="97"/>
      <c r="G141" s="97"/>
      <c r="H141" s="98"/>
      <c r="I141" s="97"/>
      <c r="J141" s="97"/>
      <c r="K141" s="97"/>
      <c r="L141" s="97"/>
      <c r="M141" s="97"/>
      <c r="N141" s="97"/>
    </row>
    <row r="142" spans="1:14" x14ac:dyDescent="0.3">
      <c r="A142" s="99" t="str">
        <f>IF(B142&lt;&gt;"",IF(COUNTA($B$2:B142)&lt;=26,CHAR(64+COUNTA($B$2:B142)),IF(COUNTA($B$2:B142)&lt;=702,CHAR(64+QUOTIENT(COUNTA($B$2:B142)-1,26))&amp;CHAR(65+MOD(COUNTA($B$2:B142)-1,26)),CHAR(64+QUOTIENT(COUNTA($B$2:B142)-27,676))&amp;CHAR(65+MOD(QUOTIENT(COUNTA($B$2:B142)-27,26),26))&amp;CHAR(65+MOD(COUNTA($B$2:B142)-1,26)))),"")</f>
        <v/>
      </c>
      <c r="B142" s="97"/>
      <c r="C142" s="98"/>
      <c r="D142" s="97"/>
      <c r="E142" s="97"/>
      <c r="F142" s="97"/>
      <c r="G142" s="97"/>
      <c r="H142" s="98"/>
      <c r="I142" s="97"/>
      <c r="J142" s="97"/>
      <c r="K142" s="97"/>
      <c r="L142" s="97"/>
      <c r="M142" s="97"/>
      <c r="N142" s="97"/>
    </row>
    <row r="143" spans="1:14" x14ac:dyDescent="0.3">
      <c r="A143" s="99" t="str">
        <f>IF(B143&lt;&gt;"",IF(COUNTA($B$2:B143)&lt;=26,CHAR(64+COUNTA($B$2:B143)),IF(COUNTA($B$2:B143)&lt;=702,CHAR(64+QUOTIENT(COUNTA($B$2:B143)-1,26))&amp;CHAR(65+MOD(COUNTA($B$2:B143)-1,26)),CHAR(64+QUOTIENT(COUNTA($B$2:B143)-27,676))&amp;CHAR(65+MOD(QUOTIENT(COUNTA($B$2:B143)-27,26),26))&amp;CHAR(65+MOD(COUNTA($B$2:B143)-1,26)))),"")</f>
        <v/>
      </c>
      <c r="B143" s="97"/>
      <c r="C143" s="98"/>
      <c r="D143" s="97"/>
      <c r="E143" s="97"/>
      <c r="F143" s="97"/>
      <c r="G143" s="97"/>
      <c r="H143" s="98"/>
      <c r="I143" s="97"/>
      <c r="J143" s="97"/>
      <c r="K143" s="97"/>
      <c r="L143" s="97"/>
      <c r="M143" s="97"/>
      <c r="N143" s="97"/>
    </row>
    <row r="144" spans="1:14" x14ac:dyDescent="0.3">
      <c r="A144" s="99" t="str">
        <f>IF(B144&lt;&gt;"",IF(COUNTA($B$2:B144)&lt;=26,CHAR(64+COUNTA($B$2:B144)),IF(COUNTA($B$2:B144)&lt;=702,CHAR(64+QUOTIENT(COUNTA($B$2:B144)-1,26))&amp;CHAR(65+MOD(COUNTA($B$2:B144)-1,26)),CHAR(64+QUOTIENT(COUNTA($B$2:B144)-27,676))&amp;CHAR(65+MOD(QUOTIENT(COUNTA($B$2:B144)-27,26),26))&amp;CHAR(65+MOD(COUNTA($B$2:B144)-1,26)))),"")</f>
        <v/>
      </c>
      <c r="B144" s="97"/>
      <c r="C144" s="98"/>
      <c r="D144" s="97"/>
      <c r="E144" s="97"/>
      <c r="F144" s="97"/>
      <c r="G144" s="97"/>
      <c r="H144" s="98"/>
      <c r="I144" s="97"/>
      <c r="J144" s="97"/>
      <c r="K144" s="97"/>
      <c r="L144" s="97"/>
      <c r="M144" s="97"/>
      <c r="N144" s="97"/>
    </row>
    <row r="145" spans="1:14" x14ac:dyDescent="0.3">
      <c r="A145" s="99" t="str">
        <f>IF(B145&lt;&gt;"",IF(COUNTA($B$2:B145)&lt;=26,CHAR(64+COUNTA($B$2:B145)),IF(COUNTA($B$2:B145)&lt;=702,CHAR(64+QUOTIENT(COUNTA($B$2:B145)-1,26))&amp;CHAR(65+MOD(COUNTA($B$2:B145)-1,26)),CHAR(64+QUOTIENT(COUNTA($B$2:B145)-27,676))&amp;CHAR(65+MOD(QUOTIENT(COUNTA($B$2:B145)-27,26),26))&amp;CHAR(65+MOD(COUNTA($B$2:B145)-1,26)))),"")</f>
        <v/>
      </c>
      <c r="B145" s="97"/>
      <c r="C145" s="98"/>
      <c r="D145" s="97"/>
      <c r="E145" s="97"/>
      <c r="F145" s="97"/>
      <c r="G145" s="97"/>
      <c r="H145" s="98"/>
      <c r="I145" s="97"/>
      <c r="J145" s="97"/>
      <c r="K145" s="97"/>
      <c r="L145" s="97"/>
      <c r="M145" s="97"/>
      <c r="N145" s="97"/>
    </row>
    <row r="146" spans="1:14" x14ac:dyDescent="0.3">
      <c r="A146" s="99" t="str">
        <f>IF(B146&lt;&gt;"",IF(COUNTA($B$2:B146)&lt;=26,CHAR(64+COUNTA($B$2:B146)),IF(COUNTA($B$2:B146)&lt;=702,CHAR(64+QUOTIENT(COUNTA($B$2:B146)-1,26))&amp;CHAR(65+MOD(COUNTA($B$2:B146)-1,26)),CHAR(64+QUOTIENT(COUNTA($B$2:B146)-27,676))&amp;CHAR(65+MOD(QUOTIENT(COUNTA($B$2:B146)-27,26),26))&amp;CHAR(65+MOD(COUNTA($B$2:B146)-1,26)))),"")</f>
        <v/>
      </c>
      <c r="B146" s="97"/>
      <c r="C146" s="98"/>
      <c r="D146" s="97"/>
      <c r="E146" s="97"/>
      <c r="F146" s="97"/>
      <c r="G146" s="97"/>
      <c r="H146" s="98"/>
      <c r="I146" s="97"/>
      <c r="J146" s="97"/>
      <c r="K146" s="97"/>
      <c r="L146" s="97"/>
      <c r="M146" s="97"/>
      <c r="N146" s="97"/>
    </row>
    <row r="147" spans="1:14" x14ac:dyDescent="0.3">
      <c r="A147" s="99" t="str">
        <f>IF(B147&lt;&gt;"",IF(COUNTA($B$2:B147)&lt;=26,CHAR(64+COUNTA($B$2:B147)),IF(COUNTA($B$2:B147)&lt;=702,CHAR(64+QUOTIENT(COUNTA($B$2:B147)-1,26))&amp;CHAR(65+MOD(COUNTA($B$2:B147)-1,26)),CHAR(64+QUOTIENT(COUNTA($B$2:B147)-27,676))&amp;CHAR(65+MOD(QUOTIENT(COUNTA($B$2:B147)-27,26),26))&amp;CHAR(65+MOD(COUNTA($B$2:B147)-1,26)))),"")</f>
        <v/>
      </c>
      <c r="B147" s="97"/>
      <c r="C147" s="98"/>
      <c r="D147" s="97"/>
      <c r="E147" s="97"/>
      <c r="F147" s="97"/>
      <c r="G147" s="97"/>
      <c r="H147" s="98"/>
      <c r="I147" s="97"/>
      <c r="J147" s="97"/>
      <c r="K147" s="97"/>
      <c r="L147" s="97"/>
      <c r="M147" s="97"/>
      <c r="N147" s="97"/>
    </row>
    <row r="148" spans="1:14" x14ac:dyDescent="0.3">
      <c r="A148" s="99" t="str">
        <f>IF(B148&lt;&gt;"",IF(COUNTA($B$2:B148)&lt;=26,CHAR(64+COUNTA($B$2:B148)),IF(COUNTA($B$2:B148)&lt;=702,CHAR(64+QUOTIENT(COUNTA($B$2:B148)-1,26))&amp;CHAR(65+MOD(COUNTA($B$2:B148)-1,26)),CHAR(64+QUOTIENT(COUNTA($B$2:B148)-27,676))&amp;CHAR(65+MOD(QUOTIENT(COUNTA($B$2:B148)-27,26),26))&amp;CHAR(65+MOD(COUNTA($B$2:B148)-1,26)))),"")</f>
        <v/>
      </c>
      <c r="B148" s="97"/>
      <c r="C148" s="98"/>
      <c r="D148" s="97"/>
      <c r="E148" s="97"/>
      <c r="F148" s="97"/>
      <c r="G148" s="97"/>
      <c r="H148" s="98"/>
      <c r="I148" s="97"/>
      <c r="J148" s="97"/>
      <c r="K148" s="97"/>
      <c r="L148" s="97"/>
      <c r="M148" s="97"/>
      <c r="N148" s="97"/>
    </row>
    <row r="149" spans="1:14" x14ac:dyDescent="0.3">
      <c r="A149" s="99" t="str">
        <f>IF(B149&lt;&gt;"",IF(COUNTA($B$2:B149)&lt;=26,CHAR(64+COUNTA($B$2:B149)),IF(COUNTA($B$2:B149)&lt;=702,CHAR(64+QUOTIENT(COUNTA($B$2:B149)-1,26))&amp;CHAR(65+MOD(COUNTA($B$2:B149)-1,26)),CHAR(64+QUOTIENT(COUNTA($B$2:B149)-27,676))&amp;CHAR(65+MOD(QUOTIENT(COUNTA($B$2:B149)-27,26),26))&amp;CHAR(65+MOD(COUNTA($B$2:B149)-1,26)))),"")</f>
        <v/>
      </c>
      <c r="B149" s="97"/>
      <c r="C149" s="98"/>
      <c r="D149" s="97"/>
      <c r="E149" s="97"/>
      <c r="F149" s="97"/>
      <c r="G149" s="97"/>
      <c r="H149" s="98"/>
      <c r="I149" s="97"/>
      <c r="J149" s="97"/>
      <c r="K149" s="97"/>
      <c r="L149" s="97"/>
      <c r="M149" s="97"/>
      <c r="N149" s="97"/>
    </row>
    <row r="150" spans="1:14" x14ac:dyDescent="0.3">
      <c r="A150" s="99" t="str">
        <f>IF(B150&lt;&gt;"",IF(COUNTA($B$2:B150)&lt;=26,CHAR(64+COUNTA($B$2:B150)),IF(COUNTA($B$2:B150)&lt;=702,CHAR(64+QUOTIENT(COUNTA($B$2:B150)-1,26))&amp;CHAR(65+MOD(COUNTA($B$2:B150)-1,26)),CHAR(64+QUOTIENT(COUNTA($B$2:B150)-27,676))&amp;CHAR(65+MOD(QUOTIENT(COUNTA($B$2:B150)-27,26),26))&amp;CHAR(65+MOD(COUNTA($B$2:B150)-1,26)))),"")</f>
        <v/>
      </c>
      <c r="B150" s="97"/>
      <c r="C150" s="98"/>
      <c r="D150" s="97"/>
      <c r="E150" s="97"/>
      <c r="F150" s="97"/>
      <c r="G150" s="97"/>
      <c r="H150" s="98"/>
      <c r="I150" s="97"/>
      <c r="J150" s="97"/>
      <c r="K150" s="97"/>
      <c r="L150" s="97"/>
      <c r="M150" s="97"/>
      <c r="N150" s="97"/>
    </row>
    <row r="151" spans="1:14" x14ac:dyDescent="0.3">
      <c r="A151" s="99" t="str">
        <f>IF(B151&lt;&gt;"",IF(COUNTA($B$2:B151)&lt;=26,CHAR(64+COUNTA($B$2:B151)),IF(COUNTA($B$2:B151)&lt;=702,CHAR(64+QUOTIENT(COUNTA($B$2:B151)-1,26))&amp;CHAR(65+MOD(COUNTA($B$2:B151)-1,26)),CHAR(64+QUOTIENT(COUNTA($B$2:B151)-27,676))&amp;CHAR(65+MOD(QUOTIENT(COUNTA($B$2:B151)-27,26),26))&amp;CHAR(65+MOD(COUNTA($B$2:B151)-1,26)))),"")</f>
        <v/>
      </c>
      <c r="B151" s="97"/>
      <c r="C151" s="98"/>
      <c r="D151" s="97"/>
      <c r="E151" s="97"/>
      <c r="F151" s="97"/>
      <c r="G151" s="97"/>
      <c r="H151" s="98"/>
      <c r="I151" s="97"/>
      <c r="J151" s="97"/>
      <c r="K151" s="97"/>
      <c r="L151" s="97"/>
      <c r="M151" s="97"/>
      <c r="N151" s="97"/>
    </row>
    <row r="152" spans="1:14" x14ac:dyDescent="0.3">
      <c r="A152" s="99" t="str">
        <f>IF(B152&lt;&gt;"",IF(COUNTA($B$2:B152)&lt;=26,CHAR(64+COUNTA($B$2:B152)),IF(COUNTA($B$2:B152)&lt;=702,CHAR(64+QUOTIENT(COUNTA($B$2:B152)-1,26))&amp;CHAR(65+MOD(COUNTA($B$2:B152)-1,26)),CHAR(64+QUOTIENT(COUNTA($B$2:B152)-27,676))&amp;CHAR(65+MOD(QUOTIENT(COUNTA($B$2:B152)-27,26),26))&amp;CHAR(65+MOD(COUNTA($B$2:B152)-1,26)))),"")</f>
        <v/>
      </c>
      <c r="B152" s="97"/>
      <c r="C152" s="98"/>
      <c r="D152" s="97"/>
      <c r="E152" s="97"/>
      <c r="F152" s="97"/>
      <c r="G152" s="97"/>
      <c r="H152" s="98"/>
      <c r="I152" s="97"/>
      <c r="J152" s="97"/>
      <c r="K152" s="97"/>
      <c r="L152" s="97"/>
      <c r="M152" s="97"/>
      <c r="N152" s="97"/>
    </row>
    <row r="153" spans="1:14" x14ac:dyDescent="0.3">
      <c r="A153" s="99" t="str">
        <f>IF(B153&lt;&gt;"",IF(COUNTA($B$2:B153)&lt;=26,CHAR(64+COUNTA($B$2:B153)),IF(COUNTA($B$2:B153)&lt;=702,CHAR(64+QUOTIENT(COUNTA($B$2:B153)-1,26))&amp;CHAR(65+MOD(COUNTA($B$2:B153)-1,26)),CHAR(64+QUOTIENT(COUNTA($B$2:B153)-27,676))&amp;CHAR(65+MOD(QUOTIENT(COUNTA($B$2:B153)-27,26),26))&amp;CHAR(65+MOD(COUNTA($B$2:B153)-1,26)))),"")</f>
        <v/>
      </c>
      <c r="B153" s="97"/>
      <c r="C153" s="98"/>
      <c r="D153" s="97"/>
      <c r="E153" s="97"/>
      <c r="F153" s="97"/>
      <c r="G153" s="97"/>
      <c r="H153" s="98"/>
      <c r="I153" s="97"/>
      <c r="J153" s="97"/>
      <c r="K153" s="97"/>
      <c r="L153" s="97"/>
      <c r="M153" s="97"/>
      <c r="N153" s="97"/>
    </row>
    <row r="154" spans="1:14" x14ac:dyDescent="0.3">
      <c r="A154" s="99" t="str">
        <f>IF(B154&lt;&gt;"",IF(COUNTA($B$2:B154)&lt;=26,CHAR(64+COUNTA($B$2:B154)),IF(COUNTA($B$2:B154)&lt;=702,CHAR(64+QUOTIENT(COUNTA($B$2:B154)-1,26))&amp;CHAR(65+MOD(COUNTA($B$2:B154)-1,26)),CHAR(64+QUOTIENT(COUNTA($B$2:B154)-27,676))&amp;CHAR(65+MOD(QUOTIENT(COUNTA($B$2:B154)-27,26),26))&amp;CHAR(65+MOD(COUNTA($B$2:B154)-1,26)))),"")</f>
        <v/>
      </c>
      <c r="B154" s="97"/>
      <c r="C154" s="98"/>
      <c r="D154" s="97"/>
      <c r="E154" s="97"/>
      <c r="F154" s="97"/>
      <c r="G154" s="97"/>
      <c r="H154" s="98"/>
      <c r="I154" s="97"/>
      <c r="J154" s="97"/>
      <c r="K154" s="97"/>
      <c r="L154" s="97"/>
      <c r="M154" s="97"/>
      <c r="N154" s="97"/>
    </row>
    <row r="155" spans="1:14" x14ac:dyDescent="0.3">
      <c r="A155" s="99" t="str">
        <f>IF(B155&lt;&gt;"",IF(COUNTA($B$2:B155)&lt;=26,CHAR(64+COUNTA($B$2:B155)),IF(COUNTA($B$2:B155)&lt;=702,CHAR(64+QUOTIENT(COUNTA($B$2:B155)-1,26))&amp;CHAR(65+MOD(COUNTA($B$2:B155)-1,26)),CHAR(64+QUOTIENT(COUNTA($B$2:B155)-27,676))&amp;CHAR(65+MOD(QUOTIENT(COUNTA($B$2:B155)-27,26),26))&amp;CHAR(65+MOD(COUNTA($B$2:B155)-1,26)))),"")</f>
        <v/>
      </c>
      <c r="B155" s="97"/>
      <c r="C155" s="98"/>
      <c r="D155" s="97"/>
      <c r="E155" s="97"/>
      <c r="F155" s="97"/>
      <c r="G155" s="97"/>
      <c r="H155" s="98"/>
      <c r="I155" s="97"/>
      <c r="J155" s="97"/>
      <c r="K155" s="97"/>
      <c r="L155" s="97"/>
      <c r="M155" s="97"/>
      <c r="N155" s="97"/>
    </row>
    <row r="156" spans="1:14" x14ac:dyDescent="0.3">
      <c r="A156" s="99" t="str">
        <f>IF(B156&lt;&gt;"",IF(COUNTA($B$2:B156)&lt;=26,CHAR(64+COUNTA($B$2:B156)),IF(COUNTA($B$2:B156)&lt;=702,CHAR(64+QUOTIENT(COUNTA($B$2:B156)-1,26))&amp;CHAR(65+MOD(COUNTA($B$2:B156)-1,26)),CHAR(64+QUOTIENT(COUNTA($B$2:B156)-27,676))&amp;CHAR(65+MOD(QUOTIENT(COUNTA($B$2:B156)-27,26),26))&amp;CHAR(65+MOD(COUNTA($B$2:B156)-1,26)))),"")</f>
        <v/>
      </c>
      <c r="B156" s="97"/>
      <c r="C156" s="98"/>
      <c r="D156" s="97"/>
      <c r="E156" s="97"/>
      <c r="F156" s="97"/>
      <c r="G156" s="97"/>
      <c r="H156" s="98"/>
      <c r="I156" s="97"/>
      <c r="J156" s="97"/>
      <c r="K156" s="97"/>
      <c r="L156" s="97"/>
      <c r="M156" s="97"/>
      <c r="N156" s="97"/>
    </row>
    <row r="157" spans="1:14" x14ac:dyDescent="0.3">
      <c r="A157" s="99" t="str">
        <f>IF(B157&lt;&gt;"",IF(COUNTA($B$2:B157)&lt;=26,CHAR(64+COUNTA($B$2:B157)),IF(COUNTA($B$2:B157)&lt;=702,CHAR(64+QUOTIENT(COUNTA($B$2:B157)-1,26))&amp;CHAR(65+MOD(COUNTA($B$2:B157)-1,26)),CHAR(64+QUOTIENT(COUNTA($B$2:B157)-27,676))&amp;CHAR(65+MOD(QUOTIENT(COUNTA($B$2:B157)-27,26),26))&amp;CHAR(65+MOD(COUNTA($B$2:B157)-1,26)))),"")</f>
        <v/>
      </c>
      <c r="B157" s="97"/>
      <c r="C157" s="98"/>
      <c r="D157" s="97"/>
      <c r="E157" s="97"/>
      <c r="F157" s="97"/>
      <c r="G157" s="97"/>
      <c r="H157" s="98"/>
      <c r="I157" s="97"/>
      <c r="J157" s="97"/>
      <c r="K157" s="97"/>
      <c r="L157" s="97"/>
      <c r="M157" s="97"/>
      <c r="N157" s="97"/>
    </row>
    <row r="158" spans="1:14" x14ac:dyDescent="0.3">
      <c r="A158" s="99" t="str">
        <f>IF(B158&lt;&gt;"",IF(COUNTA($B$2:B158)&lt;=26,CHAR(64+COUNTA($B$2:B158)),IF(COUNTA($B$2:B158)&lt;=702,CHAR(64+QUOTIENT(COUNTA($B$2:B158)-1,26))&amp;CHAR(65+MOD(COUNTA($B$2:B158)-1,26)),CHAR(64+QUOTIENT(COUNTA($B$2:B158)-27,676))&amp;CHAR(65+MOD(QUOTIENT(COUNTA($B$2:B158)-27,26),26))&amp;CHAR(65+MOD(COUNTA($B$2:B158)-1,26)))),"")</f>
        <v/>
      </c>
      <c r="B158" s="97"/>
      <c r="C158" s="98"/>
      <c r="D158" s="97"/>
      <c r="E158" s="97"/>
      <c r="F158" s="97"/>
      <c r="G158" s="97"/>
      <c r="H158" s="98"/>
      <c r="I158" s="97"/>
      <c r="J158" s="97"/>
      <c r="K158" s="97"/>
      <c r="L158" s="97"/>
      <c r="M158" s="97"/>
      <c r="N158" s="97"/>
    </row>
    <row r="159" spans="1:14" x14ac:dyDescent="0.3">
      <c r="A159" s="99" t="str">
        <f>IF(B159&lt;&gt;"",IF(COUNTA($B$2:B159)&lt;=26,CHAR(64+COUNTA($B$2:B159)),IF(COUNTA($B$2:B159)&lt;=702,CHAR(64+QUOTIENT(COUNTA($B$2:B159)-1,26))&amp;CHAR(65+MOD(COUNTA($B$2:B159)-1,26)),CHAR(64+QUOTIENT(COUNTA($B$2:B159)-27,676))&amp;CHAR(65+MOD(QUOTIENT(COUNTA($B$2:B159)-27,26),26))&amp;CHAR(65+MOD(COUNTA($B$2:B159)-1,26)))),"")</f>
        <v/>
      </c>
      <c r="B159" s="97"/>
      <c r="C159" s="98"/>
      <c r="D159" s="97"/>
      <c r="E159" s="97"/>
      <c r="F159" s="97"/>
      <c r="G159" s="97"/>
      <c r="H159" s="98"/>
      <c r="I159" s="97"/>
      <c r="J159" s="97"/>
      <c r="K159" s="97"/>
      <c r="L159" s="97"/>
      <c r="M159" s="97"/>
      <c r="N159" s="97"/>
    </row>
    <row r="160" spans="1:14" x14ac:dyDescent="0.3">
      <c r="A160" s="99" t="str">
        <f>IF(B160&lt;&gt;"",IF(COUNTA($B$2:B160)&lt;=26,CHAR(64+COUNTA($B$2:B160)),IF(COUNTA($B$2:B160)&lt;=702,CHAR(64+QUOTIENT(COUNTA($B$2:B160)-1,26))&amp;CHAR(65+MOD(COUNTA($B$2:B160)-1,26)),CHAR(64+QUOTIENT(COUNTA($B$2:B160)-27,676))&amp;CHAR(65+MOD(QUOTIENT(COUNTA($B$2:B160)-27,26),26))&amp;CHAR(65+MOD(COUNTA($B$2:B160)-1,26)))),"")</f>
        <v/>
      </c>
      <c r="B160" s="97"/>
      <c r="C160" s="98"/>
      <c r="D160" s="97"/>
      <c r="E160" s="97"/>
      <c r="F160" s="97"/>
      <c r="G160" s="97"/>
      <c r="H160" s="98"/>
      <c r="I160" s="97"/>
      <c r="J160" s="97"/>
      <c r="K160" s="97"/>
      <c r="L160" s="97"/>
      <c r="M160" s="97"/>
      <c r="N160" s="97"/>
    </row>
    <row r="161" spans="1:14" x14ac:dyDescent="0.3">
      <c r="A161" s="99" t="str">
        <f>IF(B161&lt;&gt;"",IF(COUNTA($B$2:B161)&lt;=26,CHAR(64+COUNTA($B$2:B161)),IF(COUNTA($B$2:B161)&lt;=702,CHAR(64+QUOTIENT(COUNTA($B$2:B161)-1,26))&amp;CHAR(65+MOD(COUNTA($B$2:B161)-1,26)),CHAR(64+QUOTIENT(COUNTA($B$2:B161)-27,676))&amp;CHAR(65+MOD(QUOTIENT(COUNTA($B$2:B161)-27,26),26))&amp;CHAR(65+MOD(COUNTA($B$2:B161)-1,26)))),"")</f>
        <v/>
      </c>
      <c r="B161" s="97"/>
      <c r="C161" s="98"/>
      <c r="D161" s="97"/>
      <c r="E161" s="97"/>
      <c r="F161" s="97"/>
      <c r="G161" s="97"/>
      <c r="H161" s="98"/>
      <c r="I161" s="97"/>
      <c r="J161" s="97"/>
      <c r="K161" s="97"/>
      <c r="L161" s="97"/>
      <c r="M161" s="97"/>
      <c r="N161" s="97"/>
    </row>
    <row r="162" spans="1:14" x14ac:dyDescent="0.3">
      <c r="A162" s="99" t="str">
        <f>IF(B162&lt;&gt;"",IF(COUNTA($B$2:B162)&lt;=26,CHAR(64+COUNTA($B$2:B162)),IF(COUNTA($B$2:B162)&lt;=702,CHAR(64+QUOTIENT(COUNTA($B$2:B162)-1,26))&amp;CHAR(65+MOD(COUNTA($B$2:B162)-1,26)),CHAR(64+QUOTIENT(COUNTA($B$2:B162)-27,676))&amp;CHAR(65+MOD(QUOTIENT(COUNTA($B$2:B162)-27,26),26))&amp;CHAR(65+MOD(COUNTA($B$2:B162)-1,26)))),"")</f>
        <v/>
      </c>
      <c r="B162" s="97"/>
      <c r="C162" s="98"/>
      <c r="D162" s="97"/>
      <c r="E162" s="97"/>
      <c r="F162" s="97"/>
      <c r="G162" s="97"/>
      <c r="H162" s="98"/>
      <c r="I162" s="97"/>
      <c r="J162" s="97"/>
      <c r="K162" s="97"/>
      <c r="L162" s="97"/>
      <c r="M162" s="97"/>
      <c r="N162" s="97"/>
    </row>
    <row r="163" spans="1:14" x14ac:dyDescent="0.3">
      <c r="A163" s="99" t="str">
        <f>IF(B163&lt;&gt;"",IF(COUNTA($B$2:B163)&lt;=26,CHAR(64+COUNTA($B$2:B163)),IF(COUNTA($B$2:B163)&lt;=702,CHAR(64+QUOTIENT(COUNTA($B$2:B163)-1,26))&amp;CHAR(65+MOD(COUNTA($B$2:B163)-1,26)),CHAR(64+QUOTIENT(COUNTA($B$2:B163)-27,676))&amp;CHAR(65+MOD(QUOTIENT(COUNTA($B$2:B163)-27,26),26))&amp;CHAR(65+MOD(COUNTA($B$2:B163)-1,26)))),"")</f>
        <v/>
      </c>
      <c r="B163" s="97"/>
      <c r="C163" s="98"/>
      <c r="D163" s="97"/>
      <c r="E163" s="97"/>
      <c r="F163" s="97"/>
      <c r="G163" s="97"/>
      <c r="H163" s="98"/>
      <c r="I163" s="97"/>
      <c r="J163" s="97"/>
      <c r="K163" s="97"/>
      <c r="L163" s="97"/>
      <c r="M163" s="97"/>
      <c r="N163" s="97"/>
    </row>
    <row r="164" spans="1:14" x14ac:dyDescent="0.3">
      <c r="A164" s="99" t="str">
        <f>IF(B164&lt;&gt;"",IF(COUNTA($B$2:B164)&lt;=26,CHAR(64+COUNTA($B$2:B164)),IF(COUNTA($B$2:B164)&lt;=702,CHAR(64+QUOTIENT(COUNTA($B$2:B164)-1,26))&amp;CHAR(65+MOD(COUNTA($B$2:B164)-1,26)),CHAR(64+QUOTIENT(COUNTA($B$2:B164)-27,676))&amp;CHAR(65+MOD(QUOTIENT(COUNTA($B$2:B164)-27,26),26))&amp;CHAR(65+MOD(COUNTA($B$2:B164)-1,26)))),"")</f>
        <v/>
      </c>
      <c r="B164" s="97"/>
      <c r="C164" s="98"/>
      <c r="D164" s="97"/>
      <c r="E164" s="97"/>
      <c r="F164" s="97"/>
      <c r="G164" s="97"/>
      <c r="H164" s="98"/>
      <c r="I164" s="97"/>
      <c r="J164" s="97"/>
      <c r="K164" s="97"/>
      <c r="L164" s="97"/>
      <c r="M164" s="97"/>
      <c r="N164" s="97"/>
    </row>
    <row r="165" spans="1:14" x14ac:dyDescent="0.3">
      <c r="A165" s="99" t="str">
        <f>IF(B165&lt;&gt;"",IF(COUNTA($B$2:B165)&lt;=26,CHAR(64+COUNTA($B$2:B165)),IF(COUNTA($B$2:B165)&lt;=702,CHAR(64+QUOTIENT(COUNTA($B$2:B165)-1,26))&amp;CHAR(65+MOD(COUNTA($B$2:B165)-1,26)),CHAR(64+QUOTIENT(COUNTA($B$2:B165)-27,676))&amp;CHAR(65+MOD(QUOTIENT(COUNTA($B$2:B165)-27,26),26))&amp;CHAR(65+MOD(COUNTA($B$2:B165)-1,26)))),"")</f>
        <v/>
      </c>
      <c r="B165" s="97"/>
      <c r="C165" s="98"/>
      <c r="D165" s="97"/>
      <c r="E165" s="97"/>
      <c r="F165" s="97"/>
      <c r="G165" s="97"/>
      <c r="H165" s="98"/>
      <c r="I165" s="97"/>
      <c r="J165" s="97"/>
      <c r="K165" s="97"/>
      <c r="L165" s="97"/>
      <c r="M165" s="97"/>
      <c r="N165" s="97"/>
    </row>
    <row r="166" spans="1:14" x14ac:dyDescent="0.3">
      <c r="A166" s="99" t="str">
        <f>IF(B166&lt;&gt;"",IF(COUNTA($B$2:B166)&lt;=26,CHAR(64+COUNTA($B$2:B166)),IF(COUNTA($B$2:B166)&lt;=702,CHAR(64+QUOTIENT(COUNTA($B$2:B166)-1,26))&amp;CHAR(65+MOD(COUNTA($B$2:B166)-1,26)),CHAR(64+QUOTIENT(COUNTA($B$2:B166)-27,676))&amp;CHAR(65+MOD(QUOTIENT(COUNTA($B$2:B166)-27,26),26))&amp;CHAR(65+MOD(COUNTA($B$2:B166)-1,26)))),"")</f>
        <v/>
      </c>
      <c r="B166" s="97"/>
      <c r="C166" s="98"/>
      <c r="D166" s="97"/>
      <c r="E166" s="97"/>
      <c r="F166" s="97"/>
      <c r="G166" s="97"/>
      <c r="H166" s="98"/>
      <c r="I166" s="97"/>
      <c r="J166" s="97"/>
      <c r="K166" s="97"/>
      <c r="L166" s="97"/>
      <c r="M166" s="97"/>
      <c r="N166" s="97"/>
    </row>
    <row r="167" spans="1:14" x14ac:dyDescent="0.3">
      <c r="A167" s="99" t="str">
        <f>IF(B167&lt;&gt;"",IF(COUNTA($B$2:B167)&lt;=26,CHAR(64+COUNTA($B$2:B167)),IF(COUNTA($B$2:B167)&lt;=702,CHAR(64+QUOTIENT(COUNTA($B$2:B167)-1,26))&amp;CHAR(65+MOD(COUNTA($B$2:B167)-1,26)),CHAR(64+QUOTIENT(COUNTA($B$2:B167)-27,676))&amp;CHAR(65+MOD(QUOTIENT(COUNTA($B$2:B167)-27,26),26))&amp;CHAR(65+MOD(COUNTA($B$2:B167)-1,26)))),"")</f>
        <v/>
      </c>
      <c r="B167" s="97"/>
      <c r="C167" s="98"/>
      <c r="D167" s="97"/>
      <c r="E167" s="97"/>
      <c r="F167" s="97"/>
      <c r="G167" s="97"/>
      <c r="H167" s="98"/>
      <c r="I167" s="97"/>
      <c r="J167" s="97"/>
      <c r="K167" s="97"/>
      <c r="L167" s="97"/>
      <c r="M167" s="97"/>
      <c r="N167" s="97"/>
    </row>
    <row r="168" spans="1:14" x14ac:dyDescent="0.3">
      <c r="A168" s="99" t="str">
        <f>IF(B168&lt;&gt;"",IF(COUNTA($B$2:B168)&lt;=26,CHAR(64+COUNTA($B$2:B168)),IF(COUNTA($B$2:B168)&lt;=702,CHAR(64+QUOTIENT(COUNTA($B$2:B168)-1,26))&amp;CHAR(65+MOD(COUNTA($B$2:B168)-1,26)),CHAR(64+QUOTIENT(COUNTA($B$2:B168)-27,676))&amp;CHAR(65+MOD(QUOTIENT(COUNTA($B$2:B168)-27,26),26))&amp;CHAR(65+MOD(COUNTA($B$2:B168)-1,26)))),"")</f>
        <v/>
      </c>
      <c r="B168" s="97"/>
      <c r="C168" s="98"/>
      <c r="D168" s="97"/>
      <c r="E168" s="97"/>
      <c r="F168" s="97"/>
      <c r="G168" s="97"/>
      <c r="H168" s="98"/>
      <c r="I168" s="97"/>
      <c r="J168" s="97"/>
      <c r="K168" s="97"/>
      <c r="L168" s="97"/>
      <c r="M168" s="97"/>
      <c r="N168" s="97"/>
    </row>
    <row r="169" spans="1:14" x14ac:dyDescent="0.3">
      <c r="A169" s="99" t="str">
        <f>IF(B169&lt;&gt;"",IF(COUNTA($B$2:B169)&lt;=26,CHAR(64+COUNTA($B$2:B169)),IF(COUNTA($B$2:B169)&lt;=702,CHAR(64+QUOTIENT(COUNTA($B$2:B169)-1,26))&amp;CHAR(65+MOD(COUNTA($B$2:B169)-1,26)),CHAR(64+QUOTIENT(COUNTA($B$2:B169)-27,676))&amp;CHAR(65+MOD(QUOTIENT(COUNTA($B$2:B169)-27,26),26))&amp;CHAR(65+MOD(COUNTA($B$2:B169)-1,26)))),"")</f>
        <v/>
      </c>
      <c r="B169" s="97"/>
      <c r="C169" s="98"/>
      <c r="D169" s="97"/>
      <c r="E169" s="97"/>
      <c r="F169" s="97"/>
      <c r="G169" s="97"/>
      <c r="H169" s="98"/>
      <c r="I169" s="97"/>
      <c r="J169" s="97"/>
      <c r="K169" s="97"/>
      <c r="L169" s="97"/>
      <c r="M169" s="97"/>
      <c r="N169" s="97"/>
    </row>
    <row r="170" spans="1:14" x14ac:dyDescent="0.3">
      <c r="A170" s="99" t="str">
        <f>IF(B170&lt;&gt;"",IF(COUNTA($B$2:B170)&lt;=26,CHAR(64+COUNTA($B$2:B170)),IF(COUNTA($B$2:B170)&lt;=702,CHAR(64+QUOTIENT(COUNTA($B$2:B170)-1,26))&amp;CHAR(65+MOD(COUNTA($B$2:B170)-1,26)),CHAR(64+QUOTIENT(COUNTA($B$2:B170)-27,676))&amp;CHAR(65+MOD(QUOTIENT(COUNTA($B$2:B170)-27,26),26))&amp;CHAR(65+MOD(COUNTA($B$2:B170)-1,26)))),"")</f>
        <v/>
      </c>
      <c r="B170" s="97"/>
      <c r="C170" s="98"/>
      <c r="D170" s="97"/>
      <c r="E170" s="97"/>
      <c r="F170" s="97"/>
      <c r="G170" s="97"/>
      <c r="H170" s="98"/>
      <c r="I170" s="97"/>
      <c r="J170" s="97"/>
      <c r="K170" s="97"/>
      <c r="L170" s="97"/>
      <c r="M170" s="97"/>
      <c r="N170" s="97"/>
    </row>
    <row r="171" spans="1:14" x14ac:dyDescent="0.3">
      <c r="A171" s="99" t="str">
        <f>IF(B171&lt;&gt;"",IF(COUNTA($B$2:B171)&lt;=26,CHAR(64+COUNTA($B$2:B171)),IF(COUNTA($B$2:B171)&lt;=702,CHAR(64+QUOTIENT(COUNTA($B$2:B171)-1,26))&amp;CHAR(65+MOD(COUNTA($B$2:B171)-1,26)),CHAR(64+QUOTIENT(COUNTA($B$2:B171)-27,676))&amp;CHAR(65+MOD(QUOTIENT(COUNTA($B$2:B171)-27,26),26))&amp;CHAR(65+MOD(COUNTA($B$2:B171)-1,26)))),"")</f>
        <v/>
      </c>
      <c r="B171" s="97"/>
      <c r="C171" s="98"/>
      <c r="D171" s="97"/>
      <c r="E171" s="97"/>
      <c r="F171" s="97"/>
      <c r="G171" s="97"/>
      <c r="H171" s="98"/>
      <c r="I171" s="97"/>
      <c r="J171" s="97"/>
      <c r="K171" s="97"/>
      <c r="L171" s="97"/>
      <c r="M171" s="97"/>
      <c r="N171" s="97"/>
    </row>
    <row r="172" spans="1:14" x14ac:dyDescent="0.3">
      <c r="A172" s="99" t="str">
        <f>IF(B172&lt;&gt;"",IF(COUNTA($B$2:B172)&lt;=26,CHAR(64+COUNTA($B$2:B172)),IF(COUNTA($B$2:B172)&lt;=702,CHAR(64+QUOTIENT(COUNTA($B$2:B172)-1,26))&amp;CHAR(65+MOD(COUNTA($B$2:B172)-1,26)),CHAR(64+QUOTIENT(COUNTA($B$2:B172)-27,676))&amp;CHAR(65+MOD(QUOTIENT(COUNTA($B$2:B172)-27,26),26))&amp;CHAR(65+MOD(COUNTA($B$2:B172)-1,26)))),"")</f>
        <v/>
      </c>
      <c r="B172" s="97"/>
      <c r="C172" s="98"/>
      <c r="D172" s="97"/>
      <c r="E172" s="97"/>
      <c r="F172" s="97"/>
      <c r="G172" s="97"/>
      <c r="H172" s="98"/>
      <c r="I172" s="97"/>
      <c r="J172" s="97"/>
      <c r="K172" s="97"/>
      <c r="L172" s="97"/>
      <c r="M172" s="97"/>
      <c r="N172" s="97"/>
    </row>
    <row r="173" spans="1:14" x14ac:dyDescent="0.3">
      <c r="A173" s="99" t="str">
        <f>IF(B173&lt;&gt;"",IF(COUNTA($B$2:B173)&lt;=26,CHAR(64+COUNTA($B$2:B173)),IF(COUNTA($B$2:B173)&lt;=702,CHAR(64+QUOTIENT(COUNTA($B$2:B173)-1,26))&amp;CHAR(65+MOD(COUNTA($B$2:B173)-1,26)),CHAR(64+QUOTIENT(COUNTA($B$2:B173)-27,676))&amp;CHAR(65+MOD(QUOTIENT(COUNTA($B$2:B173)-27,26),26))&amp;CHAR(65+MOD(COUNTA($B$2:B173)-1,26)))),"")</f>
        <v/>
      </c>
      <c r="B173" s="97"/>
      <c r="C173" s="98"/>
      <c r="D173" s="97"/>
      <c r="E173" s="97"/>
      <c r="F173" s="97"/>
      <c r="G173" s="97"/>
      <c r="H173" s="98"/>
      <c r="I173" s="97"/>
      <c r="J173" s="97"/>
      <c r="K173" s="97"/>
      <c r="L173" s="97"/>
      <c r="M173" s="97"/>
      <c r="N173" s="97"/>
    </row>
    <row r="174" spans="1:14" x14ac:dyDescent="0.3">
      <c r="A174" s="99" t="str">
        <f>IF(B174&lt;&gt;"",IF(COUNTA($B$2:B174)&lt;=26,CHAR(64+COUNTA($B$2:B174)),IF(COUNTA($B$2:B174)&lt;=702,CHAR(64+QUOTIENT(COUNTA($B$2:B174)-1,26))&amp;CHAR(65+MOD(COUNTA($B$2:B174)-1,26)),CHAR(64+QUOTIENT(COUNTA($B$2:B174)-27,676))&amp;CHAR(65+MOD(QUOTIENT(COUNTA($B$2:B174)-27,26),26))&amp;CHAR(65+MOD(COUNTA($B$2:B174)-1,26)))),"")</f>
        <v/>
      </c>
      <c r="B174" s="97"/>
      <c r="C174" s="98"/>
      <c r="D174" s="97"/>
      <c r="E174" s="97"/>
      <c r="F174" s="97"/>
      <c r="G174" s="97"/>
      <c r="H174" s="98"/>
      <c r="I174" s="97"/>
      <c r="J174" s="97"/>
      <c r="K174" s="97"/>
      <c r="L174" s="97"/>
      <c r="M174" s="97"/>
      <c r="N174" s="97"/>
    </row>
    <row r="175" spans="1:14" x14ac:dyDescent="0.3">
      <c r="A175" s="99" t="str">
        <f>IF(B175&lt;&gt;"",IF(COUNTA($B$2:B175)&lt;=26,CHAR(64+COUNTA($B$2:B175)),IF(COUNTA($B$2:B175)&lt;=702,CHAR(64+QUOTIENT(COUNTA($B$2:B175)-1,26))&amp;CHAR(65+MOD(COUNTA($B$2:B175)-1,26)),CHAR(64+QUOTIENT(COUNTA($B$2:B175)-27,676))&amp;CHAR(65+MOD(QUOTIENT(COUNTA($B$2:B175)-27,26),26))&amp;CHAR(65+MOD(COUNTA($B$2:B175)-1,26)))),"")</f>
        <v/>
      </c>
      <c r="B175" s="97"/>
      <c r="C175" s="98"/>
      <c r="D175" s="97"/>
      <c r="E175" s="97"/>
      <c r="F175" s="97"/>
      <c r="G175" s="97"/>
      <c r="H175" s="98"/>
      <c r="I175" s="97"/>
      <c r="J175" s="97"/>
      <c r="K175" s="97"/>
      <c r="L175" s="97"/>
      <c r="M175" s="97"/>
      <c r="N175" s="97"/>
    </row>
    <row r="176" spans="1:14" x14ac:dyDescent="0.3">
      <c r="A176" s="99" t="str">
        <f>IF(B176&lt;&gt;"",IF(COUNTA($B$2:B176)&lt;=26,CHAR(64+COUNTA($B$2:B176)),IF(COUNTA($B$2:B176)&lt;=702,CHAR(64+QUOTIENT(COUNTA($B$2:B176)-1,26))&amp;CHAR(65+MOD(COUNTA($B$2:B176)-1,26)),CHAR(64+QUOTIENT(COUNTA($B$2:B176)-27,676))&amp;CHAR(65+MOD(QUOTIENT(COUNTA($B$2:B176)-27,26),26))&amp;CHAR(65+MOD(COUNTA($B$2:B176)-1,26)))),"")</f>
        <v/>
      </c>
      <c r="B176" s="97"/>
      <c r="C176" s="98"/>
      <c r="D176" s="97"/>
      <c r="E176" s="97"/>
      <c r="F176" s="97"/>
      <c r="G176" s="97"/>
      <c r="H176" s="98"/>
      <c r="I176" s="97"/>
      <c r="J176" s="97"/>
      <c r="K176" s="97"/>
      <c r="L176" s="97"/>
      <c r="M176" s="97"/>
      <c r="N176" s="97"/>
    </row>
    <row r="177" spans="1:14" x14ac:dyDescent="0.3">
      <c r="A177" s="99" t="str">
        <f>IF(B177&lt;&gt;"",IF(COUNTA($B$2:B177)&lt;=26,CHAR(64+COUNTA($B$2:B177)),IF(COUNTA($B$2:B177)&lt;=702,CHAR(64+QUOTIENT(COUNTA($B$2:B177)-1,26))&amp;CHAR(65+MOD(COUNTA($B$2:B177)-1,26)),CHAR(64+QUOTIENT(COUNTA($B$2:B177)-27,676))&amp;CHAR(65+MOD(QUOTIENT(COUNTA($B$2:B177)-27,26),26))&amp;CHAR(65+MOD(COUNTA($B$2:B177)-1,26)))),"")</f>
        <v/>
      </c>
      <c r="B177" s="97"/>
      <c r="C177" s="98"/>
      <c r="D177" s="97"/>
      <c r="E177" s="97"/>
      <c r="F177" s="97"/>
      <c r="G177" s="97"/>
      <c r="H177" s="98"/>
      <c r="I177" s="97"/>
      <c r="J177" s="97"/>
      <c r="K177" s="97"/>
      <c r="L177" s="97"/>
      <c r="M177" s="97"/>
      <c r="N177" s="97"/>
    </row>
    <row r="178" spans="1:14" x14ac:dyDescent="0.3">
      <c r="A178" s="99" t="str">
        <f>IF(B178&lt;&gt;"",IF(COUNTA($B$2:B178)&lt;=26,CHAR(64+COUNTA($B$2:B178)),IF(COUNTA($B$2:B178)&lt;=702,CHAR(64+QUOTIENT(COUNTA($B$2:B178)-1,26))&amp;CHAR(65+MOD(COUNTA($B$2:B178)-1,26)),CHAR(64+QUOTIENT(COUNTA($B$2:B178)-27,676))&amp;CHAR(65+MOD(QUOTIENT(COUNTA($B$2:B178)-27,26),26))&amp;CHAR(65+MOD(COUNTA($B$2:B178)-1,26)))),"")</f>
        <v/>
      </c>
      <c r="B178" s="97"/>
      <c r="C178" s="98"/>
      <c r="D178" s="97"/>
      <c r="E178" s="97"/>
      <c r="F178" s="97"/>
      <c r="G178" s="97"/>
      <c r="H178" s="98"/>
      <c r="I178" s="97"/>
      <c r="J178" s="97"/>
      <c r="K178" s="97"/>
      <c r="L178" s="97"/>
      <c r="M178" s="97"/>
      <c r="N178" s="97"/>
    </row>
    <row r="179" spans="1:14" x14ac:dyDescent="0.3">
      <c r="A179" s="99" t="str">
        <f>IF(B179&lt;&gt;"",IF(COUNTA($B$2:B179)&lt;=26,CHAR(64+COUNTA($B$2:B179)),IF(COUNTA($B$2:B179)&lt;=702,CHAR(64+QUOTIENT(COUNTA($B$2:B179)-1,26))&amp;CHAR(65+MOD(COUNTA($B$2:B179)-1,26)),CHAR(64+QUOTIENT(COUNTA($B$2:B179)-27,676))&amp;CHAR(65+MOD(QUOTIENT(COUNTA($B$2:B179)-27,26),26))&amp;CHAR(65+MOD(COUNTA($B$2:B179)-1,26)))),"")</f>
        <v/>
      </c>
      <c r="B179" s="97"/>
      <c r="C179" s="98"/>
      <c r="D179" s="97"/>
      <c r="E179" s="97"/>
      <c r="F179" s="97"/>
      <c r="G179" s="97"/>
      <c r="H179" s="98"/>
      <c r="I179" s="97"/>
      <c r="J179" s="97"/>
      <c r="K179" s="97"/>
      <c r="L179" s="97"/>
      <c r="M179" s="97"/>
      <c r="N179" s="97"/>
    </row>
    <row r="180" spans="1:14" x14ac:dyDescent="0.3">
      <c r="A180" s="99" t="str">
        <f>IF(B180&lt;&gt;"",IF(COUNTA($B$2:B180)&lt;=26,CHAR(64+COUNTA($B$2:B180)),IF(COUNTA($B$2:B180)&lt;=702,CHAR(64+QUOTIENT(COUNTA($B$2:B180)-1,26))&amp;CHAR(65+MOD(COUNTA($B$2:B180)-1,26)),CHAR(64+QUOTIENT(COUNTA($B$2:B180)-27,676))&amp;CHAR(65+MOD(QUOTIENT(COUNTA($B$2:B180)-27,26),26))&amp;CHAR(65+MOD(COUNTA($B$2:B180)-1,26)))),"")</f>
        <v/>
      </c>
      <c r="B180" s="97"/>
      <c r="C180" s="98"/>
      <c r="D180" s="97"/>
      <c r="E180" s="97"/>
      <c r="F180" s="97"/>
      <c r="G180" s="97"/>
      <c r="H180" s="98"/>
      <c r="I180" s="97"/>
      <c r="J180" s="97"/>
      <c r="K180" s="97"/>
      <c r="L180" s="97"/>
      <c r="M180" s="97"/>
      <c r="N180" s="97"/>
    </row>
    <row r="181" spans="1:14" x14ac:dyDescent="0.3">
      <c r="A181" s="99" t="str">
        <f>IF(B181&lt;&gt;"",IF(COUNTA($B$2:B181)&lt;=26,CHAR(64+COUNTA($B$2:B181)),IF(COUNTA($B$2:B181)&lt;=702,CHAR(64+QUOTIENT(COUNTA($B$2:B181)-1,26))&amp;CHAR(65+MOD(COUNTA($B$2:B181)-1,26)),CHAR(64+QUOTIENT(COUNTA($B$2:B181)-27,676))&amp;CHAR(65+MOD(QUOTIENT(COUNTA($B$2:B181)-27,26),26))&amp;CHAR(65+MOD(COUNTA($B$2:B181)-1,26)))),"")</f>
        <v/>
      </c>
      <c r="B181" s="97"/>
      <c r="C181" s="98"/>
      <c r="D181" s="97"/>
      <c r="E181" s="97"/>
      <c r="F181" s="97"/>
      <c r="G181" s="97"/>
      <c r="H181" s="98"/>
      <c r="I181" s="97"/>
      <c r="J181" s="97"/>
      <c r="K181" s="97"/>
      <c r="L181" s="97"/>
      <c r="M181" s="97"/>
      <c r="N181" s="97"/>
    </row>
    <row r="182" spans="1:14" x14ac:dyDescent="0.3">
      <c r="A182" s="99" t="str">
        <f>IF(B182&lt;&gt;"",IF(COUNTA($B$2:B182)&lt;=26,CHAR(64+COUNTA($B$2:B182)),IF(COUNTA($B$2:B182)&lt;=702,CHAR(64+QUOTIENT(COUNTA($B$2:B182)-1,26))&amp;CHAR(65+MOD(COUNTA($B$2:B182)-1,26)),CHAR(64+QUOTIENT(COUNTA($B$2:B182)-27,676))&amp;CHAR(65+MOD(QUOTIENT(COUNTA($B$2:B182)-27,26),26))&amp;CHAR(65+MOD(COUNTA($B$2:B182)-1,26)))),"")</f>
        <v/>
      </c>
      <c r="B182" s="97"/>
      <c r="C182" s="98"/>
      <c r="D182" s="97"/>
      <c r="E182" s="97"/>
      <c r="F182" s="97"/>
      <c r="G182" s="97"/>
      <c r="H182" s="98"/>
      <c r="I182" s="97"/>
      <c r="J182" s="97"/>
      <c r="K182" s="97"/>
      <c r="L182" s="97"/>
      <c r="M182" s="97"/>
      <c r="N182" s="97"/>
    </row>
    <row r="183" spans="1:14" x14ac:dyDescent="0.3">
      <c r="A183" s="99" t="str">
        <f>IF(B183&lt;&gt;"",IF(COUNTA($B$2:B183)&lt;=26,CHAR(64+COUNTA($B$2:B183)),IF(COUNTA($B$2:B183)&lt;=702,CHAR(64+QUOTIENT(COUNTA($B$2:B183)-1,26))&amp;CHAR(65+MOD(COUNTA($B$2:B183)-1,26)),CHAR(64+QUOTIENT(COUNTA($B$2:B183)-27,676))&amp;CHAR(65+MOD(QUOTIENT(COUNTA($B$2:B183)-27,26),26))&amp;CHAR(65+MOD(COUNTA($B$2:B183)-1,26)))),"")</f>
        <v/>
      </c>
      <c r="B183" s="97"/>
      <c r="C183" s="98"/>
      <c r="D183" s="97"/>
      <c r="E183" s="97"/>
      <c r="F183" s="97"/>
      <c r="G183" s="97"/>
      <c r="H183" s="98"/>
      <c r="I183" s="97"/>
      <c r="J183" s="97"/>
      <c r="K183" s="97"/>
      <c r="L183" s="97"/>
      <c r="M183" s="97"/>
      <c r="N183" s="97"/>
    </row>
    <row r="184" spans="1:14" x14ac:dyDescent="0.3">
      <c r="A184" s="99" t="str">
        <f>IF(B184&lt;&gt;"",IF(COUNTA($B$2:B184)&lt;=26,CHAR(64+COUNTA($B$2:B184)),IF(COUNTA($B$2:B184)&lt;=702,CHAR(64+QUOTIENT(COUNTA($B$2:B184)-1,26))&amp;CHAR(65+MOD(COUNTA($B$2:B184)-1,26)),CHAR(64+QUOTIENT(COUNTA($B$2:B184)-27,676))&amp;CHAR(65+MOD(QUOTIENT(COUNTA($B$2:B184)-27,26),26))&amp;CHAR(65+MOD(COUNTA($B$2:B184)-1,26)))),"")</f>
        <v/>
      </c>
      <c r="B184" s="97"/>
      <c r="C184" s="98"/>
      <c r="D184" s="97"/>
      <c r="E184" s="97"/>
      <c r="F184" s="97"/>
      <c r="G184" s="97"/>
      <c r="H184" s="98"/>
      <c r="I184" s="97"/>
      <c r="J184" s="97"/>
      <c r="K184" s="97"/>
      <c r="L184" s="97"/>
      <c r="M184" s="97"/>
      <c r="N184" s="97"/>
    </row>
    <row r="185" spans="1:14" x14ac:dyDescent="0.3">
      <c r="A185" s="99" t="str">
        <f>IF(B185&lt;&gt;"",IF(COUNTA($B$2:B185)&lt;=26,CHAR(64+COUNTA($B$2:B185)),IF(COUNTA($B$2:B185)&lt;=702,CHAR(64+QUOTIENT(COUNTA($B$2:B185)-1,26))&amp;CHAR(65+MOD(COUNTA($B$2:B185)-1,26)),CHAR(64+QUOTIENT(COUNTA($B$2:B185)-27,676))&amp;CHAR(65+MOD(QUOTIENT(COUNTA($B$2:B185)-27,26),26))&amp;CHAR(65+MOD(COUNTA($B$2:B185)-1,26)))),"")</f>
        <v/>
      </c>
      <c r="B185" s="97"/>
      <c r="C185" s="98"/>
      <c r="D185" s="97"/>
      <c r="E185" s="97"/>
      <c r="F185" s="97"/>
      <c r="G185" s="97"/>
      <c r="H185" s="98"/>
      <c r="I185" s="97"/>
      <c r="J185" s="97"/>
      <c r="K185" s="97"/>
      <c r="L185" s="97"/>
      <c r="M185" s="97"/>
      <c r="N185" s="97"/>
    </row>
    <row r="186" spans="1:14" x14ac:dyDescent="0.3">
      <c r="A186" s="99" t="str">
        <f>IF(B186&lt;&gt;"",IF(COUNTA($B$2:B186)&lt;=26,CHAR(64+COUNTA($B$2:B186)),IF(COUNTA($B$2:B186)&lt;=702,CHAR(64+QUOTIENT(COUNTA($B$2:B186)-1,26))&amp;CHAR(65+MOD(COUNTA($B$2:B186)-1,26)),CHAR(64+QUOTIENT(COUNTA($B$2:B186)-27,676))&amp;CHAR(65+MOD(QUOTIENT(COUNTA($B$2:B186)-27,26),26))&amp;CHAR(65+MOD(COUNTA($B$2:B186)-1,26)))),"")</f>
        <v/>
      </c>
      <c r="B186" s="97"/>
      <c r="C186" s="98"/>
      <c r="D186" s="97"/>
      <c r="E186" s="97"/>
      <c r="F186" s="97"/>
      <c r="G186" s="97"/>
      <c r="H186" s="98"/>
      <c r="I186" s="97"/>
      <c r="J186" s="97"/>
      <c r="K186" s="97"/>
      <c r="L186" s="97"/>
      <c r="M186" s="97"/>
      <c r="N186" s="97"/>
    </row>
    <row r="187" spans="1:14" x14ac:dyDescent="0.3">
      <c r="A187" s="99" t="str">
        <f>IF(B187&lt;&gt;"",IF(COUNTA($B$2:B187)&lt;=26,CHAR(64+COUNTA($B$2:B187)),IF(COUNTA($B$2:B187)&lt;=702,CHAR(64+QUOTIENT(COUNTA($B$2:B187)-1,26))&amp;CHAR(65+MOD(COUNTA($B$2:B187)-1,26)),CHAR(64+QUOTIENT(COUNTA($B$2:B187)-27,676))&amp;CHAR(65+MOD(QUOTIENT(COUNTA($B$2:B187)-27,26),26))&amp;CHAR(65+MOD(COUNTA($B$2:B187)-1,26)))),"")</f>
        <v/>
      </c>
      <c r="B187" s="97"/>
      <c r="C187" s="98"/>
      <c r="D187" s="97"/>
      <c r="E187" s="97"/>
      <c r="F187" s="97"/>
      <c r="G187" s="97"/>
      <c r="H187" s="98"/>
      <c r="I187" s="97"/>
      <c r="J187" s="97"/>
      <c r="K187" s="97"/>
      <c r="L187" s="97"/>
      <c r="M187" s="97"/>
      <c r="N187" s="97"/>
    </row>
    <row r="188" spans="1:14" x14ac:dyDescent="0.3">
      <c r="A188" s="99" t="str">
        <f>IF(B188&lt;&gt;"",IF(COUNTA($B$2:B188)&lt;=26,CHAR(64+COUNTA($B$2:B188)),IF(COUNTA($B$2:B188)&lt;=702,CHAR(64+QUOTIENT(COUNTA($B$2:B188)-1,26))&amp;CHAR(65+MOD(COUNTA($B$2:B188)-1,26)),CHAR(64+QUOTIENT(COUNTA($B$2:B188)-27,676))&amp;CHAR(65+MOD(QUOTIENT(COUNTA($B$2:B188)-27,26),26))&amp;CHAR(65+MOD(COUNTA($B$2:B188)-1,26)))),"")</f>
        <v/>
      </c>
      <c r="B188" s="97"/>
      <c r="C188" s="98"/>
      <c r="D188" s="97"/>
      <c r="E188" s="97"/>
      <c r="F188" s="97"/>
      <c r="G188" s="97"/>
      <c r="H188" s="98"/>
      <c r="I188" s="97"/>
      <c r="J188" s="97"/>
      <c r="K188" s="97"/>
      <c r="L188" s="97"/>
      <c r="M188" s="97"/>
      <c r="N188" s="97"/>
    </row>
    <row r="189" spans="1:14" x14ac:dyDescent="0.3">
      <c r="A189" s="99" t="str">
        <f>IF(B189&lt;&gt;"",IF(COUNTA($B$2:B189)&lt;=26,CHAR(64+COUNTA($B$2:B189)),IF(COUNTA($B$2:B189)&lt;=702,CHAR(64+QUOTIENT(COUNTA($B$2:B189)-1,26))&amp;CHAR(65+MOD(COUNTA($B$2:B189)-1,26)),CHAR(64+QUOTIENT(COUNTA($B$2:B189)-27,676))&amp;CHAR(65+MOD(QUOTIENT(COUNTA($B$2:B189)-27,26),26))&amp;CHAR(65+MOD(COUNTA($B$2:B189)-1,26)))),"")</f>
        <v/>
      </c>
      <c r="B189" s="97"/>
      <c r="C189" s="98"/>
      <c r="D189" s="97"/>
      <c r="E189" s="97"/>
      <c r="F189" s="97"/>
      <c r="G189" s="97"/>
      <c r="H189" s="98"/>
      <c r="I189" s="97"/>
      <c r="J189" s="97"/>
      <c r="K189" s="97"/>
      <c r="L189" s="97"/>
      <c r="M189" s="97"/>
      <c r="N189" s="97"/>
    </row>
    <row r="190" spans="1:14" x14ac:dyDescent="0.3">
      <c r="A190" s="99" t="str">
        <f>IF(B190&lt;&gt;"",IF(COUNTA($B$2:B190)&lt;=26,CHAR(64+COUNTA($B$2:B190)),IF(COUNTA($B$2:B190)&lt;=702,CHAR(64+QUOTIENT(COUNTA($B$2:B190)-1,26))&amp;CHAR(65+MOD(COUNTA($B$2:B190)-1,26)),CHAR(64+QUOTIENT(COUNTA($B$2:B190)-27,676))&amp;CHAR(65+MOD(QUOTIENT(COUNTA($B$2:B190)-27,26),26))&amp;CHAR(65+MOD(COUNTA($B$2:B190)-1,26)))),"")</f>
        <v/>
      </c>
      <c r="B190" s="97"/>
      <c r="C190" s="98"/>
      <c r="D190" s="97"/>
      <c r="E190" s="97"/>
      <c r="F190" s="97"/>
      <c r="G190" s="97"/>
      <c r="H190" s="98"/>
      <c r="I190" s="97"/>
      <c r="J190" s="97"/>
      <c r="K190" s="97"/>
      <c r="L190" s="97"/>
      <c r="M190" s="97"/>
      <c r="N190" s="97"/>
    </row>
    <row r="191" spans="1:14" x14ac:dyDescent="0.3">
      <c r="A191" s="99" t="str">
        <f>IF(B191&lt;&gt;"",IF(COUNTA($B$2:B191)&lt;=26,CHAR(64+COUNTA($B$2:B191)),IF(COUNTA($B$2:B191)&lt;=702,CHAR(64+QUOTIENT(COUNTA($B$2:B191)-1,26))&amp;CHAR(65+MOD(COUNTA($B$2:B191)-1,26)),CHAR(64+QUOTIENT(COUNTA($B$2:B191)-27,676))&amp;CHAR(65+MOD(QUOTIENT(COUNTA($B$2:B191)-27,26),26))&amp;CHAR(65+MOD(COUNTA($B$2:B191)-1,26)))),"")</f>
        <v/>
      </c>
      <c r="B191" s="97"/>
      <c r="C191" s="98"/>
      <c r="D191" s="97"/>
      <c r="E191" s="97"/>
      <c r="F191" s="97"/>
      <c r="G191" s="97"/>
      <c r="H191" s="98"/>
      <c r="I191" s="97"/>
      <c r="J191" s="97"/>
      <c r="K191" s="97"/>
      <c r="L191" s="97"/>
      <c r="M191" s="97"/>
      <c r="N191" s="97"/>
    </row>
    <row r="192" spans="1:14" x14ac:dyDescent="0.3">
      <c r="A192" s="99" t="str">
        <f>IF(B192&lt;&gt;"",IF(COUNTA($B$2:B192)&lt;=26,CHAR(64+COUNTA($B$2:B192)),IF(COUNTA($B$2:B192)&lt;=702,CHAR(64+QUOTIENT(COUNTA($B$2:B192)-1,26))&amp;CHAR(65+MOD(COUNTA($B$2:B192)-1,26)),CHAR(64+QUOTIENT(COUNTA($B$2:B192)-27,676))&amp;CHAR(65+MOD(QUOTIENT(COUNTA($B$2:B192)-27,26),26))&amp;CHAR(65+MOD(COUNTA($B$2:B192)-1,26)))),"")</f>
        <v/>
      </c>
      <c r="B192" s="97"/>
      <c r="C192" s="98"/>
      <c r="D192" s="97"/>
      <c r="E192" s="97"/>
      <c r="F192" s="97"/>
      <c r="G192" s="97"/>
      <c r="H192" s="98"/>
      <c r="I192" s="97"/>
      <c r="J192" s="97"/>
      <c r="K192" s="97"/>
      <c r="L192" s="97"/>
      <c r="M192" s="97"/>
      <c r="N192" s="97"/>
    </row>
    <row r="193" spans="1:14" x14ac:dyDescent="0.3">
      <c r="A193" s="99" t="str">
        <f>IF(B193&lt;&gt;"",IF(COUNTA($B$2:B193)&lt;=26,CHAR(64+COUNTA($B$2:B193)),IF(COUNTA($B$2:B193)&lt;=702,CHAR(64+QUOTIENT(COUNTA($B$2:B193)-1,26))&amp;CHAR(65+MOD(COUNTA($B$2:B193)-1,26)),CHAR(64+QUOTIENT(COUNTA($B$2:B193)-27,676))&amp;CHAR(65+MOD(QUOTIENT(COUNTA($B$2:B193)-27,26),26))&amp;CHAR(65+MOD(COUNTA($B$2:B193)-1,26)))),"")</f>
        <v/>
      </c>
      <c r="B193" s="97"/>
      <c r="C193" s="98"/>
      <c r="D193" s="97"/>
      <c r="E193" s="97"/>
      <c r="F193" s="97"/>
      <c r="G193" s="97"/>
      <c r="H193" s="98"/>
      <c r="I193" s="97"/>
      <c r="J193" s="97"/>
      <c r="K193" s="97"/>
      <c r="L193" s="97"/>
      <c r="M193" s="97"/>
      <c r="N193" s="97"/>
    </row>
    <row r="194" spans="1:14" x14ac:dyDescent="0.3">
      <c r="A194" s="99" t="str">
        <f>IF(B194&lt;&gt;"",IF(COUNTA($B$2:B194)&lt;=26,CHAR(64+COUNTA($B$2:B194)),IF(COUNTA($B$2:B194)&lt;=702,CHAR(64+QUOTIENT(COUNTA($B$2:B194)-1,26))&amp;CHAR(65+MOD(COUNTA($B$2:B194)-1,26)),CHAR(64+QUOTIENT(COUNTA($B$2:B194)-27,676))&amp;CHAR(65+MOD(QUOTIENT(COUNTA($B$2:B194)-27,26),26))&amp;CHAR(65+MOD(COUNTA($B$2:B194)-1,26)))),"")</f>
        <v/>
      </c>
      <c r="B194" s="97"/>
      <c r="C194" s="98"/>
      <c r="D194" s="97"/>
      <c r="E194" s="97"/>
      <c r="F194" s="97"/>
      <c r="G194" s="97"/>
      <c r="H194" s="98"/>
      <c r="I194" s="97"/>
      <c r="J194" s="97"/>
      <c r="K194" s="97"/>
      <c r="L194" s="97"/>
      <c r="M194" s="97"/>
      <c r="N194" s="97"/>
    </row>
    <row r="195" spans="1:14" x14ac:dyDescent="0.3">
      <c r="A195" s="99" t="str">
        <f>IF(B195&lt;&gt;"",IF(COUNTA($B$2:B195)&lt;=26,CHAR(64+COUNTA($B$2:B195)),IF(COUNTA($B$2:B195)&lt;=702,CHAR(64+QUOTIENT(COUNTA($B$2:B195)-1,26))&amp;CHAR(65+MOD(COUNTA($B$2:B195)-1,26)),CHAR(64+QUOTIENT(COUNTA($B$2:B195)-27,676))&amp;CHAR(65+MOD(QUOTIENT(COUNTA($B$2:B195)-27,26),26))&amp;CHAR(65+MOD(COUNTA($B$2:B195)-1,26)))),"")</f>
        <v/>
      </c>
      <c r="B195" s="97"/>
      <c r="C195" s="98"/>
      <c r="D195" s="97"/>
      <c r="E195" s="97"/>
      <c r="F195" s="97"/>
      <c r="G195" s="97"/>
      <c r="H195" s="98"/>
      <c r="I195" s="97"/>
      <c r="J195" s="97"/>
      <c r="K195" s="97"/>
      <c r="L195" s="97"/>
      <c r="M195" s="97"/>
      <c r="N195" s="97"/>
    </row>
    <row r="196" spans="1:14" x14ac:dyDescent="0.3">
      <c r="A196" s="99" t="str">
        <f>IF(B196&lt;&gt;"",IF(COUNTA($B$2:B196)&lt;=26,CHAR(64+COUNTA($B$2:B196)),IF(COUNTA($B$2:B196)&lt;=702,CHAR(64+QUOTIENT(COUNTA($B$2:B196)-1,26))&amp;CHAR(65+MOD(COUNTA($B$2:B196)-1,26)),CHAR(64+QUOTIENT(COUNTA($B$2:B196)-27,676))&amp;CHAR(65+MOD(QUOTIENT(COUNTA($B$2:B196)-27,26),26))&amp;CHAR(65+MOD(COUNTA($B$2:B196)-1,26)))),"")</f>
        <v/>
      </c>
      <c r="B196" s="97"/>
      <c r="C196" s="98"/>
      <c r="D196" s="97"/>
      <c r="E196" s="97"/>
      <c r="F196" s="97"/>
      <c r="G196" s="97"/>
      <c r="H196" s="98"/>
      <c r="I196" s="97"/>
      <c r="J196" s="97"/>
      <c r="K196" s="97"/>
      <c r="L196" s="97"/>
      <c r="M196" s="97"/>
      <c r="N196" s="97"/>
    </row>
    <row r="197" spans="1:14" x14ac:dyDescent="0.3">
      <c r="A197" s="99" t="str">
        <f>IF(B197&lt;&gt;"",IF(COUNTA($B$2:B197)&lt;=26,CHAR(64+COUNTA($B$2:B197)),IF(COUNTA($B$2:B197)&lt;=702,CHAR(64+QUOTIENT(COUNTA($B$2:B197)-1,26))&amp;CHAR(65+MOD(COUNTA($B$2:B197)-1,26)),CHAR(64+QUOTIENT(COUNTA($B$2:B197)-27,676))&amp;CHAR(65+MOD(QUOTIENT(COUNTA($B$2:B197)-27,26),26))&amp;CHAR(65+MOD(COUNTA($B$2:B197)-1,26)))),"")</f>
        <v/>
      </c>
      <c r="B197" s="97"/>
      <c r="C197" s="98"/>
      <c r="D197" s="97"/>
      <c r="E197" s="97"/>
      <c r="F197" s="97"/>
      <c r="G197" s="97"/>
      <c r="H197" s="98"/>
      <c r="I197" s="97"/>
      <c r="J197" s="97"/>
      <c r="K197" s="97"/>
      <c r="L197" s="97"/>
      <c r="M197" s="97"/>
      <c r="N197" s="97"/>
    </row>
    <row r="198" spans="1:14" x14ac:dyDescent="0.3">
      <c r="A198" s="99" t="str">
        <f>IF(B198&lt;&gt;"",IF(COUNTA($B$2:B198)&lt;=26,CHAR(64+COUNTA($B$2:B198)),IF(COUNTA($B$2:B198)&lt;=702,CHAR(64+QUOTIENT(COUNTA($B$2:B198)-1,26))&amp;CHAR(65+MOD(COUNTA($B$2:B198)-1,26)),CHAR(64+QUOTIENT(COUNTA($B$2:B198)-27,676))&amp;CHAR(65+MOD(QUOTIENT(COUNTA($B$2:B198)-27,26),26))&amp;CHAR(65+MOD(COUNTA($B$2:B198)-1,26)))),"")</f>
        <v/>
      </c>
      <c r="B198" s="97"/>
      <c r="C198" s="98"/>
      <c r="D198" s="97"/>
      <c r="E198" s="97"/>
      <c r="F198" s="97"/>
      <c r="G198" s="97"/>
      <c r="H198" s="98"/>
      <c r="I198" s="97"/>
      <c r="J198" s="97"/>
      <c r="K198" s="97"/>
      <c r="L198" s="97"/>
      <c r="M198" s="97"/>
      <c r="N198" s="97"/>
    </row>
    <row r="199" spans="1:14" x14ac:dyDescent="0.3">
      <c r="A199" s="99" t="str">
        <f>IF(B199&lt;&gt;"",IF(COUNTA($B$2:B199)&lt;=26,CHAR(64+COUNTA($B$2:B199)),IF(COUNTA($B$2:B199)&lt;=702,CHAR(64+QUOTIENT(COUNTA($B$2:B199)-1,26))&amp;CHAR(65+MOD(COUNTA($B$2:B199)-1,26)),CHAR(64+QUOTIENT(COUNTA($B$2:B199)-27,676))&amp;CHAR(65+MOD(QUOTIENT(COUNTA($B$2:B199)-27,26),26))&amp;CHAR(65+MOD(COUNTA($B$2:B199)-1,26)))),"")</f>
        <v/>
      </c>
      <c r="B199" s="97"/>
      <c r="C199" s="98"/>
      <c r="D199" s="97"/>
      <c r="E199" s="97"/>
      <c r="F199" s="97"/>
      <c r="G199" s="97"/>
      <c r="H199" s="98"/>
      <c r="I199" s="97"/>
      <c r="J199" s="97"/>
      <c r="K199" s="97"/>
      <c r="L199" s="97"/>
      <c r="M199" s="97"/>
      <c r="N199" s="97"/>
    </row>
    <row r="200" spans="1:14" x14ac:dyDescent="0.3">
      <c r="A200" s="99" t="str">
        <f>IF(B200&lt;&gt;"",IF(COUNTA($B$2:B200)&lt;=26,CHAR(64+COUNTA($B$2:B200)),IF(COUNTA($B$2:B200)&lt;=702,CHAR(64+QUOTIENT(COUNTA($B$2:B200)-1,26))&amp;CHAR(65+MOD(COUNTA($B$2:B200)-1,26)),CHAR(64+QUOTIENT(COUNTA($B$2:B200)-27,676))&amp;CHAR(65+MOD(QUOTIENT(COUNTA($B$2:B200)-27,26),26))&amp;CHAR(65+MOD(COUNTA($B$2:B200)-1,26)))),"")</f>
        <v/>
      </c>
      <c r="B200" s="97"/>
      <c r="C200" s="98"/>
      <c r="D200" s="97"/>
      <c r="E200" s="97"/>
      <c r="F200" s="97"/>
      <c r="G200" s="97"/>
      <c r="H200" s="98"/>
      <c r="I200" s="97"/>
      <c r="J200" s="97"/>
      <c r="K200" s="97"/>
      <c r="L200" s="97"/>
      <c r="M200" s="97"/>
      <c r="N200" s="97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27A69-55C4-48EA-8DD9-95631E4A8C31}">
  <sheetPr codeName="Hoja2">
    <tabColor rgb="FFC7664C"/>
  </sheetPr>
  <dimension ref="A1:AC331"/>
  <sheetViews>
    <sheetView topLeftCell="A2" zoomScaleNormal="100" workbookViewId="0">
      <selection activeCell="E19" sqref="E19"/>
    </sheetView>
  </sheetViews>
  <sheetFormatPr baseColWidth="10" defaultColWidth="11.44140625" defaultRowHeight="14.4" x14ac:dyDescent="0.3"/>
  <cols>
    <col min="1" max="1" width="22" customWidth="1"/>
    <col min="2" max="2" width="17" customWidth="1"/>
    <col min="3" max="3" width="13.44140625" customWidth="1"/>
    <col min="4" max="4" width="14.5546875" customWidth="1"/>
    <col min="5" max="5" width="16.88671875" customWidth="1"/>
    <col min="6" max="6" width="18.6640625" customWidth="1"/>
    <col min="7" max="7" width="17.44140625" customWidth="1"/>
    <col min="10" max="10" width="36.44140625" customWidth="1"/>
    <col min="11" max="11" width="10" customWidth="1"/>
  </cols>
  <sheetData>
    <row r="1" spans="1:29" s="4" customFormat="1" ht="30" customHeight="1" x14ac:dyDescent="0.3">
      <c r="A1" s="110" t="s">
        <v>13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</row>
    <row r="2" spans="1:29" s="4" customFormat="1" x14ac:dyDescent="0.3">
      <c r="A2" s="6" t="s">
        <v>14</v>
      </c>
      <c r="B2" s="112">
        <f ca="1">TODAY()</f>
        <v>45971</v>
      </c>
      <c r="C2" s="112"/>
      <c r="D2" s="5"/>
      <c r="E2" s="114" t="s">
        <v>15</v>
      </c>
      <c r="F2" s="114"/>
      <c r="G2" s="114"/>
      <c r="H2" s="5"/>
      <c r="I2" s="5"/>
      <c r="J2" s="5"/>
      <c r="K2" s="5"/>
    </row>
    <row r="3" spans="1:29" s="4" customFormat="1" x14ac:dyDescent="0.3">
      <c r="A3" s="6" t="s">
        <v>16</v>
      </c>
      <c r="B3" s="113"/>
      <c r="C3" s="113"/>
      <c r="D3" s="5"/>
      <c r="E3" s="5"/>
      <c r="F3" s="5"/>
      <c r="G3" s="5"/>
      <c r="H3" s="5"/>
      <c r="I3" s="5"/>
      <c r="J3" s="5"/>
      <c r="K3" s="5"/>
    </row>
    <row r="4" spans="1:29" s="1" customFormat="1" x14ac:dyDescent="0.3">
      <c r="A4" s="115" t="s">
        <v>17</v>
      </c>
      <c r="B4" s="115"/>
      <c r="C4" s="115"/>
      <c r="D4" s="115"/>
      <c r="E4" s="115"/>
      <c r="F4" s="115"/>
      <c r="G4" s="115"/>
      <c r="H4" s="76"/>
      <c r="I4" s="76"/>
      <c r="J4" s="76"/>
      <c r="K4" s="76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</row>
    <row r="5" spans="1:29" x14ac:dyDescent="0.3">
      <c r="A5" s="73" t="s">
        <v>18</v>
      </c>
      <c r="B5" s="92" t="s">
        <v>19</v>
      </c>
      <c r="C5" s="92" t="s">
        <v>20</v>
      </c>
      <c r="D5" s="92" t="s">
        <v>21</v>
      </c>
      <c r="E5" s="74" t="s">
        <v>22</v>
      </c>
      <c r="F5" s="92" t="s">
        <v>23</v>
      </c>
      <c r="G5" s="92" t="s">
        <v>24</v>
      </c>
      <c r="H5" s="78"/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  <c r="AA5" s="78"/>
      <c r="AB5" s="78"/>
    </row>
    <row r="6" spans="1:29" x14ac:dyDescent="0.3">
      <c r="A6" s="69" t="s">
        <v>520</v>
      </c>
      <c r="B6" s="2">
        <v>1.83</v>
      </c>
      <c r="C6" s="93">
        <v>36</v>
      </c>
      <c r="D6" s="93">
        <v>1</v>
      </c>
      <c r="E6" s="71">
        <f>IF(D6=0,"",IF(OR(C6=6,C6=15,C6=18),(D6*0.1)+D6,(D6*0.2)+D6))</f>
        <v>1.2</v>
      </c>
      <c r="F6" s="14">
        <f>SUMIFS(Tableros!$F:$F, Tableros!$A:$A, $A6, Tableros!$D:$D, $B6, Tableros!$E:$E, $C6)</f>
        <v>644846</v>
      </c>
      <c r="G6" s="14">
        <f t="shared" ref="G6:G15" si="0">IFERROR(E6*F6,0)</f>
        <v>773815.2</v>
      </c>
      <c r="H6" s="78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  <c r="AA6" s="78"/>
      <c r="AB6" s="78"/>
    </row>
    <row r="7" spans="1:29" x14ac:dyDescent="0.3">
      <c r="A7" s="70" t="s">
        <v>520</v>
      </c>
      <c r="B7" s="72">
        <v>1.83</v>
      </c>
      <c r="C7" s="93">
        <v>15</v>
      </c>
      <c r="D7" s="93">
        <v>1</v>
      </c>
      <c r="E7" s="71">
        <f t="shared" ref="E7:E15" si="1">IF(D7=0,"",IF(OR(C7=6,C7=15,C7=18),(D7*0.1)+D7,(D7*0.2)+D7))</f>
        <v>1.1000000000000001</v>
      </c>
      <c r="F7" s="14">
        <f>SUMIFS(Tableros!$F:$F, Tableros!$A:$A, $A7, Tableros!$D:$D, $B7, Tableros!$E:$E, $C7)</f>
        <v>383999</v>
      </c>
      <c r="G7" s="14">
        <f t="shared" si="0"/>
        <v>422398.9</v>
      </c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</row>
    <row r="8" spans="1:29" x14ac:dyDescent="0.3">
      <c r="A8" s="69" t="s">
        <v>522</v>
      </c>
      <c r="B8" s="2">
        <v>1.83</v>
      </c>
      <c r="C8" s="93">
        <v>36</v>
      </c>
      <c r="D8" s="93">
        <v>1</v>
      </c>
      <c r="E8" s="71">
        <f t="shared" si="1"/>
        <v>1.2</v>
      </c>
      <c r="F8" s="14">
        <f>SUMIFS(Tableros!$F:$F, Tableros!$A:$A, $A8, Tableros!$D:$D, $B8, Tableros!$E:$E, $C8)</f>
        <v>644846</v>
      </c>
      <c r="G8" s="14">
        <f t="shared" si="0"/>
        <v>773815.2</v>
      </c>
      <c r="H8" s="78"/>
      <c r="I8" s="78"/>
      <c r="J8" s="78"/>
      <c r="K8" s="78"/>
      <c r="L8" s="78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  <c r="AA8" s="78"/>
      <c r="AB8" s="78"/>
    </row>
    <row r="9" spans="1:29" x14ac:dyDescent="0.3">
      <c r="A9" s="69" t="s">
        <v>522</v>
      </c>
      <c r="B9" s="2">
        <v>1.83</v>
      </c>
      <c r="C9" s="93">
        <v>15</v>
      </c>
      <c r="D9" s="93">
        <v>1</v>
      </c>
      <c r="E9" s="71">
        <f t="shared" si="1"/>
        <v>1.1000000000000001</v>
      </c>
      <c r="F9" s="14">
        <f>SUMIFS(Tableros!$F:$F, Tableros!$A:$A, $A9, Tableros!$D:$D, $B9, Tableros!$E:$E, $C9)</f>
        <v>383999</v>
      </c>
      <c r="G9" s="14">
        <f t="shared" si="0"/>
        <v>422398.9</v>
      </c>
      <c r="H9" s="78"/>
      <c r="I9" s="78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</row>
    <row r="10" spans="1:29" x14ac:dyDescent="0.3">
      <c r="A10" s="69"/>
      <c r="B10" s="2"/>
      <c r="C10" s="93"/>
      <c r="D10" s="93"/>
      <c r="E10" s="71" t="str">
        <f t="shared" si="1"/>
        <v/>
      </c>
      <c r="F10" s="14">
        <f>SUMIFS(Tableros!$F:$F, Tableros!$A:$A, $A10, Tableros!$D:$D, $B10, Tableros!$E:$E, $C10)</f>
        <v>0</v>
      </c>
      <c r="G10" s="14">
        <f t="shared" si="0"/>
        <v>0</v>
      </c>
      <c r="H10" s="7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</row>
    <row r="11" spans="1:29" x14ac:dyDescent="0.3">
      <c r="A11" s="69"/>
      <c r="B11" s="2"/>
      <c r="C11" s="93"/>
      <c r="D11" s="93"/>
      <c r="E11" s="71" t="str">
        <f t="shared" si="1"/>
        <v/>
      </c>
      <c r="F11" s="14">
        <f>SUMIFS(Tableros!$F:$F, Tableros!$A:$A, $A11, Tableros!$D:$D, $B11, Tableros!$E:$E, $C11)</f>
        <v>0</v>
      </c>
      <c r="G11" s="14">
        <f t="shared" si="0"/>
        <v>0</v>
      </c>
      <c r="H11" s="78"/>
      <c r="I11" s="78"/>
      <c r="J11" s="78"/>
      <c r="K11" s="78"/>
      <c r="L11" s="78"/>
      <c r="M11" s="78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Y11" s="78"/>
      <c r="Z11" s="78"/>
      <c r="AA11" s="78"/>
      <c r="AB11" s="78"/>
    </row>
    <row r="12" spans="1:29" x14ac:dyDescent="0.3">
      <c r="A12" s="69"/>
      <c r="B12" s="2"/>
      <c r="C12" s="93"/>
      <c r="D12" s="93"/>
      <c r="E12" s="71" t="str">
        <f t="shared" si="1"/>
        <v/>
      </c>
      <c r="F12" s="14">
        <f>SUMIFS(Tableros!$F:$F, Tableros!$A:$A, $A12, Tableros!$D:$D, $B12, Tableros!$E:$E, $C12)</f>
        <v>0</v>
      </c>
      <c r="G12" s="14">
        <f t="shared" si="0"/>
        <v>0</v>
      </c>
      <c r="H12" s="78"/>
      <c r="I12" s="78"/>
      <c r="J12" s="115" t="s">
        <v>25</v>
      </c>
      <c r="K12" s="115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</row>
    <row r="13" spans="1:29" x14ac:dyDescent="0.3">
      <c r="A13" s="69"/>
      <c r="B13" s="2"/>
      <c r="C13" s="93"/>
      <c r="D13" s="93"/>
      <c r="E13" s="71" t="str">
        <f t="shared" si="1"/>
        <v/>
      </c>
      <c r="F13" s="14">
        <f>SUMIFS(Tableros!$F:$F, Tableros!$A:$A, $A13, Tableros!$D:$D, $B13, Tableros!$E:$E, $C13)</f>
        <v>0</v>
      </c>
      <c r="G13" s="14">
        <f t="shared" si="0"/>
        <v>0</v>
      </c>
      <c r="H13" s="78"/>
      <c r="I13" s="78"/>
      <c r="J13" s="92" t="s">
        <v>26</v>
      </c>
      <c r="K13" s="92" t="s">
        <v>2</v>
      </c>
      <c r="L13" s="78"/>
      <c r="M13" s="78"/>
      <c r="N13" s="78"/>
      <c r="O13" s="78"/>
      <c r="P13" s="78"/>
      <c r="Q13" s="78"/>
      <c r="R13" s="78"/>
      <c r="S13" s="78"/>
      <c r="T13" s="78"/>
      <c r="U13" s="78"/>
      <c r="V13" s="78"/>
      <c r="W13" s="78"/>
      <c r="X13" s="78"/>
      <c r="Y13" s="78"/>
      <c r="Z13" s="78"/>
      <c r="AA13" s="78"/>
      <c r="AB13" s="78"/>
      <c r="AC13" s="78"/>
    </row>
    <row r="14" spans="1:29" x14ac:dyDescent="0.3">
      <c r="A14" s="69"/>
      <c r="B14" s="2"/>
      <c r="C14" s="93"/>
      <c r="D14" s="93"/>
      <c r="E14" s="71" t="str">
        <f t="shared" si="1"/>
        <v/>
      </c>
      <c r="F14" s="14">
        <f>SUMIFS(Tableros!$F:$F, Tableros!$A:$A, $A14, Tableros!$D:$D, $B14, Tableros!$E:$E, $C14)</f>
        <v>0</v>
      </c>
      <c r="G14" s="14">
        <f t="shared" si="0"/>
        <v>0</v>
      </c>
      <c r="H14" s="78"/>
      <c r="I14" s="78"/>
      <c r="J14" s="2" t="s">
        <v>475</v>
      </c>
      <c r="K14" s="93">
        <v>5</v>
      </c>
      <c r="L14" s="78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</row>
    <row r="15" spans="1:29" x14ac:dyDescent="0.3">
      <c r="A15" s="69"/>
      <c r="B15" s="2"/>
      <c r="C15" s="93"/>
      <c r="D15" s="93"/>
      <c r="E15" s="71" t="str">
        <f t="shared" si="1"/>
        <v/>
      </c>
      <c r="F15" s="14">
        <f>SUMIFS(Tableros!$F:$F, Tableros!$A:$A, $A15, Tableros!$D:$D, $B15, Tableros!$E:$E, $C15)</f>
        <v>0</v>
      </c>
      <c r="G15" s="14">
        <f t="shared" si="0"/>
        <v>0</v>
      </c>
      <c r="H15" s="78"/>
      <c r="I15" s="78"/>
      <c r="J15" s="2" t="s">
        <v>28</v>
      </c>
      <c r="K15" s="93">
        <v>3</v>
      </c>
      <c r="L15" s="78"/>
      <c r="M15" s="78"/>
      <c r="N15" s="78"/>
      <c r="O15" s="78"/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/>
      <c r="AA15" s="78"/>
      <c r="AB15" s="78"/>
      <c r="AC15" s="78"/>
    </row>
    <row r="16" spans="1:29" x14ac:dyDescent="0.3">
      <c r="A16" s="120"/>
      <c r="B16" s="121"/>
      <c r="C16" s="121"/>
      <c r="D16" s="121"/>
      <c r="E16" s="122"/>
      <c r="F16" s="75" t="s">
        <v>29</v>
      </c>
      <c r="G16" s="14">
        <f>SUM(G6:G15)</f>
        <v>2392428.2000000002</v>
      </c>
      <c r="H16" s="78"/>
      <c r="I16" s="78"/>
      <c r="J16" s="2" t="s">
        <v>30</v>
      </c>
      <c r="K16" s="93">
        <v>2</v>
      </c>
      <c r="L16" s="78"/>
      <c r="M16" s="78"/>
      <c r="N16" s="78"/>
      <c r="O16" s="78"/>
      <c r="P16" s="78"/>
      <c r="Q16" s="78"/>
      <c r="R16" s="78"/>
      <c r="S16" s="78"/>
      <c r="T16" s="78"/>
      <c r="U16" s="78"/>
      <c r="V16" s="78"/>
      <c r="W16" s="78"/>
      <c r="X16" s="78"/>
      <c r="Y16" s="78"/>
      <c r="Z16" s="78"/>
      <c r="AA16" s="78"/>
      <c r="AB16" s="78"/>
      <c r="AC16" s="78"/>
    </row>
    <row r="17" spans="1:29" x14ac:dyDescent="0.3">
      <c r="A17" s="117" t="s">
        <v>31</v>
      </c>
      <c r="B17" s="118"/>
      <c r="C17" s="119"/>
      <c r="D17" s="92" t="s">
        <v>32</v>
      </c>
      <c r="E17" s="92" t="s">
        <v>33</v>
      </c>
      <c r="F17" s="92" t="s">
        <v>23</v>
      </c>
      <c r="G17" s="92" t="s">
        <v>24</v>
      </c>
      <c r="H17" s="78"/>
      <c r="I17" s="78"/>
      <c r="J17" s="2" t="s">
        <v>27</v>
      </c>
      <c r="K17" s="93">
        <v>2</v>
      </c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</row>
    <row r="18" spans="1:29" x14ac:dyDescent="0.3">
      <c r="A18" s="107" t="s">
        <v>10</v>
      </c>
      <c r="B18" s="108"/>
      <c r="C18" s="109"/>
      <c r="D18" s="93">
        <v>19</v>
      </c>
      <c r="E18" s="93">
        <v>13640</v>
      </c>
      <c r="F18" s="14">
        <f>SUMIFS(Tapacantos!D:D,Tapacantos!A:A,cotizador!A18,Tapacantos!C:C,D18)</f>
        <v>700</v>
      </c>
      <c r="G18" s="14">
        <f>E18*F18</f>
        <v>9548000</v>
      </c>
      <c r="H18" s="78"/>
      <c r="I18" s="78"/>
      <c r="J18" s="2" t="s">
        <v>34</v>
      </c>
      <c r="K18" s="93">
        <v>3</v>
      </c>
      <c r="L18" s="78"/>
      <c r="M18" s="78"/>
      <c r="N18" s="78"/>
      <c r="O18" s="78"/>
      <c r="P18" s="78"/>
      <c r="Q18" s="78"/>
      <c r="R18" s="78"/>
      <c r="S18" s="78"/>
      <c r="T18" s="78"/>
      <c r="U18" s="78"/>
      <c r="V18" s="78"/>
      <c r="W18" s="78"/>
      <c r="X18" s="78"/>
      <c r="Y18" s="78"/>
      <c r="Z18" s="78"/>
      <c r="AA18" s="78"/>
      <c r="AB18" s="78"/>
      <c r="AC18" s="78"/>
    </row>
    <row r="19" spans="1:29" x14ac:dyDescent="0.3">
      <c r="A19" s="107" t="s">
        <v>10</v>
      </c>
      <c r="B19" s="108"/>
      <c r="C19" s="109"/>
      <c r="D19" s="93">
        <v>44</v>
      </c>
      <c r="E19" s="93">
        <v>5200</v>
      </c>
      <c r="F19" s="14">
        <f>SUMIFS(Tapacantos!D:D,Tapacantos!A:A,cotizador!A19,Tapacantos!C:C,D19)</f>
        <v>1700</v>
      </c>
      <c r="G19" s="14">
        <f t="shared" ref="G19:G27" si="2">E19*F19</f>
        <v>8840000</v>
      </c>
      <c r="H19" s="78"/>
      <c r="I19" s="78"/>
      <c r="J19" s="2" t="s">
        <v>35</v>
      </c>
      <c r="K19" s="93">
        <v>2</v>
      </c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</row>
    <row r="20" spans="1:29" x14ac:dyDescent="0.3">
      <c r="A20" s="107"/>
      <c r="B20" s="108"/>
      <c r="C20" s="109"/>
      <c r="D20" s="93"/>
      <c r="E20" s="93"/>
      <c r="F20" s="14">
        <f>SUMIFS(Tapacantos!D:D,Tapacantos!A:A,cotizador!A20,Tapacantos!C:C,D20)</f>
        <v>0</v>
      </c>
      <c r="G20" s="14">
        <f t="shared" si="2"/>
        <v>0</v>
      </c>
      <c r="H20" s="78"/>
      <c r="I20" s="78"/>
      <c r="J20" s="2" t="s">
        <v>492</v>
      </c>
      <c r="K20" s="93">
        <v>10</v>
      </c>
      <c r="L20" s="78"/>
      <c r="M20" s="78"/>
      <c r="N20" s="78"/>
      <c r="O20" s="78"/>
      <c r="P20" s="78"/>
      <c r="Q20" s="78"/>
      <c r="R20" s="78"/>
      <c r="S20" s="78"/>
      <c r="T20" s="78"/>
      <c r="U20" s="78"/>
      <c r="V20" s="78"/>
      <c r="W20" s="78"/>
      <c r="X20" s="78"/>
      <c r="Y20" s="78"/>
      <c r="Z20" s="78"/>
      <c r="AA20" s="78"/>
      <c r="AB20" s="78"/>
      <c r="AC20" s="78"/>
    </row>
    <row r="21" spans="1:29" x14ac:dyDescent="0.3">
      <c r="A21" s="107"/>
      <c r="B21" s="108"/>
      <c r="C21" s="109"/>
      <c r="D21" s="93"/>
      <c r="E21" s="93"/>
      <c r="F21" s="14">
        <f>SUMIFS(Tapacantos!D:D,Tapacantos!A:A,cotizador!A21,Tapacantos!C:C,D21)</f>
        <v>0</v>
      </c>
      <c r="G21" s="14">
        <f t="shared" si="2"/>
        <v>0</v>
      </c>
      <c r="H21" s="78"/>
      <c r="I21" s="78"/>
      <c r="J21" s="2"/>
      <c r="K21" s="93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</row>
    <row r="22" spans="1:29" x14ac:dyDescent="0.3">
      <c r="A22" s="107"/>
      <c r="B22" s="108"/>
      <c r="C22" s="109"/>
      <c r="D22" s="93"/>
      <c r="E22" s="93"/>
      <c r="F22" s="14">
        <f>SUMIFS(Tapacantos!D:D,Tapacantos!A:A,cotizador!A22,Tapacantos!C:C,D22)</f>
        <v>0</v>
      </c>
      <c r="G22" s="14">
        <f t="shared" si="2"/>
        <v>0</v>
      </c>
      <c r="H22" s="78"/>
      <c r="I22" s="78"/>
      <c r="J22" s="2"/>
      <c r="K22" s="93"/>
      <c r="L22" s="78"/>
      <c r="M22" s="78"/>
      <c r="N22" s="78"/>
      <c r="O22" s="78"/>
      <c r="P22" s="78"/>
      <c r="Q22" s="78"/>
      <c r="R22" s="78"/>
      <c r="S22" s="78"/>
      <c r="T22" s="78"/>
      <c r="U22" s="78"/>
      <c r="V22" s="78"/>
      <c r="W22" s="78"/>
      <c r="X22" s="78"/>
      <c r="Y22" s="78"/>
      <c r="Z22" s="78"/>
      <c r="AA22" s="78"/>
      <c r="AB22" s="78"/>
      <c r="AC22" s="78"/>
    </row>
    <row r="23" spans="1:29" x14ac:dyDescent="0.3">
      <c r="A23" s="107"/>
      <c r="B23" s="108"/>
      <c r="C23" s="109"/>
      <c r="D23" s="93"/>
      <c r="E23" s="93"/>
      <c r="F23" s="14">
        <f>SUMIFS(Tapacantos!D:D,Tapacantos!A:A,cotizador!A23,Tapacantos!C:C,D23)</f>
        <v>0</v>
      </c>
      <c r="G23" s="14">
        <f t="shared" si="2"/>
        <v>0</v>
      </c>
      <c r="H23" s="78"/>
      <c r="I23" s="78"/>
      <c r="J23" s="2"/>
      <c r="K23" s="93"/>
      <c r="L23" s="78"/>
      <c r="M23" s="78"/>
      <c r="N23" s="78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</row>
    <row r="24" spans="1:29" x14ac:dyDescent="0.3">
      <c r="A24" s="107"/>
      <c r="B24" s="108"/>
      <c r="C24" s="109"/>
      <c r="D24" s="93"/>
      <c r="E24" s="93"/>
      <c r="F24" s="14">
        <f>SUMIFS(Tapacantos!D:D,Tapacantos!A:A,cotizador!A24,Tapacantos!C:C,D24)</f>
        <v>0</v>
      </c>
      <c r="G24" s="14">
        <f t="shared" si="2"/>
        <v>0</v>
      </c>
      <c r="H24" s="78"/>
      <c r="I24" s="78"/>
      <c r="J24" s="2"/>
      <c r="K24" s="93"/>
      <c r="L24" s="78"/>
      <c r="M24" s="78"/>
      <c r="N24" s="78"/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78"/>
      <c r="AA24" s="78"/>
      <c r="AB24" s="78"/>
      <c r="AC24" s="78"/>
    </row>
    <row r="25" spans="1:29" x14ac:dyDescent="0.3">
      <c r="A25" s="107"/>
      <c r="B25" s="108"/>
      <c r="C25" s="109"/>
      <c r="D25" s="93"/>
      <c r="E25" s="93"/>
      <c r="F25" s="14">
        <f>SUMIFS(Tapacantos!D:D,Tapacantos!A:A,cotizador!A25,Tapacantos!C:C,D25)</f>
        <v>0</v>
      </c>
      <c r="G25" s="14">
        <f t="shared" si="2"/>
        <v>0</v>
      </c>
      <c r="H25" s="78"/>
      <c r="I25" s="78"/>
      <c r="J25" s="2"/>
      <c r="K25" s="93"/>
      <c r="L25" s="78"/>
      <c r="M25" s="78"/>
      <c r="N25" s="78"/>
      <c r="O25" s="78"/>
      <c r="P25" s="78"/>
      <c r="Q25" s="78"/>
      <c r="R25" s="78"/>
      <c r="S25" s="78"/>
      <c r="T25" s="78"/>
      <c r="U25" s="78"/>
      <c r="V25" s="78"/>
      <c r="W25" s="78"/>
      <c r="X25" s="78"/>
      <c r="Y25" s="78"/>
      <c r="Z25" s="78"/>
      <c r="AA25" s="78"/>
      <c r="AB25" s="78"/>
      <c r="AC25" s="78"/>
    </row>
    <row r="26" spans="1:29" x14ac:dyDescent="0.3">
      <c r="A26" s="107"/>
      <c r="B26" s="108"/>
      <c r="C26" s="109"/>
      <c r="D26" s="93"/>
      <c r="E26" s="93"/>
      <c r="F26" s="14">
        <f>SUMIFS(Tapacantos!D:D,Tapacantos!A:A,cotizador!A26,Tapacantos!C:C,D26)</f>
        <v>0</v>
      </c>
      <c r="G26" s="14">
        <f t="shared" si="2"/>
        <v>0</v>
      </c>
      <c r="H26" s="78"/>
      <c r="I26" s="78"/>
      <c r="J26" s="2"/>
      <c r="K26" s="93"/>
      <c r="L26" s="78"/>
      <c r="M26" s="78"/>
      <c r="N26" s="78"/>
      <c r="O26" s="78"/>
      <c r="P26" s="78"/>
      <c r="Q26" s="78"/>
      <c r="R26" s="78"/>
      <c r="S26" s="78"/>
      <c r="T26" s="78"/>
      <c r="U26" s="78"/>
      <c r="V26" s="78"/>
      <c r="W26" s="78"/>
      <c r="X26" s="78"/>
      <c r="Y26" s="78"/>
      <c r="Z26" s="78"/>
      <c r="AA26" s="78"/>
      <c r="AB26" s="78"/>
      <c r="AC26" s="78"/>
    </row>
    <row r="27" spans="1:29" x14ac:dyDescent="0.3">
      <c r="A27" s="107"/>
      <c r="B27" s="108"/>
      <c r="C27" s="109"/>
      <c r="D27" s="93"/>
      <c r="E27" s="93"/>
      <c r="F27" s="14">
        <f>SUMIFS(Tapacantos!D:D,Tapacantos!A:A,cotizador!A27,Tapacantos!C:C,D27)</f>
        <v>0</v>
      </c>
      <c r="G27" s="14">
        <f t="shared" si="2"/>
        <v>0</v>
      </c>
      <c r="H27" s="78"/>
      <c r="I27" s="78"/>
      <c r="J27" s="2"/>
      <c r="K27" s="93"/>
      <c r="L27" s="78"/>
      <c r="M27" s="78"/>
      <c r="N27" s="78"/>
      <c r="O27" s="78"/>
      <c r="P27" s="78"/>
      <c r="Q27" s="78"/>
      <c r="R27" s="78"/>
      <c r="S27" s="78"/>
      <c r="T27" s="78"/>
      <c r="U27" s="78"/>
      <c r="V27" s="78"/>
      <c r="W27" s="78"/>
      <c r="X27" s="78"/>
      <c r="Y27" s="78"/>
      <c r="Z27" s="78"/>
      <c r="AA27" s="78"/>
      <c r="AB27" s="78"/>
      <c r="AC27" s="78"/>
    </row>
    <row r="28" spans="1:29" x14ac:dyDescent="0.3">
      <c r="A28" s="120"/>
      <c r="B28" s="121"/>
      <c r="C28" s="121"/>
      <c r="D28" s="121"/>
      <c r="E28" s="122"/>
      <c r="F28" s="75" t="s">
        <v>29</v>
      </c>
      <c r="G28" s="15">
        <f>SUM(G18:G27)</f>
        <v>18388000</v>
      </c>
      <c r="H28" s="78"/>
      <c r="I28" s="78"/>
      <c r="J28" s="2"/>
      <c r="K28" s="93"/>
      <c r="L28" s="78"/>
      <c r="M28" s="78"/>
      <c r="N28" s="78"/>
      <c r="O28" s="78"/>
      <c r="P28" s="78"/>
      <c r="Q28" s="78"/>
      <c r="R28" s="78"/>
      <c r="S28" s="78"/>
      <c r="T28" s="78"/>
      <c r="U28" s="78"/>
      <c r="V28" s="78"/>
      <c r="W28" s="78"/>
      <c r="X28" s="78"/>
      <c r="Y28" s="78"/>
      <c r="Z28" s="78"/>
      <c r="AA28" s="78"/>
      <c r="AB28" s="78"/>
      <c r="AC28" s="78"/>
    </row>
    <row r="29" spans="1:29" x14ac:dyDescent="0.3">
      <c r="A29" s="117" t="s">
        <v>36</v>
      </c>
      <c r="B29" s="118"/>
      <c r="C29" s="119"/>
      <c r="D29" s="92" t="s">
        <v>37</v>
      </c>
      <c r="E29" s="92" t="s">
        <v>2</v>
      </c>
      <c r="F29" s="92" t="s">
        <v>23</v>
      </c>
      <c r="G29" s="92" t="s">
        <v>24</v>
      </c>
      <c r="H29" s="78"/>
      <c r="I29" s="78"/>
      <c r="J29" s="2"/>
      <c r="K29" s="93"/>
      <c r="L29" s="78"/>
      <c r="M29" s="78"/>
      <c r="N29" s="78"/>
      <c r="O29" s="78"/>
      <c r="P29" s="78"/>
      <c r="Q29" s="78"/>
      <c r="R29" s="78"/>
      <c r="S29" s="78"/>
      <c r="T29" s="78"/>
      <c r="U29" s="78"/>
      <c r="V29" s="78"/>
      <c r="W29" s="78"/>
      <c r="X29" s="78"/>
      <c r="Y29" s="78"/>
      <c r="Z29" s="78"/>
      <c r="AA29" s="78"/>
      <c r="AB29" s="78"/>
      <c r="AC29" s="78"/>
    </row>
    <row r="30" spans="1:29" x14ac:dyDescent="0.3">
      <c r="A30" s="116" t="s">
        <v>216</v>
      </c>
      <c r="B30" s="116"/>
      <c r="C30" s="116"/>
      <c r="D30" s="2" t="str">
        <f>IFERROR(INDEX(Herrajes!B:B, MATCH(A30, Herrajes!A:A, 0)),"")</f>
        <v>Madecentro - Bonuit</v>
      </c>
      <c r="E30" s="2">
        <v>1</v>
      </c>
      <c r="F30" s="12">
        <f>SUMIFS(Herrajes!C:C,Herrajes!A:A,A30)</f>
        <v>48524</v>
      </c>
      <c r="G30" s="12">
        <f>F30*E30</f>
        <v>48524</v>
      </c>
      <c r="H30" s="78"/>
      <c r="I30" s="78"/>
      <c r="J30" s="2"/>
      <c r="K30" s="93"/>
      <c r="L30" s="78"/>
      <c r="M30" s="78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78"/>
      <c r="Z30" s="78"/>
      <c r="AA30" s="78"/>
      <c r="AB30" s="78"/>
      <c r="AC30" s="78"/>
    </row>
    <row r="31" spans="1:29" x14ac:dyDescent="0.3">
      <c r="A31" s="116" t="s">
        <v>38</v>
      </c>
      <c r="B31" s="116"/>
      <c r="C31" s="116"/>
      <c r="D31" s="2" t="str">
        <f>IFERROR(INDEX(Herrajes!B:B, MATCH(A31, Herrajes!A:A, 0)),"")</f>
        <v>GM</v>
      </c>
      <c r="E31" s="2">
        <v>2</v>
      </c>
      <c r="F31" s="12">
        <f>SUMIFS(Herrajes!C:C,Herrajes!A:A,A31)</f>
        <v>530</v>
      </c>
      <c r="G31" s="12">
        <f t="shared" ref="G31:G39" si="3">F31*E31</f>
        <v>1060</v>
      </c>
      <c r="H31" s="78"/>
      <c r="I31" s="78"/>
      <c r="J31" s="2"/>
      <c r="K31" s="93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</row>
    <row r="32" spans="1:29" x14ac:dyDescent="0.3">
      <c r="A32" s="116" t="s">
        <v>134</v>
      </c>
      <c r="B32" s="116"/>
      <c r="C32" s="116"/>
      <c r="D32" s="2" t="str">
        <f>IFERROR(INDEX(Herrajes!B:B, MATCH(A32, Herrajes!A:A, 0)),"")</f>
        <v>GM</v>
      </c>
      <c r="E32" s="2">
        <v>3</v>
      </c>
      <c r="F32" s="12">
        <f>SUMIFS(Herrajes!C:C,Herrajes!A:A,A32)</f>
        <v>206608</v>
      </c>
      <c r="G32" s="12">
        <f t="shared" si="3"/>
        <v>619824</v>
      </c>
      <c r="H32" s="78"/>
      <c r="I32" s="78"/>
      <c r="J32" s="78"/>
      <c r="K32" s="78"/>
      <c r="L32" s="78"/>
      <c r="M32" s="78"/>
      <c r="N32" s="78"/>
      <c r="O32" s="78"/>
      <c r="P32" s="78"/>
      <c r="Q32" s="78"/>
      <c r="R32" s="78"/>
      <c r="S32" s="78"/>
      <c r="T32" s="78"/>
      <c r="U32" s="78"/>
      <c r="V32" s="78"/>
      <c r="W32" s="78"/>
      <c r="X32" s="78"/>
      <c r="Y32" s="78"/>
      <c r="Z32" s="78"/>
      <c r="AA32" s="78"/>
      <c r="AB32" s="78"/>
      <c r="AC32" s="78"/>
    </row>
    <row r="33" spans="1:29" ht="16.5" customHeight="1" x14ac:dyDescent="0.3">
      <c r="A33" s="116" t="s">
        <v>133</v>
      </c>
      <c r="B33" s="116"/>
      <c r="C33" s="116"/>
      <c r="D33" s="2" t="str">
        <f>IFERROR(INDEX(Herrajes!B:B, MATCH(A33, Herrajes!A:A, 0)),"")</f>
        <v>GM</v>
      </c>
      <c r="E33" s="2"/>
      <c r="F33" s="12">
        <f>SUMIFS(Herrajes!C:C,Herrajes!A:A,A33)</f>
        <v>195406</v>
      </c>
      <c r="G33" s="12">
        <f t="shared" si="3"/>
        <v>0</v>
      </c>
      <c r="H33" s="78"/>
      <c r="I33" s="78"/>
      <c r="J33" s="78"/>
      <c r="K33" s="78"/>
      <c r="L33" s="78"/>
      <c r="M33" s="78"/>
      <c r="N33" s="78"/>
      <c r="O33" s="78"/>
      <c r="P33" s="78"/>
      <c r="Q33" s="78"/>
      <c r="R33" s="78"/>
      <c r="S33" s="78"/>
      <c r="T33" s="78"/>
      <c r="U33" s="78"/>
      <c r="V33" s="78"/>
      <c r="W33" s="78"/>
      <c r="X33" s="78"/>
      <c r="Y33" s="78"/>
      <c r="Z33" s="78"/>
      <c r="AA33" s="78"/>
      <c r="AB33" s="78"/>
      <c r="AC33" s="78"/>
    </row>
    <row r="34" spans="1:29" ht="15" customHeight="1" x14ac:dyDescent="0.3">
      <c r="A34" s="116" t="s">
        <v>135</v>
      </c>
      <c r="B34" s="116"/>
      <c r="C34" s="116"/>
      <c r="D34" s="2" t="str">
        <f>IFERROR(INDEX(Herrajes!B:B, MATCH(A34, Herrajes!A:A, 0)),"")</f>
        <v>GM</v>
      </c>
      <c r="E34" s="2"/>
      <c r="F34" s="12">
        <f>SUMIFS(Herrajes!C:C,Herrajes!A:A,A34)</f>
        <v>2188</v>
      </c>
      <c r="G34" s="12">
        <f t="shared" si="3"/>
        <v>0</v>
      </c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</row>
    <row r="35" spans="1:29" x14ac:dyDescent="0.3">
      <c r="A35" s="116" t="s">
        <v>136</v>
      </c>
      <c r="B35" s="116"/>
      <c r="C35" s="116"/>
      <c r="D35" s="2" t="str">
        <f>IFERROR(INDEX(Herrajes!B:B, MATCH(A35, Herrajes!A:A, 0)),"")</f>
        <v>GM</v>
      </c>
      <c r="E35" s="2"/>
      <c r="F35" s="12">
        <f>SUMIFS(Herrajes!C:C,Herrajes!A:A,A35)</f>
        <v>1038</v>
      </c>
      <c r="G35" s="12">
        <f t="shared" si="3"/>
        <v>0</v>
      </c>
      <c r="H35" s="78"/>
      <c r="I35" s="78"/>
      <c r="J35" s="78"/>
      <c r="K35" s="78"/>
      <c r="L35" s="78"/>
      <c r="M35" s="78"/>
      <c r="N35" s="78"/>
      <c r="O35" s="78"/>
      <c r="P35" s="78"/>
      <c r="Q35" s="78"/>
      <c r="R35" s="78"/>
      <c r="S35" s="78"/>
      <c r="T35" s="78"/>
      <c r="U35" s="78"/>
      <c r="V35" s="78"/>
      <c r="W35" s="78"/>
      <c r="X35" s="78"/>
      <c r="Y35" s="78"/>
      <c r="Z35" s="78"/>
      <c r="AA35" s="78"/>
      <c r="AB35" s="78"/>
      <c r="AC35" s="78"/>
    </row>
    <row r="36" spans="1:29" x14ac:dyDescent="0.3">
      <c r="A36" s="116" t="s">
        <v>135</v>
      </c>
      <c r="B36" s="116"/>
      <c r="C36" s="116"/>
      <c r="D36" s="2" t="str">
        <f>IFERROR(INDEX(Herrajes!B:B, MATCH(A36, Herrajes!A:A, 0)),"")</f>
        <v>GM</v>
      </c>
      <c r="E36" s="2"/>
      <c r="F36" s="12">
        <f>SUMIFS(Herrajes!C:C,Herrajes!A:A,A36)</f>
        <v>2188</v>
      </c>
      <c r="G36" s="12">
        <f t="shared" si="3"/>
        <v>0</v>
      </c>
      <c r="H36" s="78"/>
      <c r="I36" s="78"/>
      <c r="J36" s="78"/>
      <c r="K36" s="78"/>
      <c r="L36" s="78"/>
      <c r="M36" s="78"/>
      <c r="N36" s="78"/>
      <c r="O36" s="78"/>
      <c r="P36" s="78"/>
      <c r="Q36" s="78"/>
      <c r="R36" s="78"/>
      <c r="S36" s="78"/>
      <c r="T36" s="78"/>
      <c r="U36" s="78"/>
      <c r="V36" s="78"/>
      <c r="W36" s="78"/>
      <c r="X36" s="78"/>
      <c r="Y36" s="78"/>
      <c r="Z36" s="78"/>
      <c r="AA36" s="78"/>
      <c r="AB36" s="78"/>
      <c r="AC36" s="78"/>
    </row>
    <row r="37" spans="1:29" x14ac:dyDescent="0.3">
      <c r="A37" s="116"/>
      <c r="B37" s="116"/>
      <c r="C37" s="116"/>
      <c r="D37" s="2" t="str">
        <f>IFERROR(INDEX(Herrajes!B:B, MATCH(A37, Herrajes!A:A, 0)),"")</f>
        <v/>
      </c>
      <c r="E37" s="2"/>
      <c r="F37" s="12">
        <f>SUMIFS(Herrajes!C:C,Herrajes!A:A,A37)</f>
        <v>0</v>
      </c>
      <c r="G37" s="12">
        <f t="shared" si="3"/>
        <v>0</v>
      </c>
      <c r="H37" s="78"/>
      <c r="I37" s="78"/>
      <c r="J37" s="78"/>
      <c r="K37" s="78"/>
      <c r="L37" s="78"/>
      <c r="M37" s="78"/>
      <c r="N37" s="78"/>
      <c r="O37" s="78"/>
      <c r="P37" s="78"/>
      <c r="Q37" s="78"/>
      <c r="R37" s="78"/>
      <c r="S37" s="78"/>
      <c r="T37" s="78"/>
      <c r="U37" s="78"/>
      <c r="V37" s="78"/>
      <c r="W37" s="78"/>
      <c r="X37" s="78"/>
      <c r="Y37" s="78"/>
      <c r="Z37" s="78"/>
      <c r="AA37" s="78"/>
      <c r="AB37" s="78"/>
      <c r="AC37" s="78"/>
    </row>
    <row r="38" spans="1:29" x14ac:dyDescent="0.3">
      <c r="A38" s="116"/>
      <c r="B38" s="116"/>
      <c r="C38" s="116"/>
      <c r="D38" s="2" t="str">
        <f>IFERROR(INDEX(Herrajes!B:B, MATCH(A38, Herrajes!A:A, 0)),"")</f>
        <v/>
      </c>
      <c r="E38" s="2"/>
      <c r="F38" s="12">
        <f>SUMIFS(Herrajes!C:C,Herrajes!A:A,A38)</f>
        <v>0</v>
      </c>
      <c r="G38" s="12">
        <f t="shared" si="3"/>
        <v>0</v>
      </c>
      <c r="H38" s="78"/>
      <c r="I38" s="78"/>
      <c r="J38" s="78"/>
      <c r="K38" s="78"/>
      <c r="L38" s="78"/>
      <c r="M38" s="78"/>
      <c r="N38" s="78"/>
      <c r="O38" s="78"/>
      <c r="P38" s="78"/>
      <c r="Q38" s="78"/>
      <c r="R38" s="78"/>
      <c r="S38" s="78"/>
      <c r="T38" s="78"/>
      <c r="U38" s="78"/>
      <c r="V38" s="78"/>
      <c r="W38" s="78"/>
      <c r="X38" s="78"/>
      <c r="Y38" s="78"/>
      <c r="Z38" s="78"/>
      <c r="AA38" s="78"/>
      <c r="AB38" s="78"/>
      <c r="AC38" s="78"/>
    </row>
    <row r="39" spans="1:29" x14ac:dyDescent="0.3">
      <c r="A39" s="116"/>
      <c r="B39" s="116"/>
      <c r="C39" s="116"/>
      <c r="D39" s="2" t="str">
        <f>IFERROR(INDEX(Herrajes!B:B, MATCH(A39, Herrajes!A:A, 0)),"")</f>
        <v/>
      </c>
      <c r="E39" s="2"/>
      <c r="F39" s="12">
        <f>SUMIFS(Herrajes!C:C,Herrajes!A:A,A39)</f>
        <v>0</v>
      </c>
      <c r="G39" s="12">
        <f t="shared" si="3"/>
        <v>0</v>
      </c>
      <c r="H39" s="78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8"/>
      <c r="X39" s="78"/>
      <c r="Y39" s="78"/>
      <c r="Z39" s="78"/>
      <c r="AA39" s="78"/>
      <c r="AB39" s="78"/>
      <c r="AC39" s="78"/>
    </row>
    <row r="40" spans="1:29" x14ac:dyDescent="0.3">
      <c r="A40" s="124"/>
      <c r="B40" s="124"/>
      <c r="C40" s="124"/>
      <c r="D40" s="124"/>
      <c r="E40" s="124"/>
      <c r="F40" s="75" t="s">
        <v>29</v>
      </c>
      <c r="G40" s="17">
        <f>SUM(G30:G39)</f>
        <v>669408</v>
      </c>
      <c r="H40" s="78"/>
      <c r="I40" s="78"/>
      <c r="J40" s="78"/>
      <c r="K40" s="78"/>
      <c r="L40" s="78"/>
      <c r="M40" s="78"/>
      <c r="N40" s="78"/>
      <c r="O40" s="78"/>
      <c r="P40" s="78"/>
      <c r="Q40" s="78"/>
      <c r="R40" s="78"/>
      <c r="S40" s="78"/>
      <c r="T40" s="78"/>
      <c r="U40" s="78"/>
      <c r="V40" s="78"/>
      <c r="W40" s="78"/>
      <c r="X40" s="78"/>
      <c r="Y40" s="78"/>
      <c r="Z40" s="78"/>
      <c r="AA40" s="78"/>
      <c r="AB40" s="78"/>
      <c r="AC40" s="78"/>
    </row>
    <row r="41" spans="1:29" x14ac:dyDescent="0.3">
      <c r="A41" s="16" t="s">
        <v>40</v>
      </c>
      <c r="B41" s="17">
        <f>G16+G28+G40</f>
        <v>21449836.199999999</v>
      </c>
      <c r="C41" s="78"/>
      <c r="D41" s="78"/>
      <c r="E41" s="78"/>
      <c r="F41" s="79"/>
      <c r="G41" s="78"/>
      <c r="H41" s="78"/>
      <c r="I41" s="78"/>
      <c r="J41" s="78"/>
      <c r="K41" s="78"/>
      <c r="L41" s="78"/>
      <c r="M41" s="78"/>
      <c r="N41" s="78"/>
      <c r="O41" s="78"/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78"/>
      <c r="AA41" s="78"/>
      <c r="AB41" s="78"/>
      <c r="AC41" s="78"/>
    </row>
    <row r="42" spans="1:29" x14ac:dyDescent="0.3">
      <c r="A42" s="16" t="s">
        <v>41</v>
      </c>
      <c r="B42" s="67">
        <v>0.12</v>
      </c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  <c r="AA42" s="78"/>
      <c r="AB42" s="78"/>
      <c r="AC42" s="78"/>
    </row>
    <row r="43" spans="1:29" x14ac:dyDescent="0.3">
      <c r="A43" s="16" t="s">
        <v>42</v>
      </c>
      <c r="B43" s="17">
        <f>(B41*B42)+B41</f>
        <v>24023816.544</v>
      </c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  <c r="Q43" s="78"/>
      <c r="R43" s="78"/>
      <c r="S43" s="78"/>
      <c r="T43" s="78"/>
      <c r="U43" s="78"/>
      <c r="V43" s="78"/>
      <c r="W43" s="78"/>
      <c r="X43" s="78"/>
      <c r="Y43" s="78"/>
      <c r="Z43" s="78"/>
      <c r="AA43" s="78"/>
      <c r="AB43" s="78"/>
      <c r="AC43" s="78"/>
    </row>
    <row r="44" spans="1:29" x14ac:dyDescent="0.3">
      <c r="A44" s="123" t="s">
        <v>43</v>
      </c>
      <c r="B44" s="123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  <c r="Q44" s="78"/>
      <c r="R44" s="78"/>
      <c r="S44" s="78"/>
      <c r="T44" s="78"/>
      <c r="U44" s="78"/>
      <c r="V44" s="78"/>
      <c r="W44" s="78"/>
      <c r="X44" s="78"/>
      <c r="Y44" s="78"/>
      <c r="Z44" s="78"/>
      <c r="AA44" s="78"/>
      <c r="AB44" s="78"/>
      <c r="AC44" s="78"/>
    </row>
    <row r="45" spans="1:29" x14ac:dyDescent="0.3">
      <c r="A45" s="16" t="s">
        <v>44</v>
      </c>
      <c r="B45" s="17">
        <f>Corte!D28</f>
        <v>33589.466999999997</v>
      </c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  <c r="Q45" s="78"/>
      <c r="R45" s="78"/>
      <c r="S45" s="78"/>
      <c r="T45" s="78"/>
      <c r="U45" s="78"/>
      <c r="V45" s="78"/>
      <c r="W45" s="78"/>
      <c r="X45" s="78"/>
      <c r="Y45" s="78"/>
      <c r="Z45" s="78"/>
      <c r="AA45" s="78"/>
      <c r="AB45" s="78"/>
      <c r="AC45" s="78"/>
    </row>
    <row r="46" spans="1:29" x14ac:dyDescent="0.3">
      <c r="A46" s="16" t="s">
        <v>45</v>
      </c>
      <c r="B46" s="17">
        <f>Enchape!B11</f>
        <v>3473625</v>
      </c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8"/>
      <c r="P46" s="78"/>
      <c r="Q46" s="78"/>
      <c r="R46" s="78"/>
      <c r="S46" s="78"/>
      <c r="T46" s="78"/>
      <c r="U46" s="78"/>
      <c r="V46" s="78"/>
      <c r="W46" s="78"/>
      <c r="X46" s="78"/>
      <c r="Y46" s="78"/>
      <c r="Z46" s="78"/>
      <c r="AA46" s="78"/>
      <c r="AB46" s="78"/>
      <c r="AC46" s="78"/>
    </row>
    <row r="47" spans="1:29" x14ac:dyDescent="0.3">
      <c r="A47" s="16" t="s">
        <v>46</v>
      </c>
      <c r="B47" s="17">
        <f>Mecanizado!N34</f>
        <v>0</v>
      </c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  <c r="Q47" s="78"/>
      <c r="R47" s="78"/>
      <c r="S47" s="78"/>
      <c r="T47" s="78"/>
      <c r="U47" s="78"/>
      <c r="V47" s="78"/>
      <c r="W47" s="78"/>
      <c r="X47" s="78"/>
      <c r="Y47" s="78"/>
      <c r="Z47" s="78"/>
      <c r="AA47" s="78"/>
      <c r="AB47" s="78"/>
      <c r="AC47" s="78"/>
    </row>
    <row r="48" spans="1:29" x14ac:dyDescent="0.3">
      <c r="A48" s="16" t="s">
        <v>25</v>
      </c>
      <c r="B48" s="17">
        <f>Armado!I28</f>
        <v>147600</v>
      </c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8"/>
      <c r="S48" s="78"/>
      <c r="T48" s="78"/>
      <c r="U48" s="78"/>
      <c r="V48" s="78"/>
      <c r="W48" s="78"/>
      <c r="X48" s="78"/>
      <c r="Y48" s="78"/>
      <c r="Z48" s="78"/>
      <c r="AA48" s="78"/>
      <c r="AB48" s="78"/>
      <c r="AC48" s="78"/>
    </row>
    <row r="49" spans="1:29" x14ac:dyDescent="0.3">
      <c r="A49" s="16" t="s">
        <v>47</v>
      </c>
      <c r="B49" s="2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  <c r="R49" s="78"/>
      <c r="S49" s="78"/>
      <c r="T49" s="78"/>
      <c r="U49" s="78"/>
      <c r="V49" s="78"/>
      <c r="W49" s="78"/>
      <c r="X49" s="78"/>
      <c r="Y49" s="78"/>
      <c r="Z49" s="78"/>
      <c r="AA49" s="78"/>
      <c r="AB49" s="78"/>
      <c r="AC49" s="78"/>
    </row>
    <row r="50" spans="1:29" x14ac:dyDescent="0.3">
      <c r="A50" s="16" t="s">
        <v>48</v>
      </c>
      <c r="B50" s="17">
        <f>SUM(B45:B49)</f>
        <v>3654814.4670000002</v>
      </c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78"/>
      <c r="S50" s="78"/>
      <c r="T50" s="78"/>
      <c r="U50" s="78"/>
      <c r="V50" s="78"/>
      <c r="W50" s="78"/>
      <c r="X50" s="78"/>
      <c r="Y50" s="78"/>
      <c r="Z50" s="78"/>
      <c r="AA50" s="78"/>
      <c r="AB50" s="78"/>
      <c r="AC50" s="78"/>
    </row>
    <row r="51" spans="1:29" x14ac:dyDescent="0.3">
      <c r="A51" s="123" t="s">
        <v>49</v>
      </c>
      <c r="B51" s="123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78"/>
      <c r="N51" s="78"/>
      <c r="O51" s="78"/>
      <c r="P51" s="78"/>
      <c r="Q51" s="78"/>
      <c r="R51" s="78"/>
      <c r="S51" s="78"/>
      <c r="T51" s="78"/>
      <c r="U51" s="78"/>
      <c r="V51" s="78"/>
      <c r="W51" s="78"/>
      <c r="X51" s="78"/>
      <c r="Y51" s="78"/>
      <c r="Z51" s="78"/>
      <c r="AA51" s="78"/>
      <c r="AB51" s="78"/>
      <c r="AC51" s="78"/>
    </row>
    <row r="52" spans="1:29" x14ac:dyDescent="0.3">
      <c r="A52" s="16" t="s">
        <v>50</v>
      </c>
      <c r="B52" s="68">
        <v>0.2</v>
      </c>
      <c r="C52" s="78"/>
      <c r="D52" s="78"/>
      <c r="E52" s="78"/>
      <c r="F52" s="78"/>
      <c r="G52" s="78"/>
      <c r="H52" s="78"/>
      <c r="I52" s="78"/>
      <c r="J52" s="78"/>
      <c r="K52" s="78"/>
      <c r="L52" s="78"/>
      <c r="M52" s="78"/>
      <c r="N52" s="78"/>
      <c r="O52" s="78"/>
      <c r="P52" s="78"/>
      <c r="Q52" s="78"/>
      <c r="R52" s="78"/>
      <c r="S52" s="78"/>
      <c r="T52" s="78"/>
      <c r="U52" s="78"/>
      <c r="V52" s="78"/>
      <c r="W52" s="78"/>
      <c r="X52" s="78"/>
      <c r="Y52" s="78"/>
      <c r="Z52" s="78"/>
      <c r="AA52" s="78"/>
      <c r="AB52" s="78"/>
      <c r="AC52" s="78"/>
    </row>
    <row r="53" spans="1:29" x14ac:dyDescent="0.3">
      <c r="A53" s="2"/>
      <c r="B53" s="17">
        <f>B50*B52</f>
        <v>730962.89340000006</v>
      </c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78"/>
      <c r="N53" s="78"/>
      <c r="O53" s="78"/>
      <c r="P53" s="78"/>
      <c r="Q53" s="78"/>
      <c r="R53" s="78"/>
      <c r="S53" s="78"/>
      <c r="T53" s="78"/>
      <c r="U53" s="78"/>
      <c r="V53" s="78"/>
      <c r="W53" s="78"/>
      <c r="X53" s="78"/>
      <c r="Y53" s="78"/>
      <c r="Z53" s="78"/>
      <c r="AA53" s="78"/>
      <c r="AB53" s="78"/>
      <c r="AC53" s="78"/>
    </row>
    <row r="54" spans="1:29" x14ac:dyDescent="0.3">
      <c r="A54" s="16" t="s">
        <v>51</v>
      </c>
      <c r="B54" s="17">
        <f>B50+B43+B53</f>
        <v>28409593.904399998</v>
      </c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78"/>
      <c r="T54" s="78"/>
      <c r="U54" s="78"/>
      <c r="V54" s="78"/>
      <c r="W54" s="78"/>
      <c r="X54" s="78"/>
      <c r="Y54" s="78"/>
      <c r="Z54" s="78"/>
      <c r="AA54" s="78"/>
      <c r="AB54" s="78"/>
      <c r="AC54" s="78"/>
    </row>
    <row r="55" spans="1:29" x14ac:dyDescent="0.3">
      <c r="A55" s="123" t="s">
        <v>52</v>
      </c>
      <c r="B55" s="123"/>
      <c r="C55" s="78"/>
      <c r="D55" s="78"/>
      <c r="E55" s="78"/>
      <c r="F55" s="78"/>
      <c r="G55" s="78"/>
      <c r="H55" s="78"/>
      <c r="I55" s="78"/>
      <c r="J55" s="78"/>
      <c r="K55" s="78"/>
      <c r="L55" s="78"/>
      <c r="M55" s="78"/>
      <c r="N55" s="78"/>
      <c r="O55" s="78"/>
      <c r="P55" s="78"/>
      <c r="Q55" s="78"/>
      <c r="R55" s="78"/>
      <c r="S55" s="78"/>
      <c r="T55" s="78"/>
      <c r="U55" s="78"/>
      <c r="V55" s="78"/>
      <c r="W55" s="78"/>
      <c r="X55" s="78"/>
      <c r="Y55" s="78"/>
      <c r="Z55" s="78"/>
      <c r="AA55" s="78"/>
      <c r="AB55" s="78"/>
      <c r="AC55" s="78"/>
    </row>
    <row r="56" spans="1:29" x14ac:dyDescent="0.3">
      <c r="A56" s="16" t="s">
        <v>53</v>
      </c>
      <c r="B56" s="67">
        <v>0.35</v>
      </c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</row>
    <row r="57" spans="1:29" x14ac:dyDescent="0.3">
      <c r="A57" s="16" t="s">
        <v>54</v>
      </c>
      <c r="B57" s="17">
        <f>B54*B56</f>
        <v>9943357.866539998</v>
      </c>
      <c r="C57" s="78"/>
      <c r="D57" s="78"/>
      <c r="E57" s="78"/>
      <c r="F57" s="78"/>
      <c r="G57" s="78"/>
      <c r="H57" s="78"/>
      <c r="I57" s="78"/>
      <c r="J57" s="78"/>
      <c r="K57" s="78"/>
      <c r="L57" s="78"/>
      <c r="M57" s="78"/>
      <c r="N57" s="78"/>
      <c r="O57" s="78"/>
      <c r="P57" s="78"/>
      <c r="Q57" s="78"/>
      <c r="R57" s="78"/>
      <c r="S57" s="78"/>
      <c r="T57" s="78"/>
      <c r="U57" s="78"/>
      <c r="V57" s="78"/>
      <c r="W57" s="78"/>
      <c r="X57" s="78"/>
      <c r="Y57" s="78"/>
      <c r="Z57" s="78"/>
      <c r="AA57" s="78"/>
      <c r="AB57" s="78"/>
      <c r="AC57" s="78"/>
    </row>
    <row r="58" spans="1:29" x14ac:dyDescent="0.3">
      <c r="A58" s="16" t="s">
        <v>51</v>
      </c>
      <c r="B58" s="17">
        <f>B57+B54</f>
        <v>38352951.770939998</v>
      </c>
      <c r="C58" s="78"/>
      <c r="D58" s="78"/>
      <c r="E58" s="78"/>
      <c r="F58" s="78"/>
      <c r="G58" s="78"/>
      <c r="H58" s="78"/>
      <c r="I58" s="78"/>
      <c r="J58" s="78"/>
      <c r="K58" s="78"/>
      <c r="L58" s="78"/>
      <c r="M58" s="78"/>
      <c r="N58" s="78"/>
      <c r="O58" s="78"/>
      <c r="P58" s="78"/>
      <c r="Q58" s="78"/>
      <c r="R58" s="78"/>
      <c r="S58" s="78"/>
      <c r="T58" s="78"/>
      <c r="U58" s="78"/>
      <c r="V58" s="78"/>
      <c r="W58" s="78"/>
      <c r="X58" s="78"/>
      <c r="Y58" s="78"/>
      <c r="Z58" s="78"/>
      <c r="AA58" s="78"/>
      <c r="AB58" s="78"/>
      <c r="AC58" s="78"/>
    </row>
    <row r="59" spans="1:29" x14ac:dyDescent="0.3">
      <c r="A59" s="123" t="s">
        <v>55</v>
      </c>
      <c r="B59" s="123"/>
      <c r="C59" s="78"/>
      <c r="D59" s="78"/>
      <c r="E59" s="78"/>
      <c r="F59" s="78"/>
      <c r="G59" s="78"/>
      <c r="H59" s="78"/>
      <c r="I59" s="78"/>
      <c r="J59" s="78"/>
      <c r="K59" s="78"/>
      <c r="L59" s="78"/>
      <c r="M59" s="78"/>
      <c r="N59" s="78"/>
      <c r="O59" s="78"/>
      <c r="P59" s="78"/>
      <c r="Q59" s="78"/>
      <c r="R59" s="78"/>
      <c r="S59" s="78"/>
      <c r="T59" s="78"/>
      <c r="U59" s="78"/>
      <c r="V59" s="78"/>
      <c r="W59" s="78"/>
      <c r="X59" s="78"/>
      <c r="Y59" s="78"/>
      <c r="Z59" s="78"/>
      <c r="AA59" s="78"/>
      <c r="AB59" s="78"/>
      <c r="AC59" s="78"/>
    </row>
    <row r="60" spans="1:29" x14ac:dyDescent="0.3">
      <c r="A60" s="16" t="s">
        <v>56</v>
      </c>
      <c r="B60" s="67">
        <v>0.15</v>
      </c>
      <c r="C60" s="78"/>
      <c r="D60" s="78"/>
      <c r="E60" s="78"/>
      <c r="F60" s="78"/>
      <c r="G60" s="78"/>
      <c r="H60" s="78"/>
      <c r="I60" s="78"/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78"/>
      <c r="U60" s="78"/>
      <c r="V60" s="78"/>
      <c r="W60" s="78"/>
      <c r="X60" s="78"/>
      <c r="Y60" s="78"/>
      <c r="Z60" s="78"/>
      <c r="AA60" s="78"/>
      <c r="AB60" s="78"/>
      <c r="AC60" s="78"/>
    </row>
    <row r="61" spans="1:29" x14ac:dyDescent="0.3">
      <c r="A61" s="16" t="s">
        <v>57</v>
      </c>
      <c r="B61" s="17">
        <f>B60*B58</f>
        <v>5752942.7656409992</v>
      </c>
      <c r="C61" s="78"/>
      <c r="D61" s="78"/>
      <c r="E61" s="78"/>
      <c r="F61" s="78"/>
      <c r="G61" s="78"/>
      <c r="H61" s="78"/>
      <c r="I61" s="78"/>
      <c r="J61" s="78"/>
      <c r="K61" s="78"/>
      <c r="L61" s="78"/>
      <c r="M61" s="78"/>
      <c r="N61" s="78"/>
      <c r="O61" s="78"/>
      <c r="P61" s="78"/>
      <c r="Q61" s="78"/>
      <c r="R61" s="78"/>
      <c r="S61" s="78"/>
      <c r="T61" s="78"/>
      <c r="U61" s="78"/>
      <c r="V61" s="78"/>
      <c r="W61" s="78"/>
      <c r="X61" s="78"/>
      <c r="Y61" s="78"/>
      <c r="Z61" s="78"/>
      <c r="AA61" s="78"/>
      <c r="AB61" s="78"/>
      <c r="AC61" s="78"/>
    </row>
    <row r="62" spans="1:29" x14ac:dyDescent="0.3">
      <c r="A62" s="80" t="s">
        <v>58</v>
      </c>
      <c r="B62" s="81">
        <f>B58+B61</f>
        <v>44105894.536580995</v>
      </c>
      <c r="C62" s="78"/>
      <c r="D62" s="78"/>
      <c r="E62" s="78"/>
      <c r="F62" s="78"/>
      <c r="G62" s="78"/>
      <c r="H62" s="78"/>
      <c r="I62" s="78"/>
      <c r="J62" s="78"/>
      <c r="K62" s="78"/>
      <c r="L62" s="78"/>
      <c r="M62" s="78"/>
      <c r="N62" s="78"/>
      <c r="O62" s="78"/>
      <c r="P62" s="78"/>
      <c r="Q62" s="78"/>
      <c r="R62" s="78"/>
      <c r="S62" s="78"/>
      <c r="T62" s="78"/>
      <c r="U62" s="78"/>
      <c r="V62" s="78"/>
      <c r="W62" s="78"/>
      <c r="X62" s="78"/>
      <c r="Y62" s="78"/>
      <c r="Z62" s="78"/>
      <c r="AA62" s="78"/>
      <c r="AB62" s="78"/>
      <c r="AC62" s="78"/>
    </row>
    <row r="63" spans="1:29" x14ac:dyDescent="0.3">
      <c r="C63" s="78"/>
      <c r="D63" s="78"/>
      <c r="E63" s="78"/>
      <c r="F63" s="78"/>
      <c r="G63" s="78"/>
      <c r="H63" s="78"/>
      <c r="I63" s="78"/>
      <c r="J63" s="78"/>
      <c r="K63" s="78"/>
      <c r="L63" s="78"/>
      <c r="M63" s="78"/>
      <c r="N63" s="78"/>
      <c r="O63" s="78"/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  <c r="AA63" s="78"/>
      <c r="AB63" s="78"/>
      <c r="AC63" s="78"/>
    </row>
    <row r="64" spans="1:29" x14ac:dyDescent="0.3">
      <c r="A64" s="123" t="s">
        <v>59</v>
      </c>
      <c r="B64" s="123"/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78"/>
      <c r="N64" s="78"/>
      <c r="O64" s="78"/>
      <c r="P64" s="78"/>
      <c r="Q64" s="78"/>
      <c r="R64" s="78"/>
      <c r="S64" s="78"/>
      <c r="T64" s="78"/>
      <c r="U64" s="78"/>
      <c r="V64" s="78"/>
      <c r="W64" s="78"/>
      <c r="X64" s="78"/>
      <c r="Y64" s="78"/>
      <c r="Z64" s="78"/>
      <c r="AA64" s="78"/>
      <c r="AB64" s="78"/>
      <c r="AC64" s="78"/>
    </row>
    <row r="65" spans="1:29" x14ac:dyDescent="0.3">
      <c r="A65" s="16" t="s">
        <v>60</v>
      </c>
      <c r="B65" s="12"/>
      <c r="C65" s="78"/>
      <c r="D65" s="78"/>
      <c r="E65" s="78"/>
      <c r="F65" s="78"/>
      <c r="G65" s="78"/>
      <c r="H65" s="78"/>
      <c r="I65" s="78"/>
      <c r="J65" s="78"/>
      <c r="K65" s="78"/>
      <c r="L65" s="78"/>
      <c r="M65" s="78"/>
      <c r="N65" s="78"/>
      <c r="O65" s="78"/>
      <c r="P65" s="78"/>
      <c r="Q65" s="78"/>
      <c r="R65" s="78"/>
      <c r="S65" s="78"/>
      <c r="T65" s="78"/>
      <c r="U65" s="78"/>
      <c r="V65" s="78"/>
      <c r="W65" s="78"/>
      <c r="X65" s="78"/>
      <c r="Y65" s="78"/>
      <c r="Z65" s="78"/>
      <c r="AA65" s="78"/>
      <c r="AB65" s="78"/>
      <c r="AC65" s="78"/>
    </row>
    <row r="66" spans="1:29" x14ac:dyDescent="0.3">
      <c r="A66" s="16" t="s">
        <v>61</v>
      </c>
      <c r="B66" s="67">
        <v>0.2</v>
      </c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78"/>
      <c r="N66" s="78"/>
      <c r="O66" s="78"/>
      <c r="P66" s="78"/>
      <c r="Q66" s="78"/>
      <c r="R66" s="78"/>
      <c r="S66" s="78"/>
      <c r="T66" s="78"/>
      <c r="U66" s="78"/>
      <c r="V66" s="78"/>
      <c r="W66" s="78"/>
      <c r="X66" s="78"/>
      <c r="Y66" s="78"/>
      <c r="Z66" s="78"/>
      <c r="AA66" s="78"/>
      <c r="AB66" s="78"/>
      <c r="AC66" s="78"/>
    </row>
    <row r="67" spans="1:29" x14ac:dyDescent="0.3">
      <c r="A67" s="16" t="s">
        <v>62</v>
      </c>
      <c r="B67" s="12">
        <f>B66*B65</f>
        <v>0</v>
      </c>
      <c r="C67" s="78"/>
      <c r="D67" s="78"/>
      <c r="E67" s="78"/>
      <c r="F67" s="78"/>
      <c r="G67" s="78"/>
      <c r="H67" s="78"/>
      <c r="I67" s="78"/>
      <c r="J67" s="78"/>
      <c r="K67" s="78"/>
      <c r="L67" s="78"/>
      <c r="M67" s="78"/>
      <c r="N67" s="78"/>
      <c r="O67" s="78"/>
      <c r="P67" s="78"/>
      <c r="Q67" s="78"/>
      <c r="R67" s="78"/>
      <c r="S67" s="78"/>
      <c r="T67" s="78"/>
      <c r="U67" s="78"/>
      <c r="V67" s="78"/>
      <c r="W67" s="78"/>
      <c r="X67" s="78"/>
      <c r="Y67" s="78"/>
      <c r="Z67" s="78"/>
      <c r="AA67" s="78"/>
      <c r="AB67" s="78"/>
      <c r="AC67" s="78"/>
    </row>
    <row r="68" spans="1:29" x14ac:dyDescent="0.3">
      <c r="A68" s="16" t="s">
        <v>63</v>
      </c>
      <c r="B68" s="17">
        <f>B65+B67</f>
        <v>0</v>
      </c>
      <c r="C68" s="78"/>
      <c r="D68" s="78"/>
      <c r="E68" s="78"/>
      <c r="F68" s="78"/>
      <c r="G68" s="78"/>
      <c r="H68" s="78"/>
      <c r="I68" s="78"/>
      <c r="J68" s="78"/>
      <c r="K68" s="78"/>
      <c r="L68" s="78"/>
      <c r="M68" s="78"/>
      <c r="N68" s="78"/>
      <c r="O68" s="78"/>
      <c r="P68" s="78"/>
      <c r="Q68" s="78"/>
      <c r="R68" s="78"/>
      <c r="S68" s="78"/>
      <c r="T68" s="78"/>
      <c r="U68" s="78"/>
      <c r="V68" s="78"/>
      <c r="W68" s="78"/>
      <c r="X68" s="78"/>
      <c r="Y68" s="78"/>
      <c r="Z68" s="78"/>
      <c r="AA68" s="78"/>
      <c r="AB68" s="78"/>
      <c r="AC68" s="78"/>
    </row>
    <row r="69" spans="1:29" x14ac:dyDescent="0.3">
      <c r="A69" s="16" t="s">
        <v>64</v>
      </c>
      <c r="B69" s="67">
        <v>0.1</v>
      </c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78"/>
      <c r="N69" s="78"/>
      <c r="O69" s="78"/>
      <c r="P69" s="78"/>
      <c r="Q69" s="78"/>
      <c r="R69" s="78"/>
      <c r="S69" s="78"/>
      <c r="T69" s="78"/>
      <c r="U69" s="78"/>
      <c r="V69" s="78"/>
      <c r="W69" s="78"/>
      <c r="X69" s="78"/>
      <c r="Y69" s="78"/>
      <c r="Z69" s="78"/>
      <c r="AA69" s="78"/>
      <c r="AB69" s="78"/>
      <c r="AC69" s="78"/>
    </row>
    <row r="70" spans="1:29" x14ac:dyDescent="0.3">
      <c r="A70" s="16" t="s">
        <v>65</v>
      </c>
      <c r="B70" s="17">
        <f>B69*B68</f>
        <v>0</v>
      </c>
      <c r="C70" s="78"/>
      <c r="D70" s="78"/>
      <c r="E70" s="78"/>
      <c r="F70" s="78"/>
      <c r="G70" s="78"/>
      <c r="H70" s="78"/>
      <c r="I70" s="78"/>
      <c r="J70" s="78"/>
      <c r="K70" s="78"/>
      <c r="L70" s="78"/>
      <c r="M70" s="78"/>
      <c r="N70" s="78"/>
      <c r="O70" s="78"/>
      <c r="P70" s="78"/>
      <c r="Q70" s="78"/>
      <c r="R70" s="78"/>
      <c r="S70" s="78"/>
      <c r="T70" s="78"/>
      <c r="U70" s="78"/>
      <c r="V70" s="78"/>
      <c r="W70" s="78"/>
      <c r="X70" s="78"/>
      <c r="Y70" s="78"/>
      <c r="Z70" s="78"/>
      <c r="AA70" s="78"/>
      <c r="AB70" s="78"/>
      <c r="AC70" s="78"/>
    </row>
    <row r="71" spans="1:29" x14ac:dyDescent="0.3">
      <c r="A71" s="16" t="s">
        <v>51</v>
      </c>
      <c r="B71" s="12">
        <f>B70+B68</f>
        <v>0</v>
      </c>
      <c r="C71" s="78"/>
      <c r="D71" s="78"/>
      <c r="E71" s="78"/>
      <c r="F71" s="78"/>
      <c r="G71" s="78"/>
      <c r="H71" s="78"/>
      <c r="I71" s="78"/>
      <c r="J71" s="78"/>
      <c r="K71" s="78"/>
      <c r="L71" s="78"/>
      <c r="M71" s="78"/>
      <c r="N71" s="78"/>
      <c r="O71" s="78"/>
      <c r="P71" s="78"/>
      <c r="Q71" s="78"/>
      <c r="R71" s="78"/>
      <c r="S71" s="78"/>
      <c r="T71" s="78"/>
      <c r="U71" s="78"/>
      <c r="V71" s="78"/>
      <c r="W71" s="78"/>
      <c r="X71" s="78"/>
      <c r="Y71" s="78"/>
      <c r="Z71" s="78"/>
      <c r="AA71" s="78"/>
      <c r="AB71" s="78"/>
      <c r="AC71" s="78"/>
    </row>
    <row r="72" spans="1:29" x14ac:dyDescent="0.3">
      <c r="A72" s="16" t="s">
        <v>66</v>
      </c>
      <c r="B72" s="68">
        <v>0.15</v>
      </c>
      <c r="C72" s="78"/>
      <c r="D72" s="78"/>
      <c r="E72" s="78"/>
      <c r="F72" s="78"/>
      <c r="G72" s="78"/>
      <c r="H72" s="78"/>
      <c r="I72" s="78"/>
      <c r="J72" s="78"/>
      <c r="K72" s="78"/>
      <c r="L72" s="78"/>
      <c r="M72" s="78"/>
      <c r="N72" s="78"/>
      <c r="O72" s="78"/>
      <c r="P72" s="78"/>
      <c r="Q72" s="78"/>
      <c r="R72" s="78"/>
      <c r="S72" s="78"/>
      <c r="T72" s="78"/>
      <c r="U72" s="78"/>
      <c r="V72" s="78"/>
      <c r="W72" s="78"/>
      <c r="X72" s="78"/>
      <c r="Y72" s="78"/>
      <c r="Z72" s="78"/>
      <c r="AA72" s="78"/>
      <c r="AB72" s="78"/>
      <c r="AC72" s="78"/>
    </row>
    <row r="73" spans="1:29" x14ac:dyDescent="0.3">
      <c r="A73" s="16" t="s">
        <v>57</v>
      </c>
      <c r="B73" s="17">
        <f>B72*B71</f>
        <v>0</v>
      </c>
      <c r="C73" s="78"/>
      <c r="D73" s="78"/>
      <c r="E73" s="78"/>
      <c r="F73" s="78"/>
      <c r="G73" s="78"/>
      <c r="H73" s="78"/>
      <c r="I73" s="78"/>
      <c r="J73" s="78"/>
      <c r="K73" s="78"/>
      <c r="L73" s="78"/>
      <c r="M73" s="78"/>
      <c r="N73" s="78"/>
      <c r="O73" s="78"/>
      <c r="P73" s="78"/>
      <c r="Q73" s="78"/>
      <c r="R73" s="78"/>
      <c r="S73" s="78"/>
      <c r="T73" s="78"/>
      <c r="U73" s="78"/>
      <c r="V73" s="78"/>
      <c r="W73" s="78"/>
      <c r="X73" s="78"/>
      <c r="Y73" s="78"/>
      <c r="Z73" s="78"/>
      <c r="AA73" s="78"/>
      <c r="AB73" s="78"/>
      <c r="AC73" s="78"/>
    </row>
    <row r="74" spans="1:29" x14ac:dyDescent="0.3">
      <c r="A74" s="16" t="s">
        <v>67</v>
      </c>
      <c r="B74" s="17">
        <f>B73+B71</f>
        <v>0</v>
      </c>
      <c r="C74" s="78"/>
      <c r="D74" s="78"/>
      <c r="E74" s="78"/>
      <c r="F74" s="78"/>
      <c r="G74" s="78"/>
      <c r="H74" s="78"/>
      <c r="I74" s="78"/>
      <c r="J74" s="78"/>
      <c r="K74" s="78"/>
      <c r="L74" s="78"/>
      <c r="M74" s="78"/>
      <c r="N74" s="78"/>
      <c r="O74" s="78"/>
      <c r="P74" s="78"/>
      <c r="Q74" s="78"/>
      <c r="R74" s="78"/>
      <c r="S74" s="78"/>
      <c r="T74" s="78"/>
      <c r="U74" s="78"/>
      <c r="V74" s="78"/>
      <c r="W74" s="78"/>
      <c r="X74" s="78"/>
      <c r="Y74" s="78"/>
      <c r="Z74" s="78"/>
      <c r="AA74" s="78"/>
      <c r="AB74" s="78"/>
      <c r="AC74" s="78"/>
    </row>
    <row r="75" spans="1:29" x14ac:dyDescent="0.3">
      <c r="A75" s="80" t="s">
        <v>68</v>
      </c>
      <c r="B75" s="81">
        <f>B62+B74</f>
        <v>44105894.536580995</v>
      </c>
      <c r="C75" s="78"/>
      <c r="D75" s="78"/>
      <c r="E75" s="78"/>
      <c r="F75" s="78"/>
      <c r="G75" s="78"/>
      <c r="H75" s="78"/>
      <c r="I75" s="78"/>
      <c r="J75" s="78"/>
      <c r="K75" s="78"/>
      <c r="L75" s="78"/>
      <c r="M75" s="78"/>
      <c r="N75" s="78"/>
      <c r="O75" s="78"/>
      <c r="P75" s="78"/>
      <c r="Q75" s="78"/>
      <c r="R75" s="78"/>
      <c r="S75" s="78"/>
      <c r="T75" s="78"/>
      <c r="U75" s="78"/>
      <c r="V75" s="78"/>
      <c r="W75" s="78"/>
      <c r="X75" s="78"/>
      <c r="Y75" s="78"/>
      <c r="Z75" s="78"/>
      <c r="AA75" s="78"/>
      <c r="AB75" s="78"/>
      <c r="AC75" s="78"/>
    </row>
    <row r="76" spans="1:29" x14ac:dyDescent="0.3">
      <c r="A76" s="78"/>
      <c r="B76" s="78"/>
      <c r="C76" s="78"/>
      <c r="D76" s="78"/>
      <c r="E76" s="78"/>
      <c r="F76" s="78"/>
      <c r="G76" s="78"/>
      <c r="H76" s="78"/>
      <c r="I76" s="78"/>
      <c r="J76" s="78"/>
      <c r="K76" s="78"/>
      <c r="L76" s="78"/>
      <c r="M76" s="78"/>
      <c r="N76" s="78"/>
      <c r="O76" s="78"/>
      <c r="P76" s="78"/>
      <c r="Q76" s="78"/>
      <c r="R76" s="78"/>
      <c r="S76" s="78"/>
      <c r="T76" s="78"/>
      <c r="U76" s="78"/>
      <c r="V76" s="78"/>
      <c r="W76" s="78"/>
      <c r="X76" s="78"/>
      <c r="Y76" s="78"/>
      <c r="Z76" s="78"/>
      <c r="AA76" s="78"/>
      <c r="AB76" s="78"/>
      <c r="AC76" s="78"/>
    </row>
    <row r="77" spans="1:29" x14ac:dyDescent="0.3">
      <c r="A77" s="78"/>
      <c r="B77" s="78"/>
      <c r="C77" s="78"/>
      <c r="D77" s="78"/>
      <c r="E77" s="78"/>
      <c r="F77" s="78"/>
      <c r="G77" s="78"/>
      <c r="H77" s="78"/>
      <c r="I77" s="78"/>
      <c r="J77" s="78"/>
      <c r="K77" s="78"/>
      <c r="L77" s="78"/>
      <c r="M77" s="78"/>
      <c r="N77" s="78"/>
      <c r="O77" s="78"/>
      <c r="P77" s="78"/>
      <c r="Q77" s="78"/>
      <c r="R77" s="78"/>
      <c r="S77" s="78"/>
      <c r="T77" s="78"/>
      <c r="U77" s="78"/>
      <c r="V77" s="78"/>
      <c r="W77" s="78"/>
      <c r="X77" s="78"/>
      <c r="Y77" s="78"/>
      <c r="Z77" s="78"/>
      <c r="AA77" s="78"/>
      <c r="AB77" s="78"/>
      <c r="AC77" s="78"/>
    </row>
    <row r="78" spans="1:29" x14ac:dyDescent="0.3">
      <c r="A78" s="78"/>
      <c r="B78" s="78"/>
      <c r="C78" s="78"/>
      <c r="D78" s="78"/>
      <c r="E78" s="78"/>
      <c r="F78" s="78"/>
      <c r="G78" s="78"/>
      <c r="H78" s="78"/>
      <c r="I78" s="78"/>
      <c r="J78" s="78"/>
      <c r="K78" s="78"/>
      <c r="L78" s="78"/>
      <c r="M78" s="78"/>
      <c r="N78" s="78"/>
      <c r="O78" s="78"/>
      <c r="P78" s="78"/>
      <c r="Q78" s="78"/>
      <c r="R78" s="78"/>
      <c r="S78" s="78"/>
      <c r="T78" s="78"/>
      <c r="U78" s="78"/>
      <c r="V78" s="78"/>
      <c r="W78" s="78"/>
      <c r="X78" s="78"/>
      <c r="Y78" s="78"/>
      <c r="Z78" s="78"/>
      <c r="AA78" s="78"/>
      <c r="AB78" s="78"/>
      <c r="AC78" s="78"/>
    </row>
    <row r="79" spans="1:29" x14ac:dyDescent="0.3">
      <c r="A79" s="78"/>
      <c r="B79" s="78"/>
      <c r="C79" s="78"/>
      <c r="D79" s="78"/>
      <c r="E79" s="78"/>
      <c r="F79" s="78"/>
      <c r="G79" s="78"/>
      <c r="H79" s="78"/>
      <c r="I79" s="78"/>
      <c r="J79" s="78"/>
      <c r="K79" s="78"/>
      <c r="L79" s="78"/>
      <c r="M79" s="78"/>
      <c r="N79" s="78"/>
      <c r="O79" s="78"/>
      <c r="P79" s="78"/>
      <c r="Q79" s="78"/>
      <c r="R79" s="78"/>
      <c r="S79" s="78"/>
      <c r="T79" s="78"/>
      <c r="U79" s="78"/>
      <c r="V79" s="78"/>
      <c r="W79" s="78"/>
      <c r="X79" s="78"/>
      <c r="Y79" s="78"/>
      <c r="Z79" s="78"/>
      <c r="AA79" s="78"/>
      <c r="AB79" s="78"/>
      <c r="AC79" s="78"/>
    </row>
    <row r="80" spans="1:29" x14ac:dyDescent="0.3">
      <c r="A80" s="78"/>
      <c r="B80" s="78"/>
      <c r="C80" s="78"/>
      <c r="D80" s="78"/>
      <c r="E80" s="78"/>
      <c r="F80" s="78"/>
      <c r="G80" s="78"/>
      <c r="H80" s="78"/>
      <c r="I80" s="78"/>
      <c r="J80" s="78"/>
      <c r="K80" s="78"/>
      <c r="L80" s="78"/>
      <c r="M80" s="78"/>
      <c r="N80" s="78"/>
      <c r="O80" s="78"/>
      <c r="P80" s="78"/>
      <c r="Q80" s="78"/>
      <c r="R80" s="78"/>
      <c r="S80" s="78"/>
      <c r="T80" s="78"/>
      <c r="U80" s="78"/>
      <c r="V80" s="78"/>
      <c r="W80" s="78"/>
      <c r="X80" s="78"/>
      <c r="Y80" s="78"/>
      <c r="Z80" s="78"/>
      <c r="AA80" s="78"/>
      <c r="AB80" s="78"/>
      <c r="AC80" s="78"/>
    </row>
    <row r="81" spans="1:29" x14ac:dyDescent="0.3">
      <c r="A81" s="78"/>
      <c r="B81" s="78"/>
      <c r="C81" s="78"/>
      <c r="D81" s="78"/>
      <c r="E81" s="78"/>
      <c r="F81" s="78"/>
      <c r="G81" s="78"/>
      <c r="H81" s="78"/>
      <c r="I81" s="78"/>
      <c r="J81" s="78"/>
      <c r="K81" s="78"/>
      <c r="L81" s="78"/>
      <c r="M81" s="78"/>
      <c r="N81" s="78"/>
      <c r="O81" s="78"/>
      <c r="P81" s="78"/>
      <c r="Q81" s="78"/>
      <c r="R81" s="78"/>
      <c r="S81" s="78"/>
      <c r="T81" s="78"/>
      <c r="U81" s="78"/>
      <c r="V81" s="78"/>
      <c r="W81" s="78"/>
      <c r="X81" s="78"/>
      <c r="Y81" s="78"/>
      <c r="Z81" s="78"/>
      <c r="AA81" s="78"/>
      <c r="AB81" s="78"/>
      <c r="AC81" s="78"/>
    </row>
    <row r="82" spans="1:29" x14ac:dyDescent="0.3">
      <c r="A82" s="78"/>
      <c r="B82" s="78"/>
      <c r="C82" s="78"/>
      <c r="D82" s="78"/>
      <c r="E82" s="78"/>
      <c r="F82" s="78"/>
      <c r="G82" s="78"/>
      <c r="H82" s="78"/>
      <c r="I82" s="78"/>
      <c r="J82" s="78"/>
      <c r="K82" s="78"/>
      <c r="L82" s="78"/>
      <c r="M82" s="78"/>
      <c r="N82" s="78"/>
      <c r="O82" s="78"/>
      <c r="P82" s="78"/>
      <c r="Q82" s="78"/>
      <c r="R82" s="78"/>
      <c r="S82" s="78"/>
      <c r="T82" s="78"/>
      <c r="U82" s="78"/>
      <c r="V82" s="78"/>
      <c r="W82" s="78"/>
      <c r="X82" s="78"/>
      <c r="Y82" s="78"/>
      <c r="Z82" s="78"/>
      <c r="AA82" s="78"/>
      <c r="AB82" s="78"/>
      <c r="AC82" s="78"/>
    </row>
    <row r="83" spans="1:29" x14ac:dyDescent="0.3">
      <c r="A83" s="78"/>
      <c r="B83" s="78"/>
      <c r="C83" s="78"/>
      <c r="D83" s="78"/>
      <c r="E83" s="78"/>
      <c r="F83" s="78"/>
      <c r="G83" s="78"/>
      <c r="H83" s="78"/>
      <c r="I83" s="78"/>
      <c r="J83" s="78"/>
      <c r="K83" s="78"/>
      <c r="L83" s="78"/>
      <c r="M83" s="78"/>
      <c r="N83" s="78"/>
      <c r="O83" s="78"/>
      <c r="P83" s="78"/>
      <c r="Q83" s="78"/>
      <c r="R83" s="78"/>
      <c r="S83" s="78"/>
      <c r="T83" s="78"/>
      <c r="U83" s="78"/>
      <c r="V83" s="78"/>
      <c r="W83" s="78"/>
      <c r="X83" s="78"/>
      <c r="Y83" s="78"/>
      <c r="Z83" s="78"/>
      <c r="AA83" s="78"/>
      <c r="AB83" s="78"/>
      <c r="AC83" s="78"/>
    </row>
    <row r="84" spans="1:29" x14ac:dyDescent="0.3">
      <c r="A84" s="78"/>
      <c r="B84" s="78"/>
      <c r="C84" s="78"/>
      <c r="D84" s="78"/>
      <c r="E84" s="78"/>
      <c r="F84" s="78"/>
      <c r="G84" s="78"/>
      <c r="H84" s="78"/>
      <c r="I84" s="78"/>
      <c r="J84" s="78"/>
      <c r="K84" s="78"/>
      <c r="L84" s="78"/>
      <c r="M84" s="78"/>
      <c r="N84" s="78"/>
      <c r="O84" s="78"/>
      <c r="P84" s="78"/>
      <c r="Q84" s="78"/>
      <c r="R84" s="78"/>
      <c r="S84" s="78"/>
      <c r="T84" s="78"/>
      <c r="U84" s="78"/>
      <c r="V84" s="78"/>
      <c r="W84" s="78"/>
      <c r="X84" s="78"/>
      <c r="Y84" s="78"/>
      <c r="Z84" s="78"/>
      <c r="AA84" s="78"/>
      <c r="AB84" s="78"/>
      <c r="AC84" s="78"/>
    </row>
    <row r="85" spans="1:29" x14ac:dyDescent="0.3">
      <c r="A85" s="78"/>
      <c r="B85" s="78"/>
      <c r="C85" s="78"/>
      <c r="D85" s="78"/>
      <c r="E85" s="78"/>
      <c r="F85" s="78"/>
      <c r="G85" s="78"/>
      <c r="H85" s="78"/>
      <c r="I85" s="78"/>
      <c r="J85" s="78"/>
      <c r="K85" s="78"/>
      <c r="L85" s="78"/>
      <c r="M85" s="78"/>
      <c r="N85" s="78"/>
      <c r="O85" s="78"/>
      <c r="P85" s="78"/>
      <c r="Q85" s="78"/>
      <c r="R85" s="78"/>
      <c r="S85" s="78"/>
      <c r="T85" s="78"/>
      <c r="U85" s="78"/>
      <c r="V85" s="78"/>
      <c r="W85" s="78"/>
      <c r="X85" s="78"/>
      <c r="Y85" s="78"/>
      <c r="Z85" s="78"/>
      <c r="AA85" s="78"/>
      <c r="AB85" s="78"/>
      <c r="AC85" s="78"/>
    </row>
    <row r="86" spans="1:29" x14ac:dyDescent="0.3">
      <c r="A86" s="78"/>
      <c r="B86" s="78"/>
      <c r="C86" s="78"/>
      <c r="D86" s="78"/>
      <c r="E86" s="78"/>
      <c r="F86" s="78"/>
      <c r="G86" s="78"/>
      <c r="H86" s="78"/>
      <c r="I86" s="78"/>
      <c r="J86" s="78"/>
      <c r="K86" s="78"/>
      <c r="L86" s="78"/>
      <c r="M86" s="78"/>
      <c r="N86" s="78"/>
      <c r="O86" s="78"/>
      <c r="P86" s="78"/>
      <c r="Q86" s="78"/>
      <c r="R86" s="78"/>
      <c r="S86" s="78"/>
      <c r="T86" s="78"/>
      <c r="U86" s="78"/>
      <c r="V86" s="78"/>
      <c r="W86" s="78"/>
      <c r="X86" s="78"/>
      <c r="Y86" s="78"/>
      <c r="Z86" s="78"/>
      <c r="AA86" s="78"/>
      <c r="AB86" s="78"/>
      <c r="AC86" s="78"/>
    </row>
    <row r="87" spans="1:29" x14ac:dyDescent="0.3">
      <c r="A87" s="78"/>
      <c r="B87" s="78"/>
      <c r="C87" s="78"/>
      <c r="D87" s="78"/>
      <c r="E87" s="78"/>
      <c r="F87" s="78"/>
      <c r="G87" s="78"/>
      <c r="H87" s="78"/>
      <c r="I87" s="78"/>
      <c r="J87" s="78"/>
      <c r="K87" s="78"/>
      <c r="L87" s="78"/>
      <c r="M87" s="78"/>
      <c r="N87" s="78"/>
      <c r="O87" s="78"/>
      <c r="P87" s="78"/>
      <c r="Q87" s="78"/>
      <c r="R87" s="78"/>
      <c r="S87" s="78"/>
      <c r="T87" s="78"/>
      <c r="U87" s="78"/>
      <c r="V87" s="78"/>
      <c r="W87" s="78"/>
      <c r="X87" s="78"/>
      <c r="Y87" s="78"/>
      <c r="Z87" s="78"/>
      <c r="AA87" s="78"/>
      <c r="AB87" s="78"/>
      <c r="AC87" s="78"/>
    </row>
    <row r="88" spans="1:29" x14ac:dyDescent="0.3">
      <c r="A88" s="78"/>
      <c r="B88" s="78"/>
      <c r="C88" s="78"/>
      <c r="D88" s="78"/>
      <c r="E88" s="78"/>
      <c r="F88" s="78"/>
      <c r="G88" s="78"/>
      <c r="H88" s="78"/>
      <c r="I88" s="78"/>
      <c r="J88" s="78"/>
      <c r="K88" s="78"/>
      <c r="L88" s="78"/>
      <c r="M88" s="78"/>
      <c r="N88" s="78"/>
      <c r="O88" s="78"/>
      <c r="P88" s="78"/>
      <c r="Q88" s="78"/>
      <c r="R88" s="78"/>
      <c r="S88" s="78"/>
      <c r="T88" s="78"/>
      <c r="U88" s="78"/>
      <c r="V88" s="78"/>
      <c r="W88" s="78"/>
      <c r="X88" s="78"/>
      <c r="Y88" s="78"/>
      <c r="Z88" s="78"/>
      <c r="AA88" s="78"/>
      <c r="AB88" s="78"/>
      <c r="AC88" s="78"/>
    </row>
    <row r="89" spans="1:29" x14ac:dyDescent="0.3">
      <c r="A89" s="78"/>
      <c r="B89" s="78"/>
      <c r="C89" s="78"/>
      <c r="D89" s="78"/>
      <c r="E89" s="78"/>
      <c r="F89" s="78"/>
      <c r="G89" s="78"/>
      <c r="H89" s="78"/>
      <c r="I89" s="78"/>
      <c r="J89" s="78"/>
      <c r="K89" s="78"/>
      <c r="L89" s="78"/>
      <c r="M89" s="78"/>
      <c r="N89" s="78"/>
      <c r="O89" s="78"/>
      <c r="P89" s="78"/>
      <c r="Q89" s="78"/>
      <c r="R89" s="78"/>
      <c r="S89" s="78"/>
      <c r="T89" s="78"/>
      <c r="U89" s="78"/>
      <c r="V89" s="78"/>
      <c r="W89" s="78"/>
      <c r="X89" s="78"/>
      <c r="Y89" s="78"/>
      <c r="Z89" s="78"/>
      <c r="AA89" s="78"/>
      <c r="AB89" s="78"/>
      <c r="AC89" s="78"/>
    </row>
    <row r="90" spans="1:29" x14ac:dyDescent="0.3">
      <c r="A90" s="78"/>
      <c r="B90" s="78"/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78"/>
      <c r="T90" s="78"/>
      <c r="U90" s="78"/>
      <c r="V90" s="78"/>
      <c r="W90" s="78"/>
      <c r="X90" s="78"/>
      <c r="Y90" s="78"/>
      <c r="Z90" s="78"/>
      <c r="AA90" s="78"/>
      <c r="AB90" s="78"/>
      <c r="AC90" s="78"/>
    </row>
    <row r="91" spans="1:29" x14ac:dyDescent="0.3">
      <c r="A91" s="78"/>
      <c r="B91" s="78"/>
      <c r="C91" s="78"/>
      <c r="D91" s="78"/>
      <c r="E91" s="78"/>
      <c r="F91" s="78"/>
      <c r="G91" s="78"/>
      <c r="H91" s="78"/>
      <c r="I91" s="78"/>
      <c r="J91" s="78"/>
      <c r="K91" s="78"/>
      <c r="L91" s="78"/>
      <c r="M91" s="78"/>
      <c r="N91" s="78"/>
      <c r="O91" s="78"/>
      <c r="P91" s="78"/>
      <c r="Q91" s="78"/>
      <c r="R91" s="78"/>
      <c r="S91" s="78"/>
      <c r="T91" s="78"/>
      <c r="U91" s="78"/>
      <c r="V91" s="78"/>
      <c r="W91" s="78"/>
      <c r="X91" s="78"/>
      <c r="Y91" s="78"/>
      <c r="Z91" s="78"/>
      <c r="AA91" s="78"/>
      <c r="AB91" s="78"/>
      <c r="AC91" s="78"/>
    </row>
    <row r="92" spans="1:29" x14ac:dyDescent="0.3">
      <c r="A92" s="78"/>
      <c r="B92" s="78"/>
      <c r="C92" s="78"/>
      <c r="D92" s="78"/>
      <c r="E92" s="78"/>
      <c r="F92" s="78"/>
      <c r="G92" s="78"/>
      <c r="H92" s="78"/>
      <c r="I92" s="78"/>
      <c r="J92" s="78"/>
      <c r="K92" s="78"/>
      <c r="L92" s="78"/>
      <c r="M92" s="78"/>
      <c r="N92" s="78"/>
      <c r="O92" s="78"/>
      <c r="P92" s="78"/>
      <c r="Q92" s="78"/>
      <c r="R92" s="78"/>
      <c r="S92" s="78"/>
      <c r="T92" s="78"/>
      <c r="U92" s="78"/>
      <c r="V92" s="78"/>
      <c r="W92" s="78"/>
      <c r="X92" s="78"/>
      <c r="Y92" s="78"/>
      <c r="Z92" s="78"/>
      <c r="AA92" s="78"/>
      <c r="AB92" s="78"/>
      <c r="AC92" s="78"/>
    </row>
    <row r="93" spans="1:29" x14ac:dyDescent="0.3">
      <c r="A93" s="78"/>
      <c r="B93" s="78"/>
      <c r="C93" s="78"/>
      <c r="D93" s="78"/>
      <c r="E93" s="78"/>
      <c r="F93" s="78"/>
      <c r="G93" s="78"/>
      <c r="H93" s="78"/>
      <c r="I93" s="78"/>
      <c r="J93" s="78"/>
      <c r="K93" s="78"/>
      <c r="L93" s="78"/>
      <c r="M93" s="78"/>
      <c r="N93" s="78"/>
      <c r="O93" s="78"/>
      <c r="P93" s="78"/>
      <c r="Q93" s="78"/>
      <c r="R93" s="78"/>
      <c r="S93" s="78"/>
      <c r="T93" s="78"/>
      <c r="U93" s="78"/>
      <c r="V93" s="78"/>
      <c r="W93" s="78"/>
      <c r="X93" s="78"/>
      <c r="Y93" s="78"/>
      <c r="Z93" s="78"/>
      <c r="AA93" s="78"/>
      <c r="AB93" s="78"/>
      <c r="AC93" s="78"/>
    </row>
    <row r="94" spans="1:29" x14ac:dyDescent="0.3">
      <c r="A94" s="78"/>
      <c r="B94" s="78"/>
      <c r="C94" s="78"/>
      <c r="D94" s="78"/>
      <c r="E94" s="78"/>
      <c r="F94" s="78"/>
      <c r="G94" s="78"/>
      <c r="H94" s="78"/>
      <c r="I94" s="78"/>
      <c r="J94" s="78"/>
      <c r="K94" s="78"/>
      <c r="L94" s="78"/>
      <c r="M94" s="78"/>
      <c r="N94" s="78"/>
      <c r="O94" s="78"/>
      <c r="P94" s="78"/>
      <c r="Q94" s="78"/>
      <c r="R94" s="78"/>
      <c r="S94" s="78"/>
      <c r="T94" s="78"/>
      <c r="U94" s="78"/>
      <c r="V94" s="78"/>
      <c r="W94" s="78"/>
      <c r="X94" s="78"/>
      <c r="Y94" s="78"/>
      <c r="Z94" s="78"/>
      <c r="AA94" s="78"/>
      <c r="AB94" s="78"/>
      <c r="AC94" s="78"/>
    </row>
    <row r="95" spans="1:29" x14ac:dyDescent="0.3">
      <c r="A95" s="78"/>
      <c r="B95" s="78"/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78"/>
      <c r="N95" s="78"/>
      <c r="O95" s="78"/>
      <c r="P95" s="78"/>
      <c r="Q95" s="78"/>
      <c r="R95" s="78"/>
      <c r="S95" s="78"/>
      <c r="T95" s="78"/>
      <c r="U95" s="78"/>
      <c r="V95" s="78"/>
      <c r="W95" s="78"/>
      <c r="X95" s="78"/>
      <c r="Y95" s="78"/>
      <c r="Z95" s="78"/>
      <c r="AA95" s="78"/>
      <c r="AB95" s="78"/>
      <c r="AC95" s="78"/>
    </row>
    <row r="96" spans="1:29" x14ac:dyDescent="0.3">
      <c r="A96" s="78"/>
      <c r="B96" s="78"/>
      <c r="C96" s="78"/>
      <c r="D96" s="78"/>
      <c r="E96" s="78"/>
      <c r="F96" s="78"/>
      <c r="G96" s="78"/>
      <c r="H96" s="78"/>
      <c r="I96" s="78"/>
      <c r="J96" s="78"/>
      <c r="K96" s="78"/>
      <c r="L96" s="78"/>
      <c r="M96" s="78"/>
      <c r="N96" s="78"/>
      <c r="O96" s="78"/>
      <c r="P96" s="78"/>
      <c r="Q96" s="78"/>
      <c r="R96" s="78"/>
      <c r="S96" s="78"/>
      <c r="T96" s="78"/>
      <c r="U96" s="78"/>
      <c r="V96" s="78"/>
      <c r="W96" s="78"/>
      <c r="X96" s="78"/>
      <c r="Y96" s="78"/>
      <c r="Z96" s="78"/>
      <c r="AA96" s="78"/>
      <c r="AB96" s="78"/>
      <c r="AC96" s="78"/>
    </row>
    <row r="97" spans="1:29" x14ac:dyDescent="0.3">
      <c r="A97" s="78"/>
      <c r="B97" s="78"/>
      <c r="C97" s="78"/>
      <c r="D97" s="78"/>
      <c r="E97" s="78"/>
      <c r="F97" s="78"/>
      <c r="G97" s="78"/>
      <c r="H97" s="78"/>
      <c r="I97" s="78"/>
      <c r="J97" s="78"/>
      <c r="K97" s="78"/>
      <c r="L97" s="78"/>
      <c r="M97" s="78"/>
      <c r="N97" s="78"/>
      <c r="O97" s="78"/>
      <c r="P97" s="78"/>
      <c r="Q97" s="78"/>
      <c r="R97" s="78"/>
      <c r="S97" s="78"/>
      <c r="T97" s="78"/>
      <c r="U97" s="78"/>
      <c r="V97" s="78"/>
      <c r="W97" s="78"/>
      <c r="X97" s="78"/>
      <c r="Y97" s="78"/>
      <c r="Z97" s="78"/>
      <c r="AA97" s="78"/>
      <c r="AB97" s="78"/>
      <c r="AC97" s="78"/>
    </row>
    <row r="98" spans="1:29" x14ac:dyDescent="0.3">
      <c r="A98" s="78"/>
      <c r="B98" s="78"/>
      <c r="C98" s="78"/>
      <c r="D98" s="78"/>
      <c r="E98" s="78"/>
      <c r="F98" s="78"/>
      <c r="G98" s="78"/>
      <c r="H98" s="78"/>
      <c r="I98" s="78"/>
      <c r="J98" s="78"/>
      <c r="K98" s="78"/>
      <c r="L98" s="78"/>
      <c r="M98" s="78"/>
      <c r="N98" s="78"/>
      <c r="O98" s="78"/>
      <c r="P98" s="78"/>
      <c r="Q98" s="78"/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  <c r="AC98" s="78"/>
    </row>
    <row r="99" spans="1:29" x14ac:dyDescent="0.3">
      <c r="A99" s="78"/>
      <c r="B99" s="78"/>
      <c r="C99" s="78"/>
      <c r="D99" s="78"/>
      <c r="E99" s="78"/>
      <c r="F99" s="78"/>
      <c r="G99" s="78"/>
      <c r="H99" s="78"/>
      <c r="I99" s="78"/>
      <c r="J99" s="78"/>
      <c r="K99" s="78"/>
      <c r="L99" s="78"/>
      <c r="M99" s="78"/>
      <c r="N99" s="78"/>
      <c r="O99" s="78"/>
      <c r="P99" s="78"/>
      <c r="Q99" s="78"/>
      <c r="R99" s="78"/>
      <c r="S99" s="78"/>
      <c r="T99" s="78"/>
      <c r="U99" s="78"/>
      <c r="V99" s="78"/>
      <c r="W99" s="78"/>
      <c r="X99" s="78"/>
      <c r="Y99" s="78"/>
      <c r="Z99" s="78"/>
      <c r="AA99" s="78"/>
      <c r="AB99" s="78"/>
      <c r="AC99" s="78"/>
    </row>
    <row r="100" spans="1:29" x14ac:dyDescent="0.3">
      <c r="A100" s="78"/>
      <c r="B100" s="78"/>
      <c r="C100" s="78"/>
      <c r="D100" s="78"/>
      <c r="E100" s="78"/>
      <c r="F100" s="78"/>
      <c r="G100" s="78"/>
      <c r="H100" s="78"/>
      <c r="I100" s="78"/>
      <c r="J100" s="78"/>
      <c r="K100" s="78"/>
      <c r="L100" s="78"/>
      <c r="M100" s="78"/>
      <c r="N100" s="78"/>
      <c r="O100" s="78"/>
      <c r="P100" s="78"/>
      <c r="Q100" s="78"/>
      <c r="R100" s="78"/>
      <c r="S100" s="78"/>
      <c r="T100" s="78"/>
      <c r="U100" s="78"/>
      <c r="V100" s="78"/>
      <c r="W100" s="78"/>
      <c r="X100" s="78"/>
      <c r="Y100" s="78"/>
      <c r="Z100" s="78"/>
      <c r="AA100" s="78"/>
      <c r="AB100" s="78"/>
      <c r="AC100" s="78"/>
    </row>
    <row r="101" spans="1:29" x14ac:dyDescent="0.3">
      <c r="A101" s="78"/>
      <c r="B101" s="78"/>
      <c r="C101" s="78"/>
      <c r="D101" s="78"/>
      <c r="E101" s="78"/>
      <c r="F101" s="78"/>
      <c r="G101" s="78"/>
      <c r="H101" s="78"/>
      <c r="I101" s="78"/>
      <c r="J101" s="78"/>
      <c r="K101" s="78"/>
      <c r="L101" s="78"/>
      <c r="M101" s="78"/>
      <c r="N101" s="78"/>
      <c r="O101" s="78"/>
      <c r="P101" s="78"/>
      <c r="Q101" s="78"/>
      <c r="R101" s="78"/>
      <c r="S101" s="78"/>
      <c r="T101" s="78"/>
      <c r="U101" s="78"/>
      <c r="V101" s="78"/>
      <c r="W101" s="78"/>
      <c r="X101" s="78"/>
      <c r="Y101" s="78"/>
      <c r="Z101" s="78"/>
      <c r="AA101" s="78"/>
      <c r="AB101" s="78"/>
      <c r="AC101" s="78"/>
    </row>
    <row r="102" spans="1:29" x14ac:dyDescent="0.3">
      <c r="A102" s="78"/>
      <c r="B102" s="78"/>
      <c r="C102" s="78"/>
      <c r="D102" s="78"/>
      <c r="E102" s="78"/>
      <c r="F102" s="78"/>
      <c r="G102" s="78"/>
      <c r="H102" s="78"/>
      <c r="I102" s="78"/>
      <c r="J102" s="78"/>
      <c r="K102" s="78"/>
      <c r="L102" s="78"/>
      <c r="M102" s="78"/>
      <c r="N102" s="78"/>
      <c r="O102" s="78"/>
      <c r="P102" s="78"/>
      <c r="Q102" s="78"/>
      <c r="R102" s="78"/>
      <c r="S102" s="78"/>
      <c r="T102" s="78"/>
      <c r="U102" s="78"/>
      <c r="V102" s="78"/>
      <c r="W102" s="78"/>
      <c r="X102" s="78"/>
      <c r="Y102" s="78"/>
      <c r="Z102" s="78"/>
      <c r="AA102" s="78"/>
      <c r="AB102" s="78"/>
      <c r="AC102" s="78"/>
    </row>
    <row r="103" spans="1:29" x14ac:dyDescent="0.3">
      <c r="A103" s="78"/>
      <c r="B103" s="78"/>
      <c r="C103" s="78"/>
      <c r="D103" s="78"/>
      <c r="E103" s="78"/>
      <c r="F103" s="78"/>
      <c r="G103" s="78"/>
      <c r="H103" s="78"/>
      <c r="I103" s="78"/>
      <c r="J103" s="78"/>
      <c r="K103" s="78"/>
      <c r="L103" s="78"/>
      <c r="M103" s="78"/>
      <c r="N103" s="78"/>
      <c r="O103" s="78"/>
      <c r="P103" s="78"/>
      <c r="Q103" s="78"/>
      <c r="R103" s="78"/>
      <c r="S103" s="78"/>
      <c r="T103" s="78"/>
      <c r="U103" s="78"/>
      <c r="V103" s="78"/>
      <c r="W103" s="78"/>
      <c r="X103" s="78"/>
      <c r="Y103" s="78"/>
      <c r="Z103" s="78"/>
      <c r="AA103" s="78"/>
      <c r="AB103" s="78"/>
      <c r="AC103" s="78"/>
    </row>
    <row r="104" spans="1:29" x14ac:dyDescent="0.3">
      <c r="A104" s="78"/>
      <c r="B104" s="78"/>
      <c r="C104" s="78"/>
      <c r="D104" s="78"/>
      <c r="E104" s="78"/>
      <c r="F104" s="78"/>
      <c r="G104" s="78"/>
      <c r="H104" s="78"/>
      <c r="I104" s="78"/>
      <c r="J104" s="78"/>
      <c r="K104" s="78"/>
      <c r="L104" s="78"/>
      <c r="M104" s="78"/>
      <c r="N104" s="78"/>
      <c r="O104" s="78"/>
      <c r="P104" s="78"/>
      <c r="Q104" s="78"/>
      <c r="R104" s="78"/>
      <c r="S104" s="78"/>
      <c r="T104" s="78"/>
      <c r="U104" s="78"/>
      <c r="V104" s="78"/>
      <c r="W104" s="78"/>
      <c r="X104" s="78"/>
      <c r="Y104" s="78"/>
      <c r="Z104" s="78"/>
      <c r="AA104" s="78"/>
      <c r="AB104" s="78"/>
      <c r="AC104" s="78"/>
    </row>
    <row r="105" spans="1:29" x14ac:dyDescent="0.3">
      <c r="A105" s="78"/>
      <c r="B105" s="78"/>
      <c r="C105" s="78"/>
      <c r="D105" s="78"/>
      <c r="E105" s="78"/>
      <c r="F105" s="78"/>
      <c r="G105" s="78"/>
      <c r="H105" s="78"/>
      <c r="I105" s="78"/>
      <c r="J105" s="78"/>
      <c r="K105" s="78"/>
      <c r="L105" s="78"/>
      <c r="M105" s="78"/>
      <c r="N105" s="78"/>
      <c r="O105" s="78"/>
      <c r="P105" s="78"/>
      <c r="Q105" s="78"/>
      <c r="R105" s="78"/>
      <c r="S105" s="78"/>
      <c r="T105" s="78"/>
      <c r="U105" s="78"/>
      <c r="V105" s="78"/>
      <c r="W105" s="78"/>
      <c r="X105" s="78"/>
      <c r="Y105" s="78"/>
      <c r="Z105" s="78"/>
      <c r="AA105" s="78"/>
      <c r="AB105" s="78"/>
      <c r="AC105" s="78"/>
    </row>
    <row r="106" spans="1:29" x14ac:dyDescent="0.3">
      <c r="A106" s="78"/>
      <c r="B106" s="78"/>
      <c r="C106" s="78"/>
      <c r="D106" s="78"/>
      <c r="E106" s="78"/>
      <c r="F106" s="78"/>
      <c r="G106" s="78"/>
      <c r="H106" s="78"/>
      <c r="I106" s="78"/>
      <c r="J106" s="78"/>
      <c r="K106" s="78"/>
      <c r="L106" s="78"/>
      <c r="M106" s="78"/>
      <c r="N106" s="78"/>
      <c r="O106" s="78"/>
      <c r="P106" s="78"/>
      <c r="Q106" s="78"/>
      <c r="R106" s="78"/>
      <c r="S106" s="78"/>
      <c r="T106" s="78"/>
      <c r="U106" s="78"/>
      <c r="V106" s="78"/>
      <c r="W106" s="78"/>
      <c r="X106" s="78"/>
      <c r="Y106" s="78"/>
      <c r="Z106" s="78"/>
      <c r="AA106" s="78"/>
      <c r="AB106" s="78"/>
      <c r="AC106" s="78"/>
    </row>
    <row r="107" spans="1:29" x14ac:dyDescent="0.3">
      <c r="A107" s="78"/>
      <c r="B107" s="78"/>
      <c r="C107" s="78"/>
      <c r="D107" s="78"/>
      <c r="E107" s="78"/>
      <c r="F107" s="78"/>
      <c r="G107" s="78"/>
      <c r="H107" s="78"/>
      <c r="I107" s="78"/>
      <c r="J107" s="78"/>
      <c r="K107" s="78"/>
      <c r="L107" s="78"/>
      <c r="M107" s="78"/>
      <c r="N107" s="78"/>
      <c r="O107" s="78"/>
      <c r="P107" s="78"/>
      <c r="Q107" s="78"/>
      <c r="R107" s="78"/>
      <c r="S107" s="78"/>
      <c r="T107" s="78"/>
      <c r="U107" s="78"/>
      <c r="V107" s="78"/>
      <c r="W107" s="78"/>
      <c r="X107" s="78"/>
      <c r="Y107" s="78"/>
      <c r="Z107" s="78"/>
      <c r="AA107" s="78"/>
      <c r="AB107" s="78"/>
      <c r="AC107" s="78"/>
    </row>
    <row r="108" spans="1:29" x14ac:dyDescent="0.3">
      <c r="A108" s="78"/>
      <c r="B108" s="78"/>
      <c r="C108" s="78"/>
      <c r="D108" s="78"/>
      <c r="E108" s="78"/>
      <c r="F108" s="78"/>
      <c r="G108" s="78"/>
      <c r="H108" s="78"/>
      <c r="I108" s="78"/>
      <c r="J108" s="78"/>
      <c r="K108" s="78"/>
      <c r="L108" s="78"/>
      <c r="M108" s="78"/>
      <c r="N108" s="78"/>
      <c r="O108" s="78"/>
      <c r="P108" s="78"/>
      <c r="Q108" s="78"/>
      <c r="R108" s="78"/>
      <c r="S108" s="78"/>
      <c r="T108" s="78"/>
      <c r="U108" s="78"/>
      <c r="V108" s="78"/>
      <c r="W108" s="78"/>
      <c r="X108" s="78"/>
      <c r="Y108" s="78"/>
      <c r="Z108" s="78"/>
      <c r="AA108" s="78"/>
      <c r="AB108" s="78"/>
      <c r="AC108" s="78"/>
    </row>
    <row r="109" spans="1:29" x14ac:dyDescent="0.3">
      <c r="A109" s="78"/>
      <c r="B109" s="78"/>
      <c r="C109" s="78"/>
      <c r="D109" s="78"/>
      <c r="E109" s="78"/>
      <c r="F109" s="78"/>
      <c r="G109" s="78"/>
      <c r="H109" s="78"/>
      <c r="I109" s="78"/>
      <c r="J109" s="78"/>
      <c r="K109" s="78"/>
      <c r="L109" s="78"/>
      <c r="M109" s="78"/>
      <c r="N109" s="78"/>
      <c r="O109" s="78"/>
      <c r="P109" s="78"/>
      <c r="Q109" s="78"/>
      <c r="R109" s="78"/>
      <c r="S109" s="78"/>
      <c r="T109" s="78"/>
      <c r="U109" s="78"/>
      <c r="V109" s="78"/>
      <c r="W109" s="78"/>
      <c r="X109" s="78"/>
      <c r="Y109" s="78"/>
      <c r="Z109" s="78"/>
      <c r="AA109" s="78"/>
      <c r="AB109" s="78"/>
      <c r="AC109" s="78"/>
    </row>
    <row r="110" spans="1:29" x14ac:dyDescent="0.3">
      <c r="A110" s="78"/>
      <c r="B110" s="78"/>
      <c r="C110" s="78"/>
      <c r="D110" s="78"/>
      <c r="E110" s="78"/>
      <c r="F110" s="78"/>
      <c r="G110" s="78"/>
      <c r="H110" s="78"/>
      <c r="I110" s="78"/>
      <c r="J110" s="78"/>
      <c r="K110" s="78"/>
      <c r="L110" s="78"/>
      <c r="M110" s="78"/>
      <c r="N110" s="78"/>
      <c r="O110" s="78"/>
      <c r="P110" s="78"/>
      <c r="Q110" s="78"/>
      <c r="R110" s="78"/>
      <c r="S110" s="78"/>
      <c r="T110" s="78"/>
      <c r="U110" s="78"/>
      <c r="V110" s="78"/>
      <c r="W110" s="78"/>
      <c r="X110" s="78"/>
      <c r="Y110" s="78"/>
      <c r="Z110" s="78"/>
      <c r="AA110" s="78"/>
      <c r="AB110" s="78"/>
      <c r="AC110" s="78"/>
    </row>
    <row r="111" spans="1:29" x14ac:dyDescent="0.3">
      <c r="A111" s="78"/>
      <c r="B111" s="78"/>
      <c r="C111" s="78"/>
      <c r="D111" s="78"/>
      <c r="E111" s="78"/>
      <c r="F111" s="78"/>
      <c r="G111" s="78"/>
      <c r="H111" s="78"/>
      <c r="I111" s="78"/>
      <c r="J111" s="78"/>
      <c r="K111" s="78"/>
      <c r="L111" s="78"/>
      <c r="M111" s="78"/>
      <c r="N111" s="78"/>
      <c r="O111" s="78"/>
      <c r="P111" s="78"/>
      <c r="Q111" s="78"/>
      <c r="R111" s="78"/>
      <c r="S111" s="78"/>
      <c r="T111" s="78"/>
      <c r="U111" s="78"/>
      <c r="V111" s="78"/>
      <c r="W111" s="78"/>
      <c r="X111" s="78"/>
      <c r="Y111" s="78"/>
      <c r="Z111" s="78"/>
      <c r="AA111" s="78"/>
      <c r="AB111" s="78"/>
      <c r="AC111" s="78"/>
    </row>
    <row r="112" spans="1:29" x14ac:dyDescent="0.3">
      <c r="A112" s="78"/>
      <c r="B112" s="78"/>
      <c r="C112" s="78"/>
      <c r="D112" s="78"/>
      <c r="E112" s="78"/>
      <c r="F112" s="78"/>
      <c r="G112" s="78"/>
      <c r="H112" s="78"/>
      <c r="I112" s="78"/>
      <c r="J112" s="78"/>
      <c r="K112" s="78"/>
      <c r="L112" s="78"/>
      <c r="M112" s="78"/>
      <c r="N112" s="78"/>
      <c r="O112" s="78"/>
      <c r="P112" s="78"/>
      <c r="Q112" s="78"/>
      <c r="R112" s="78"/>
      <c r="S112" s="78"/>
      <c r="T112" s="78"/>
      <c r="U112" s="78"/>
      <c r="V112" s="78"/>
      <c r="W112" s="78"/>
      <c r="X112" s="78"/>
      <c r="Y112" s="78"/>
      <c r="Z112" s="78"/>
      <c r="AA112" s="78"/>
      <c r="AB112" s="78"/>
      <c r="AC112" s="78"/>
    </row>
    <row r="113" spans="1:29" x14ac:dyDescent="0.3">
      <c r="A113" s="78"/>
      <c r="B113" s="78"/>
      <c r="C113" s="78"/>
      <c r="D113" s="78"/>
      <c r="E113" s="78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</row>
    <row r="114" spans="1:29" x14ac:dyDescent="0.3">
      <c r="A114" s="78"/>
      <c r="B114" s="78"/>
      <c r="C114" s="78"/>
      <c r="D114" s="78"/>
      <c r="E114" s="78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</row>
    <row r="115" spans="1:29" x14ac:dyDescent="0.3">
      <c r="A115" s="78"/>
      <c r="B115" s="78"/>
      <c r="C115" s="78"/>
      <c r="D115" s="78"/>
      <c r="E115" s="78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</row>
    <row r="116" spans="1:29" x14ac:dyDescent="0.3">
      <c r="A116" s="78"/>
      <c r="B116" s="78"/>
      <c r="C116" s="78"/>
      <c r="D116" s="78"/>
      <c r="E116" s="78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</row>
    <row r="117" spans="1:29" x14ac:dyDescent="0.3">
      <c r="A117" s="78"/>
      <c r="B117" s="78"/>
      <c r="C117" s="78"/>
      <c r="D117" s="78"/>
      <c r="E117" s="78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</row>
    <row r="118" spans="1:29" x14ac:dyDescent="0.3">
      <c r="A118" s="78"/>
      <c r="B118" s="78"/>
      <c r="C118" s="78"/>
      <c r="D118" s="78"/>
      <c r="E118" s="78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</row>
    <row r="119" spans="1:29" x14ac:dyDescent="0.3">
      <c r="A119" s="78"/>
      <c r="B119" s="78"/>
      <c r="C119" s="78"/>
      <c r="D119" s="78"/>
      <c r="E119" s="78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29" x14ac:dyDescent="0.3">
      <c r="A120" s="78"/>
      <c r="B120" s="78"/>
      <c r="C120" s="78"/>
      <c r="D120" s="78"/>
      <c r="E120" s="78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</row>
    <row r="121" spans="1:29" x14ac:dyDescent="0.3">
      <c r="A121" s="78"/>
      <c r="B121" s="78"/>
      <c r="C121" s="78"/>
      <c r="D121" s="78"/>
      <c r="E121" s="78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</row>
    <row r="122" spans="1:29" x14ac:dyDescent="0.3">
      <c r="A122" s="78"/>
      <c r="B122" s="78"/>
      <c r="C122" s="78"/>
      <c r="D122" s="78"/>
      <c r="E122" s="78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</row>
    <row r="123" spans="1:29" x14ac:dyDescent="0.3">
      <c r="A123" s="78"/>
      <c r="B123" s="78"/>
      <c r="C123" s="78"/>
      <c r="D123" s="78"/>
      <c r="E123" s="78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29" x14ac:dyDescent="0.3">
      <c r="A124" s="78"/>
      <c r="B124" s="78"/>
      <c r="C124" s="78"/>
      <c r="D124" s="78"/>
      <c r="E124" s="78"/>
      <c r="F124" s="78"/>
      <c r="G124" s="78"/>
      <c r="H124" s="78"/>
      <c r="I124" s="78"/>
      <c r="J124" s="78"/>
      <c r="K124" s="78"/>
      <c r="L124" s="78"/>
      <c r="M124" s="78"/>
      <c r="N124" s="78"/>
      <c r="O124" s="78"/>
      <c r="P124" s="78"/>
      <c r="Q124" s="78"/>
      <c r="R124" s="78"/>
      <c r="S124" s="78"/>
      <c r="T124" s="78"/>
      <c r="U124" s="78"/>
      <c r="V124" s="78"/>
      <c r="W124" s="78"/>
      <c r="X124" s="78"/>
      <c r="Y124" s="78"/>
      <c r="Z124" s="78"/>
      <c r="AA124" s="78"/>
      <c r="AB124" s="78"/>
      <c r="AC124" s="78"/>
    </row>
    <row r="125" spans="1:29" x14ac:dyDescent="0.3">
      <c r="A125" s="78"/>
      <c r="B125" s="78"/>
      <c r="C125" s="78"/>
      <c r="D125" s="78"/>
      <c r="E125" s="78"/>
      <c r="F125" s="78"/>
      <c r="G125" s="78"/>
      <c r="H125" s="78"/>
      <c r="I125" s="78"/>
      <c r="J125" s="78"/>
      <c r="K125" s="78"/>
      <c r="L125" s="78"/>
      <c r="M125" s="78"/>
      <c r="N125" s="78"/>
      <c r="O125" s="78"/>
      <c r="P125" s="78"/>
      <c r="Q125" s="78"/>
      <c r="R125" s="78"/>
      <c r="S125" s="78"/>
      <c r="T125" s="78"/>
      <c r="U125" s="78"/>
      <c r="V125" s="78"/>
      <c r="W125" s="78"/>
      <c r="X125" s="78"/>
      <c r="Y125" s="78"/>
      <c r="Z125" s="78"/>
      <c r="AA125" s="78"/>
      <c r="AB125" s="78"/>
      <c r="AC125" s="78"/>
    </row>
    <row r="126" spans="1:29" x14ac:dyDescent="0.3">
      <c r="A126" s="78"/>
      <c r="B126" s="78"/>
      <c r="C126" s="78"/>
      <c r="D126" s="78"/>
      <c r="E126" s="78"/>
      <c r="F126" s="78"/>
      <c r="G126" s="78"/>
      <c r="H126" s="78"/>
      <c r="I126" s="78"/>
      <c r="J126" s="78"/>
      <c r="K126" s="78"/>
      <c r="L126" s="78"/>
      <c r="M126" s="78"/>
      <c r="N126" s="78"/>
      <c r="O126" s="78"/>
      <c r="P126" s="78"/>
      <c r="Q126" s="78"/>
      <c r="R126" s="78"/>
      <c r="S126" s="78"/>
      <c r="T126" s="78"/>
      <c r="U126" s="78"/>
      <c r="V126" s="78"/>
      <c r="W126" s="78"/>
      <c r="X126" s="78"/>
      <c r="Y126" s="78"/>
      <c r="Z126" s="78"/>
      <c r="AA126" s="78"/>
      <c r="AB126" s="78"/>
      <c r="AC126" s="78"/>
    </row>
    <row r="127" spans="1:29" x14ac:dyDescent="0.3">
      <c r="A127" s="78"/>
      <c r="B127" s="78"/>
      <c r="C127" s="78"/>
      <c r="D127" s="78"/>
      <c r="E127" s="78"/>
      <c r="F127" s="78"/>
      <c r="G127" s="78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  <c r="AB127" s="78"/>
      <c r="AC127" s="78"/>
    </row>
    <row r="128" spans="1:29" x14ac:dyDescent="0.3">
      <c r="A128" s="78"/>
      <c r="B128" s="78"/>
      <c r="C128" s="78"/>
      <c r="D128" s="78"/>
      <c r="E128" s="78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29" x14ac:dyDescent="0.3">
      <c r="A129" s="78"/>
      <c r="B129" s="78"/>
      <c r="C129" s="78"/>
      <c r="D129" s="78"/>
      <c r="E129" s="78"/>
      <c r="F129" s="78"/>
      <c r="G129" s="78"/>
      <c r="H129" s="78"/>
      <c r="I129" s="78"/>
      <c r="J129" s="78"/>
      <c r="K129" s="78"/>
      <c r="L129" s="78"/>
      <c r="M129" s="78"/>
      <c r="N129" s="78"/>
      <c r="O129" s="78"/>
      <c r="P129" s="78"/>
      <c r="Q129" s="78"/>
      <c r="R129" s="78"/>
      <c r="S129" s="78"/>
      <c r="T129" s="78"/>
      <c r="U129" s="78"/>
      <c r="V129" s="78"/>
      <c r="W129" s="78"/>
      <c r="X129" s="78"/>
      <c r="Y129" s="78"/>
      <c r="Z129" s="78"/>
      <c r="AA129" s="78"/>
      <c r="AB129" s="78"/>
      <c r="AC129" s="78"/>
    </row>
    <row r="130" spans="1:29" x14ac:dyDescent="0.3">
      <c r="A130" s="78"/>
      <c r="B130" s="78"/>
      <c r="C130" s="78"/>
      <c r="D130" s="78"/>
      <c r="E130" s="78"/>
      <c r="F130" s="78"/>
      <c r="G130" s="78"/>
      <c r="H130" s="78"/>
      <c r="I130" s="78"/>
      <c r="J130" s="78"/>
      <c r="K130" s="78"/>
      <c r="L130" s="78"/>
      <c r="M130" s="78"/>
      <c r="N130" s="78"/>
      <c r="O130" s="78"/>
      <c r="P130" s="78"/>
      <c r="Q130" s="78"/>
      <c r="R130" s="78"/>
      <c r="S130" s="78"/>
      <c r="T130" s="78"/>
      <c r="U130" s="78"/>
      <c r="V130" s="78"/>
      <c r="W130" s="78"/>
      <c r="X130" s="78"/>
      <c r="Y130" s="78"/>
      <c r="Z130" s="78"/>
      <c r="AA130" s="78"/>
      <c r="AB130" s="78"/>
      <c r="AC130" s="78"/>
    </row>
    <row r="131" spans="1:29" x14ac:dyDescent="0.3">
      <c r="A131" s="78"/>
      <c r="B131" s="78"/>
      <c r="C131" s="78"/>
      <c r="D131" s="78"/>
      <c r="E131" s="78"/>
      <c r="F131" s="78"/>
      <c r="G131" s="78"/>
      <c r="H131" s="78"/>
      <c r="I131" s="78"/>
      <c r="J131" s="78"/>
      <c r="K131" s="78"/>
      <c r="L131" s="78"/>
      <c r="M131" s="78"/>
      <c r="N131" s="78"/>
      <c r="O131" s="78"/>
      <c r="P131" s="78"/>
      <c r="Q131" s="78"/>
      <c r="R131" s="78"/>
      <c r="S131" s="78"/>
      <c r="T131" s="78"/>
      <c r="U131" s="78"/>
      <c r="V131" s="78"/>
      <c r="W131" s="78"/>
      <c r="X131" s="78"/>
      <c r="Y131" s="78"/>
      <c r="Z131" s="78"/>
      <c r="AA131" s="78"/>
      <c r="AB131" s="78"/>
      <c r="AC131" s="78"/>
    </row>
    <row r="132" spans="1:29" x14ac:dyDescent="0.3">
      <c r="A132" s="78"/>
      <c r="B132" s="78"/>
      <c r="C132" s="78"/>
      <c r="D132" s="78"/>
      <c r="E132" s="78"/>
      <c r="F132" s="78"/>
      <c r="G132" s="78"/>
      <c r="H132" s="78"/>
      <c r="I132" s="78"/>
      <c r="J132" s="78"/>
      <c r="K132" s="78"/>
      <c r="L132" s="78"/>
      <c r="M132" s="78"/>
      <c r="N132" s="78"/>
      <c r="O132" s="78"/>
      <c r="P132" s="78"/>
      <c r="Q132" s="78"/>
      <c r="R132" s="78"/>
      <c r="S132" s="78"/>
      <c r="T132" s="78"/>
      <c r="U132" s="78"/>
      <c r="V132" s="78"/>
      <c r="W132" s="78"/>
      <c r="X132" s="78"/>
      <c r="Y132" s="78"/>
      <c r="Z132" s="78"/>
      <c r="AA132" s="78"/>
      <c r="AB132" s="78"/>
      <c r="AC132" s="78"/>
    </row>
    <row r="133" spans="1:29" x14ac:dyDescent="0.3">
      <c r="A133" s="78"/>
      <c r="B133" s="78"/>
      <c r="C133" s="78"/>
      <c r="D133" s="78"/>
      <c r="E133" s="78"/>
      <c r="F133" s="78"/>
      <c r="G133" s="78"/>
      <c r="H133" s="78"/>
      <c r="I133" s="78"/>
      <c r="J133" s="78"/>
      <c r="K133" s="78"/>
      <c r="L133" s="78"/>
      <c r="M133" s="78"/>
      <c r="N133" s="78"/>
      <c r="O133" s="78"/>
      <c r="P133" s="78"/>
      <c r="Q133" s="78"/>
      <c r="R133" s="78"/>
      <c r="S133" s="78"/>
      <c r="T133" s="78"/>
      <c r="U133" s="78"/>
      <c r="V133" s="78"/>
      <c r="W133" s="78"/>
      <c r="X133" s="78"/>
      <c r="Y133" s="78"/>
      <c r="Z133" s="78"/>
      <c r="AA133" s="78"/>
      <c r="AB133" s="78"/>
      <c r="AC133" s="78"/>
    </row>
    <row r="134" spans="1:29" x14ac:dyDescent="0.3">
      <c r="A134" s="78"/>
      <c r="B134" s="78"/>
      <c r="C134" s="78"/>
      <c r="D134" s="78"/>
      <c r="E134" s="78"/>
      <c r="F134" s="78"/>
      <c r="G134" s="78"/>
      <c r="H134" s="78"/>
      <c r="I134" s="78"/>
      <c r="J134" s="78"/>
      <c r="K134" s="78"/>
      <c r="L134" s="78"/>
      <c r="M134" s="78"/>
      <c r="N134" s="78"/>
      <c r="O134" s="78"/>
      <c r="P134" s="78"/>
      <c r="Q134" s="78"/>
      <c r="R134" s="78"/>
      <c r="S134" s="78"/>
      <c r="T134" s="78"/>
      <c r="U134" s="78"/>
      <c r="V134" s="78"/>
      <c r="W134" s="78"/>
      <c r="X134" s="78"/>
      <c r="Y134" s="78"/>
      <c r="Z134" s="78"/>
      <c r="AA134" s="78"/>
      <c r="AB134" s="78"/>
      <c r="AC134" s="78"/>
    </row>
    <row r="135" spans="1:29" x14ac:dyDescent="0.3">
      <c r="A135" s="78"/>
      <c r="B135" s="78"/>
      <c r="C135" s="78"/>
      <c r="D135" s="78"/>
      <c r="E135" s="78"/>
      <c r="F135" s="78"/>
      <c r="G135" s="78"/>
      <c r="H135" s="78"/>
      <c r="I135" s="78"/>
      <c r="J135" s="78"/>
      <c r="K135" s="78"/>
      <c r="L135" s="78"/>
      <c r="M135" s="78"/>
      <c r="N135" s="78"/>
      <c r="O135" s="78"/>
      <c r="P135" s="78"/>
      <c r="Q135" s="78"/>
      <c r="R135" s="78"/>
      <c r="S135" s="78"/>
      <c r="T135" s="78"/>
      <c r="U135" s="78"/>
      <c r="V135" s="78"/>
      <c r="W135" s="78"/>
      <c r="X135" s="78"/>
      <c r="Y135" s="78"/>
      <c r="Z135" s="78"/>
      <c r="AA135" s="78"/>
      <c r="AB135" s="78"/>
      <c r="AC135" s="78"/>
    </row>
    <row r="136" spans="1:29" x14ac:dyDescent="0.3">
      <c r="A136" s="78"/>
      <c r="B136" s="78"/>
      <c r="C136" s="78"/>
      <c r="D136" s="78"/>
      <c r="E136" s="78"/>
      <c r="F136" s="78"/>
      <c r="G136" s="78"/>
      <c r="H136" s="78"/>
      <c r="I136" s="78"/>
      <c r="J136" s="78"/>
      <c r="K136" s="78"/>
      <c r="L136" s="78"/>
      <c r="M136" s="78"/>
      <c r="N136" s="78"/>
      <c r="O136" s="78"/>
      <c r="P136" s="78"/>
      <c r="Q136" s="78"/>
      <c r="R136" s="78"/>
      <c r="S136" s="78"/>
      <c r="T136" s="78"/>
      <c r="U136" s="78"/>
      <c r="V136" s="78"/>
      <c r="W136" s="78"/>
      <c r="X136" s="78"/>
      <c r="Y136" s="78"/>
      <c r="Z136" s="78"/>
      <c r="AA136" s="78"/>
      <c r="AB136" s="78"/>
      <c r="AC136" s="78"/>
    </row>
    <row r="137" spans="1:29" x14ac:dyDescent="0.3">
      <c r="A137" s="78"/>
      <c r="B137" s="78"/>
      <c r="C137" s="78"/>
      <c r="D137" s="78"/>
      <c r="E137" s="78"/>
      <c r="F137" s="78"/>
      <c r="G137" s="78"/>
      <c r="H137" s="78"/>
      <c r="I137" s="78"/>
      <c r="J137" s="78"/>
      <c r="K137" s="78"/>
      <c r="L137" s="78"/>
      <c r="M137" s="78"/>
      <c r="N137" s="78"/>
      <c r="O137" s="78"/>
      <c r="P137" s="78"/>
      <c r="Q137" s="78"/>
      <c r="R137" s="78"/>
      <c r="S137" s="78"/>
      <c r="T137" s="78"/>
      <c r="U137" s="78"/>
      <c r="V137" s="78"/>
      <c r="W137" s="78"/>
      <c r="X137" s="78"/>
      <c r="Y137" s="78"/>
      <c r="Z137" s="78"/>
      <c r="AA137" s="78"/>
      <c r="AB137" s="78"/>
      <c r="AC137" s="78"/>
    </row>
    <row r="138" spans="1:29" x14ac:dyDescent="0.3">
      <c r="A138" s="78"/>
      <c r="B138" s="78"/>
      <c r="C138" s="78"/>
      <c r="D138" s="78"/>
      <c r="E138" s="78"/>
      <c r="F138" s="78"/>
      <c r="G138" s="78"/>
      <c r="H138" s="78"/>
      <c r="I138" s="78"/>
      <c r="J138" s="78"/>
      <c r="K138" s="78"/>
      <c r="L138" s="78"/>
      <c r="M138" s="78"/>
      <c r="N138" s="78"/>
      <c r="O138" s="78"/>
      <c r="P138" s="78"/>
      <c r="Q138" s="78"/>
      <c r="R138" s="78"/>
      <c r="S138" s="78"/>
      <c r="T138" s="78"/>
      <c r="U138" s="78"/>
      <c r="V138" s="78"/>
      <c r="W138" s="78"/>
      <c r="X138" s="78"/>
      <c r="Y138" s="78"/>
      <c r="Z138" s="78"/>
      <c r="AA138" s="78"/>
      <c r="AB138" s="78"/>
      <c r="AC138" s="78"/>
    </row>
    <row r="139" spans="1:29" x14ac:dyDescent="0.3">
      <c r="A139" s="78"/>
      <c r="B139" s="78"/>
      <c r="C139" s="78"/>
      <c r="D139" s="78"/>
      <c r="E139" s="78"/>
      <c r="F139" s="78"/>
      <c r="G139" s="78"/>
      <c r="H139" s="78"/>
      <c r="I139" s="78"/>
      <c r="J139" s="78"/>
      <c r="K139" s="78"/>
      <c r="L139" s="78"/>
      <c r="M139" s="78"/>
      <c r="N139" s="78"/>
      <c r="O139" s="78"/>
      <c r="P139" s="78"/>
      <c r="Q139" s="78"/>
      <c r="R139" s="78"/>
      <c r="S139" s="78"/>
      <c r="T139" s="78"/>
      <c r="U139" s="78"/>
      <c r="V139" s="78"/>
      <c r="W139" s="78"/>
      <c r="X139" s="78"/>
      <c r="Y139" s="78"/>
      <c r="Z139" s="78"/>
      <c r="AA139" s="78"/>
      <c r="AB139" s="78"/>
      <c r="AC139" s="78"/>
    </row>
    <row r="140" spans="1:29" x14ac:dyDescent="0.3">
      <c r="A140" s="78"/>
      <c r="B140" s="78"/>
      <c r="C140" s="78"/>
      <c r="D140" s="78"/>
      <c r="E140" s="78"/>
      <c r="F140" s="78"/>
      <c r="G140" s="78"/>
      <c r="H140" s="78"/>
      <c r="I140" s="78"/>
      <c r="J140" s="78"/>
      <c r="K140" s="78"/>
      <c r="L140" s="78"/>
      <c r="M140" s="78"/>
      <c r="N140" s="78"/>
      <c r="O140" s="78"/>
      <c r="P140" s="78"/>
      <c r="Q140" s="78"/>
      <c r="R140" s="78"/>
      <c r="S140" s="78"/>
      <c r="T140" s="78"/>
      <c r="U140" s="78"/>
      <c r="V140" s="78"/>
      <c r="W140" s="78"/>
      <c r="X140" s="78"/>
      <c r="Y140" s="78"/>
      <c r="Z140" s="78"/>
      <c r="AA140" s="78"/>
      <c r="AB140" s="78"/>
      <c r="AC140" s="78"/>
    </row>
    <row r="141" spans="1:29" x14ac:dyDescent="0.3">
      <c r="A141" s="78"/>
      <c r="B141" s="78"/>
      <c r="C141" s="78"/>
      <c r="D141" s="78"/>
      <c r="E141" s="78"/>
      <c r="F141" s="78"/>
      <c r="G141" s="78"/>
      <c r="H141" s="78"/>
      <c r="I141" s="78"/>
      <c r="J141" s="78"/>
      <c r="K141" s="78"/>
      <c r="L141" s="78"/>
      <c r="M141" s="78"/>
      <c r="N141" s="78"/>
      <c r="O141" s="78"/>
      <c r="P141" s="78"/>
      <c r="Q141" s="78"/>
      <c r="R141" s="78"/>
      <c r="S141" s="78"/>
      <c r="T141" s="78"/>
      <c r="U141" s="78"/>
      <c r="V141" s="78"/>
      <c r="W141" s="78"/>
      <c r="X141" s="78"/>
      <c r="Y141" s="78"/>
      <c r="Z141" s="78"/>
      <c r="AA141" s="78"/>
      <c r="AB141" s="78"/>
      <c r="AC141" s="78"/>
    </row>
    <row r="142" spans="1:29" x14ac:dyDescent="0.3">
      <c r="A142" s="78"/>
      <c r="B142" s="78"/>
      <c r="C142" s="78"/>
      <c r="D142" s="78"/>
      <c r="E142" s="78"/>
      <c r="F142" s="78"/>
      <c r="G142" s="78"/>
      <c r="H142" s="78"/>
      <c r="I142" s="78"/>
      <c r="J142" s="78"/>
      <c r="K142" s="78"/>
      <c r="L142" s="78"/>
      <c r="M142" s="78"/>
      <c r="N142" s="78"/>
      <c r="O142" s="78"/>
      <c r="P142" s="78"/>
      <c r="Q142" s="78"/>
      <c r="R142" s="78"/>
      <c r="S142" s="78"/>
      <c r="T142" s="78"/>
      <c r="U142" s="78"/>
      <c r="V142" s="78"/>
      <c r="W142" s="78"/>
      <c r="X142" s="78"/>
      <c r="Y142" s="78"/>
      <c r="Z142" s="78"/>
      <c r="AA142" s="78"/>
      <c r="AB142" s="78"/>
      <c r="AC142" s="78"/>
    </row>
    <row r="143" spans="1:29" x14ac:dyDescent="0.3">
      <c r="A143" s="78"/>
      <c r="B143" s="78"/>
      <c r="C143" s="78"/>
      <c r="D143" s="78"/>
      <c r="E143" s="78"/>
      <c r="F143" s="78"/>
      <c r="G143" s="78"/>
      <c r="H143" s="78"/>
      <c r="I143" s="78"/>
      <c r="J143" s="78"/>
      <c r="K143" s="78"/>
      <c r="L143" s="78"/>
      <c r="M143" s="78"/>
      <c r="N143" s="78"/>
      <c r="O143" s="78"/>
      <c r="P143" s="78"/>
      <c r="Q143" s="78"/>
      <c r="R143" s="78"/>
      <c r="S143" s="78"/>
      <c r="T143" s="78"/>
      <c r="U143" s="78"/>
      <c r="V143" s="78"/>
      <c r="W143" s="78"/>
      <c r="X143" s="78"/>
      <c r="Y143" s="78"/>
      <c r="Z143" s="78"/>
      <c r="AA143" s="78"/>
      <c r="AB143" s="78"/>
      <c r="AC143" s="78"/>
    </row>
    <row r="144" spans="1:29" x14ac:dyDescent="0.3">
      <c r="A144" s="78"/>
      <c r="B144" s="78"/>
      <c r="C144" s="78"/>
      <c r="D144" s="78"/>
      <c r="E144" s="78"/>
      <c r="F144" s="78"/>
      <c r="G144" s="78"/>
      <c r="H144" s="78"/>
      <c r="I144" s="78"/>
      <c r="J144" s="78"/>
      <c r="K144" s="78"/>
      <c r="L144" s="78"/>
      <c r="M144" s="78"/>
      <c r="N144" s="78"/>
      <c r="O144" s="78"/>
      <c r="P144" s="78"/>
      <c r="Q144" s="78"/>
      <c r="R144" s="78"/>
      <c r="S144" s="78"/>
      <c r="T144" s="78"/>
      <c r="U144" s="78"/>
      <c r="V144" s="78"/>
      <c r="W144" s="78"/>
      <c r="X144" s="78"/>
      <c r="Y144" s="78"/>
      <c r="Z144" s="78"/>
      <c r="AA144" s="78"/>
      <c r="AB144" s="78"/>
      <c r="AC144" s="78"/>
    </row>
    <row r="145" spans="1:29" x14ac:dyDescent="0.3">
      <c r="A145" s="78"/>
      <c r="B145" s="78"/>
      <c r="C145" s="78"/>
      <c r="D145" s="78"/>
      <c r="E145" s="78"/>
      <c r="F145" s="78"/>
      <c r="G145" s="78"/>
      <c r="H145" s="78"/>
      <c r="I145" s="78"/>
      <c r="J145" s="78"/>
      <c r="K145" s="78"/>
      <c r="L145" s="78"/>
      <c r="M145" s="78"/>
      <c r="N145" s="78"/>
      <c r="O145" s="78"/>
      <c r="P145" s="78"/>
      <c r="Q145" s="78"/>
      <c r="R145" s="78"/>
      <c r="S145" s="78"/>
      <c r="T145" s="78"/>
      <c r="U145" s="78"/>
      <c r="V145" s="78"/>
      <c r="W145" s="78"/>
      <c r="X145" s="78"/>
      <c r="Y145" s="78"/>
      <c r="Z145" s="78"/>
      <c r="AA145" s="78"/>
      <c r="AB145" s="78"/>
      <c r="AC145" s="78"/>
    </row>
    <row r="146" spans="1:29" x14ac:dyDescent="0.3">
      <c r="A146" s="78"/>
      <c r="B146" s="78"/>
      <c r="C146" s="78"/>
      <c r="D146" s="78"/>
      <c r="E146" s="78"/>
      <c r="F146" s="78"/>
      <c r="G146" s="78"/>
      <c r="H146" s="78"/>
      <c r="I146" s="78"/>
      <c r="J146" s="78"/>
      <c r="K146" s="78"/>
      <c r="L146" s="78"/>
      <c r="M146" s="78"/>
      <c r="N146" s="78"/>
      <c r="O146" s="78"/>
      <c r="P146" s="78"/>
      <c r="Q146" s="78"/>
      <c r="R146" s="78"/>
      <c r="S146" s="78"/>
      <c r="T146" s="78"/>
      <c r="U146" s="78"/>
      <c r="V146" s="78"/>
      <c r="W146" s="78"/>
      <c r="X146" s="78"/>
      <c r="Y146" s="78"/>
      <c r="Z146" s="78"/>
      <c r="AA146" s="78"/>
      <c r="AB146" s="78"/>
      <c r="AC146" s="78"/>
    </row>
    <row r="147" spans="1:29" x14ac:dyDescent="0.3">
      <c r="A147" s="78"/>
      <c r="B147" s="78"/>
      <c r="C147" s="78"/>
      <c r="D147" s="78"/>
      <c r="E147" s="78"/>
      <c r="F147" s="78"/>
      <c r="G147" s="78"/>
      <c r="H147" s="78"/>
      <c r="I147" s="78"/>
      <c r="J147" s="78"/>
      <c r="K147" s="78"/>
      <c r="L147" s="78"/>
      <c r="M147" s="78"/>
      <c r="N147" s="78"/>
      <c r="O147" s="78"/>
      <c r="P147" s="78"/>
      <c r="Q147" s="78"/>
      <c r="R147" s="78"/>
      <c r="S147" s="78"/>
      <c r="T147" s="78"/>
      <c r="U147" s="78"/>
      <c r="V147" s="78"/>
      <c r="W147" s="78"/>
      <c r="X147" s="78"/>
      <c r="Y147" s="78"/>
      <c r="Z147" s="78"/>
      <c r="AA147" s="78"/>
      <c r="AB147" s="78"/>
      <c r="AC147" s="78"/>
    </row>
    <row r="148" spans="1:29" x14ac:dyDescent="0.3">
      <c r="A148" s="78"/>
      <c r="B148" s="78"/>
      <c r="C148" s="78"/>
      <c r="D148" s="78"/>
      <c r="E148" s="78"/>
      <c r="F148" s="78"/>
      <c r="G148" s="78"/>
      <c r="H148" s="78"/>
      <c r="I148" s="78"/>
      <c r="J148" s="78"/>
      <c r="K148" s="78"/>
      <c r="L148" s="78"/>
      <c r="M148" s="78"/>
      <c r="N148" s="78"/>
      <c r="O148" s="78"/>
      <c r="P148" s="78"/>
      <c r="Q148" s="78"/>
      <c r="R148" s="78"/>
      <c r="S148" s="78"/>
      <c r="T148" s="78"/>
      <c r="U148" s="78"/>
      <c r="V148" s="78"/>
      <c r="W148" s="78"/>
      <c r="X148" s="78"/>
      <c r="Y148" s="78"/>
      <c r="Z148" s="78"/>
      <c r="AA148" s="78"/>
      <c r="AB148" s="78"/>
      <c r="AC148" s="78"/>
    </row>
    <row r="149" spans="1:29" x14ac:dyDescent="0.3">
      <c r="A149" s="78"/>
      <c r="B149" s="78"/>
      <c r="C149" s="78"/>
      <c r="D149" s="78"/>
      <c r="E149" s="78"/>
      <c r="F149" s="78"/>
      <c r="G149" s="78"/>
      <c r="H149" s="78"/>
      <c r="I149" s="78"/>
      <c r="J149" s="78"/>
      <c r="K149" s="78"/>
      <c r="L149" s="78"/>
      <c r="M149" s="78"/>
      <c r="N149" s="78"/>
      <c r="O149" s="78"/>
      <c r="P149" s="78"/>
      <c r="Q149" s="78"/>
      <c r="R149" s="78"/>
      <c r="S149" s="78"/>
      <c r="T149" s="78"/>
      <c r="U149" s="78"/>
      <c r="V149" s="78"/>
      <c r="W149" s="78"/>
      <c r="X149" s="78"/>
      <c r="Y149" s="78"/>
      <c r="Z149" s="78"/>
      <c r="AA149" s="78"/>
      <c r="AB149" s="78"/>
      <c r="AC149" s="78"/>
    </row>
    <row r="150" spans="1:29" x14ac:dyDescent="0.3">
      <c r="A150" s="78"/>
      <c r="B150" s="78"/>
      <c r="C150" s="78"/>
      <c r="D150" s="78"/>
      <c r="E150" s="78"/>
      <c r="F150" s="78"/>
      <c r="G150" s="78"/>
      <c r="H150" s="78"/>
      <c r="I150" s="78"/>
      <c r="J150" s="78"/>
      <c r="K150" s="78"/>
      <c r="L150" s="78"/>
      <c r="M150" s="78"/>
      <c r="N150" s="78"/>
      <c r="O150" s="78"/>
      <c r="P150" s="78"/>
      <c r="Q150" s="78"/>
      <c r="R150" s="78"/>
      <c r="S150" s="78"/>
      <c r="T150" s="78"/>
      <c r="U150" s="78"/>
      <c r="V150" s="78"/>
      <c r="W150" s="78"/>
      <c r="X150" s="78"/>
      <c r="Y150" s="78"/>
      <c r="Z150" s="78"/>
      <c r="AA150" s="78"/>
      <c r="AB150" s="78"/>
      <c r="AC150" s="78"/>
    </row>
    <row r="151" spans="1:29" x14ac:dyDescent="0.3">
      <c r="A151" s="78"/>
      <c r="B151" s="78"/>
      <c r="C151" s="78"/>
      <c r="D151" s="78"/>
      <c r="E151" s="78"/>
      <c r="F151" s="78"/>
      <c r="G151" s="78"/>
      <c r="H151" s="78"/>
      <c r="I151" s="78"/>
      <c r="J151" s="78"/>
      <c r="K151" s="78"/>
      <c r="L151" s="78"/>
      <c r="M151" s="78"/>
      <c r="N151" s="78"/>
      <c r="O151" s="78"/>
      <c r="P151" s="78"/>
      <c r="Q151" s="78"/>
      <c r="R151" s="78"/>
      <c r="S151" s="78"/>
      <c r="T151" s="78"/>
      <c r="U151" s="78"/>
      <c r="V151" s="78"/>
      <c r="W151" s="78"/>
      <c r="X151" s="78"/>
      <c r="Y151" s="78"/>
      <c r="Z151" s="78"/>
      <c r="AA151" s="78"/>
      <c r="AB151" s="78"/>
      <c r="AC151" s="78"/>
    </row>
    <row r="152" spans="1:29" x14ac:dyDescent="0.3">
      <c r="A152" s="78"/>
      <c r="B152" s="78"/>
      <c r="C152" s="78"/>
      <c r="D152" s="78"/>
      <c r="E152" s="78"/>
      <c r="F152" s="78"/>
      <c r="G152" s="78"/>
      <c r="H152" s="78"/>
      <c r="I152" s="78"/>
      <c r="J152" s="78"/>
      <c r="K152" s="78"/>
      <c r="L152" s="78"/>
      <c r="M152" s="78"/>
      <c r="N152" s="78"/>
      <c r="O152" s="78"/>
      <c r="P152" s="78"/>
      <c r="Q152" s="78"/>
      <c r="R152" s="78"/>
      <c r="S152" s="78"/>
      <c r="T152" s="78"/>
      <c r="U152" s="78"/>
      <c r="V152" s="78"/>
      <c r="W152" s="78"/>
      <c r="X152" s="78"/>
      <c r="Y152" s="78"/>
      <c r="Z152" s="78"/>
      <c r="AA152" s="78"/>
      <c r="AB152" s="78"/>
      <c r="AC152" s="78"/>
    </row>
    <row r="153" spans="1:29" x14ac:dyDescent="0.3">
      <c r="A153" s="78"/>
      <c r="B153" s="78"/>
      <c r="C153" s="78"/>
      <c r="D153" s="78"/>
      <c r="E153" s="78"/>
      <c r="F153" s="78"/>
      <c r="G153" s="78"/>
      <c r="H153" s="78"/>
      <c r="I153" s="78"/>
      <c r="J153" s="78"/>
      <c r="K153" s="78"/>
      <c r="L153" s="78"/>
      <c r="M153" s="78"/>
      <c r="N153" s="78"/>
      <c r="O153" s="78"/>
      <c r="P153" s="78"/>
      <c r="Q153" s="78"/>
      <c r="R153" s="78"/>
      <c r="S153" s="78"/>
      <c r="T153" s="78"/>
      <c r="U153" s="78"/>
      <c r="V153" s="78"/>
      <c r="W153" s="78"/>
      <c r="X153" s="78"/>
      <c r="Y153" s="78"/>
      <c r="Z153" s="78"/>
      <c r="AA153" s="78"/>
      <c r="AB153" s="78"/>
      <c r="AC153" s="78"/>
    </row>
    <row r="154" spans="1:29" x14ac:dyDescent="0.3">
      <c r="A154" s="78"/>
      <c r="B154" s="78"/>
      <c r="C154" s="78"/>
      <c r="D154" s="78"/>
      <c r="E154" s="78"/>
      <c r="F154" s="78"/>
      <c r="G154" s="78"/>
      <c r="H154" s="78"/>
      <c r="I154" s="78"/>
      <c r="J154" s="78"/>
      <c r="K154" s="78"/>
      <c r="L154" s="78"/>
      <c r="M154" s="78"/>
      <c r="N154" s="78"/>
      <c r="O154" s="78"/>
      <c r="P154" s="78"/>
      <c r="Q154" s="78"/>
      <c r="R154" s="78"/>
      <c r="S154" s="78"/>
      <c r="T154" s="78"/>
      <c r="U154" s="78"/>
      <c r="V154" s="78"/>
      <c r="W154" s="78"/>
      <c r="X154" s="78"/>
      <c r="Y154" s="78"/>
      <c r="Z154" s="78"/>
      <c r="AA154" s="78"/>
      <c r="AB154" s="78"/>
      <c r="AC154" s="78"/>
    </row>
    <row r="155" spans="1:29" x14ac:dyDescent="0.3">
      <c r="A155" s="78"/>
      <c r="B155" s="78"/>
      <c r="C155" s="78"/>
      <c r="D155" s="78"/>
      <c r="E155" s="78"/>
      <c r="F155" s="78"/>
      <c r="G155" s="78"/>
      <c r="H155" s="78"/>
      <c r="I155" s="78"/>
      <c r="J155" s="78"/>
      <c r="K155" s="78"/>
      <c r="L155" s="78"/>
      <c r="M155" s="78"/>
      <c r="N155" s="78"/>
      <c r="O155" s="78"/>
      <c r="P155" s="78"/>
      <c r="Q155" s="78"/>
      <c r="R155" s="78"/>
      <c r="S155" s="78"/>
      <c r="T155" s="78"/>
      <c r="U155" s="78"/>
      <c r="V155" s="78"/>
      <c r="W155" s="78"/>
      <c r="X155" s="78"/>
      <c r="Y155" s="78"/>
      <c r="Z155" s="78"/>
      <c r="AA155" s="78"/>
      <c r="AB155" s="78"/>
      <c r="AC155" s="78"/>
    </row>
    <row r="156" spans="1:29" x14ac:dyDescent="0.3">
      <c r="A156" s="78"/>
      <c r="B156" s="78"/>
      <c r="C156" s="78"/>
      <c r="D156" s="78"/>
      <c r="E156" s="78"/>
      <c r="F156" s="78"/>
      <c r="G156" s="78"/>
      <c r="H156" s="78"/>
      <c r="I156" s="78"/>
      <c r="J156" s="78"/>
      <c r="K156" s="78"/>
      <c r="L156" s="78"/>
      <c r="M156" s="78"/>
      <c r="N156" s="78"/>
      <c r="O156" s="78"/>
      <c r="P156" s="78"/>
      <c r="Q156" s="78"/>
      <c r="R156" s="78"/>
      <c r="S156" s="78"/>
      <c r="T156" s="78"/>
      <c r="U156" s="78"/>
      <c r="V156" s="78"/>
      <c r="W156" s="78"/>
      <c r="X156" s="78"/>
      <c r="Y156" s="78"/>
      <c r="Z156" s="78"/>
      <c r="AA156" s="78"/>
      <c r="AB156" s="78"/>
      <c r="AC156" s="78"/>
    </row>
    <row r="157" spans="1:29" x14ac:dyDescent="0.3">
      <c r="A157" s="78"/>
      <c r="B157" s="78"/>
      <c r="C157" s="78"/>
      <c r="D157" s="78"/>
      <c r="E157" s="78"/>
      <c r="F157" s="78"/>
      <c r="G157" s="78"/>
      <c r="H157" s="78"/>
      <c r="I157" s="78"/>
      <c r="J157" s="78"/>
      <c r="K157" s="78"/>
      <c r="L157" s="78"/>
      <c r="M157" s="78"/>
      <c r="N157" s="78"/>
      <c r="O157" s="78"/>
      <c r="P157" s="78"/>
      <c r="Q157" s="78"/>
      <c r="R157" s="78"/>
      <c r="S157" s="78"/>
      <c r="T157" s="78"/>
      <c r="U157" s="78"/>
      <c r="V157" s="78"/>
      <c r="W157" s="78"/>
      <c r="X157" s="78"/>
      <c r="Y157" s="78"/>
      <c r="Z157" s="78"/>
      <c r="AA157" s="78"/>
      <c r="AB157" s="78"/>
      <c r="AC157" s="78"/>
    </row>
    <row r="158" spans="1:29" x14ac:dyDescent="0.3">
      <c r="A158" s="78"/>
      <c r="B158" s="78"/>
      <c r="C158" s="78"/>
      <c r="D158" s="78"/>
      <c r="E158" s="78"/>
      <c r="F158" s="78"/>
      <c r="G158" s="78"/>
      <c r="H158" s="78"/>
      <c r="I158" s="78"/>
      <c r="J158" s="78"/>
      <c r="K158" s="78"/>
      <c r="L158" s="78"/>
      <c r="M158" s="78"/>
      <c r="N158" s="78"/>
      <c r="O158" s="78"/>
      <c r="P158" s="78"/>
      <c r="Q158" s="78"/>
      <c r="R158" s="78"/>
      <c r="S158" s="78"/>
      <c r="T158" s="78"/>
      <c r="U158" s="78"/>
      <c r="V158" s="78"/>
      <c r="W158" s="78"/>
      <c r="X158" s="78"/>
      <c r="Y158" s="78"/>
      <c r="Z158" s="78"/>
      <c r="AA158" s="78"/>
      <c r="AB158" s="78"/>
      <c r="AC158" s="78"/>
    </row>
    <row r="159" spans="1:29" x14ac:dyDescent="0.3">
      <c r="A159" s="78"/>
      <c r="B159" s="78"/>
      <c r="C159" s="78"/>
      <c r="D159" s="78"/>
      <c r="E159" s="78"/>
      <c r="F159" s="78"/>
      <c r="G159" s="78"/>
      <c r="H159" s="78"/>
      <c r="I159" s="78"/>
      <c r="J159" s="78"/>
      <c r="K159" s="78"/>
      <c r="L159" s="78"/>
      <c r="M159" s="78"/>
      <c r="N159" s="78"/>
      <c r="O159" s="78"/>
      <c r="P159" s="78"/>
      <c r="Q159" s="78"/>
      <c r="R159" s="78"/>
      <c r="S159" s="78"/>
      <c r="T159" s="78"/>
      <c r="U159" s="78"/>
      <c r="V159" s="78"/>
      <c r="W159" s="78"/>
      <c r="X159" s="78"/>
      <c r="Y159" s="78"/>
      <c r="Z159" s="78"/>
      <c r="AA159" s="78"/>
      <c r="AB159" s="78"/>
      <c r="AC159" s="78"/>
    </row>
    <row r="160" spans="1:29" x14ac:dyDescent="0.3">
      <c r="A160" s="78"/>
      <c r="B160" s="78"/>
      <c r="C160" s="78"/>
      <c r="D160" s="78"/>
      <c r="E160" s="78"/>
      <c r="F160" s="78"/>
      <c r="G160" s="78"/>
      <c r="H160" s="78"/>
      <c r="I160" s="78"/>
      <c r="J160" s="78"/>
      <c r="K160" s="78"/>
      <c r="L160" s="78"/>
      <c r="M160" s="78"/>
      <c r="N160" s="78"/>
      <c r="O160" s="78"/>
      <c r="P160" s="78"/>
      <c r="Q160" s="78"/>
      <c r="R160" s="78"/>
      <c r="S160" s="78"/>
      <c r="T160" s="78"/>
      <c r="U160" s="78"/>
      <c r="V160" s="78"/>
      <c r="W160" s="78"/>
      <c r="X160" s="78"/>
      <c r="Y160" s="78"/>
      <c r="Z160" s="78"/>
      <c r="AA160" s="78"/>
      <c r="AB160" s="78"/>
      <c r="AC160" s="78"/>
    </row>
    <row r="161" spans="1:29" x14ac:dyDescent="0.3">
      <c r="A161" s="78"/>
      <c r="B161" s="78"/>
      <c r="C161" s="78"/>
      <c r="D161" s="78"/>
      <c r="E161" s="78"/>
      <c r="F161" s="78"/>
      <c r="G161" s="78"/>
      <c r="H161" s="78"/>
      <c r="I161" s="78"/>
      <c r="J161" s="78"/>
      <c r="K161" s="78"/>
      <c r="L161" s="78"/>
      <c r="M161" s="78"/>
      <c r="N161" s="78"/>
      <c r="O161" s="78"/>
      <c r="P161" s="78"/>
      <c r="Q161" s="78"/>
      <c r="R161" s="78"/>
      <c r="S161" s="78"/>
      <c r="T161" s="78"/>
      <c r="U161" s="78"/>
      <c r="V161" s="78"/>
      <c r="W161" s="78"/>
      <c r="X161" s="78"/>
      <c r="Y161" s="78"/>
      <c r="Z161" s="78"/>
      <c r="AA161" s="78"/>
      <c r="AB161" s="78"/>
      <c r="AC161" s="78"/>
    </row>
    <row r="162" spans="1:29" x14ac:dyDescent="0.3">
      <c r="A162" s="78"/>
      <c r="B162" s="78"/>
      <c r="C162" s="78"/>
      <c r="D162" s="78"/>
      <c r="E162" s="78"/>
      <c r="F162" s="78"/>
      <c r="G162" s="78"/>
      <c r="H162" s="78"/>
      <c r="I162" s="78"/>
      <c r="J162" s="78"/>
      <c r="K162" s="78"/>
      <c r="L162" s="78"/>
      <c r="M162" s="78"/>
      <c r="N162" s="78"/>
      <c r="O162" s="78"/>
      <c r="P162" s="78"/>
      <c r="Q162" s="78"/>
      <c r="R162" s="78"/>
      <c r="S162" s="78"/>
      <c r="T162" s="78"/>
      <c r="U162" s="78"/>
      <c r="V162" s="78"/>
      <c r="W162" s="78"/>
      <c r="X162" s="78"/>
      <c r="Y162" s="78"/>
      <c r="Z162" s="78"/>
      <c r="AA162" s="78"/>
      <c r="AB162" s="78"/>
      <c r="AC162" s="78"/>
    </row>
    <row r="163" spans="1:29" x14ac:dyDescent="0.3">
      <c r="A163" s="78"/>
      <c r="B163" s="78"/>
      <c r="C163" s="78"/>
      <c r="D163" s="78"/>
      <c r="E163" s="78"/>
      <c r="F163" s="78"/>
      <c r="G163" s="78"/>
      <c r="H163" s="78"/>
      <c r="I163" s="78"/>
      <c r="J163" s="78"/>
      <c r="K163" s="78"/>
      <c r="L163" s="78"/>
      <c r="M163" s="78"/>
      <c r="N163" s="78"/>
      <c r="O163" s="78"/>
      <c r="P163" s="78"/>
      <c r="Q163" s="78"/>
      <c r="R163" s="78"/>
      <c r="S163" s="78"/>
      <c r="T163" s="78"/>
      <c r="U163" s="78"/>
      <c r="V163" s="78"/>
      <c r="W163" s="78"/>
      <c r="X163" s="78"/>
      <c r="Y163" s="78"/>
      <c r="Z163" s="78"/>
      <c r="AA163" s="78"/>
      <c r="AB163" s="78"/>
      <c r="AC163" s="78"/>
    </row>
    <row r="164" spans="1:29" x14ac:dyDescent="0.3">
      <c r="A164" s="78"/>
      <c r="B164" s="78"/>
      <c r="C164" s="78"/>
      <c r="D164" s="78"/>
      <c r="E164" s="78"/>
      <c r="F164" s="78"/>
      <c r="G164" s="78"/>
      <c r="H164" s="78"/>
      <c r="I164" s="78"/>
      <c r="J164" s="78"/>
      <c r="K164" s="78"/>
      <c r="L164" s="78"/>
      <c r="M164" s="78"/>
      <c r="N164" s="78"/>
      <c r="O164" s="78"/>
      <c r="P164" s="78"/>
      <c r="Q164" s="78"/>
      <c r="R164" s="78"/>
      <c r="S164" s="78"/>
      <c r="T164" s="78"/>
      <c r="U164" s="78"/>
      <c r="V164" s="78"/>
      <c r="W164" s="78"/>
      <c r="X164" s="78"/>
      <c r="Y164" s="78"/>
      <c r="Z164" s="78"/>
      <c r="AA164" s="78"/>
      <c r="AB164" s="78"/>
      <c r="AC164" s="78"/>
    </row>
    <row r="165" spans="1:29" x14ac:dyDescent="0.3">
      <c r="A165" s="78"/>
      <c r="B165" s="78"/>
      <c r="C165" s="78"/>
      <c r="D165" s="78"/>
      <c r="E165" s="78"/>
      <c r="F165" s="78"/>
      <c r="G165" s="78"/>
      <c r="H165" s="78"/>
      <c r="I165" s="78"/>
      <c r="J165" s="78"/>
      <c r="K165" s="78"/>
      <c r="L165" s="78"/>
      <c r="M165" s="78"/>
      <c r="N165" s="78"/>
      <c r="O165" s="78"/>
      <c r="P165" s="78"/>
      <c r="Q165" s="78"/>
      <c r="R165" s="78"/>
      <c r="S165" s="78"/>
      <c r="T165" s="78"/>
      <c r="U165" s="78"/>
      <c r="V165" s="78"/>
      <c r="W165" s="78"/>
      <c r="X165" s="78"/>
      <c r="Y165" s="78"/>
      <c r="Z165" s="78"/>
      <c r="AA165" s="78"/>
      <c r="AB165" s="78"/>
      <c r="AC165" s="78"/>
    </row>
    <row r="166" spans="1:29" x14ac:dyDescent="0.3">
      <c r="A166" s="78"/>
      <c r="B166" s="78"/>
      <c r="C166" s="78"/>
      <c r="D166" s="78"/>
      <c r="E166" s="78"/>
      <c r="F166" s="78"/>
      <c r="G166" s="78"/>
      <c r="H166" s="78"/>
      <c r="I166" s="78"/>
      <c r="J166" s="78"/>
      <c r="K166" s="78"/>
      <c r="L166" s="78"/>
      <c r="M166" s="78"/>
      <c r="N166" s="78"/>
      <c r="O166" s="78"/>
      <c r="P166" s="78"/>
      <c r="Q166" s="78"/>
      <c r="R166" s="78"/>
      <c r="S166" s="78"/>
      <c r="T166" s="78"/>
      <c r="U166" s="78"/>
      <c r="V166" s="78"/>
      <c r="W166" s="78"/>
      <c r="X166" s="78"/>
      <c r="Y166" s="78"/>
      <c r="Z166" s="78"/>
      <c r="AA166" s="78"/>
      <c r="AB166" s="78"/>
      <c r="AC166" s="78"/>
    </row>
    <row r="167" spans="1:29" x14ac:dyDescent="0.3">
      <c r="A167" s="78"/>
      <c r="B167" s="78"/>
      <c r="C167" s="78"/>
      <c r="D167" s="78"/>
      <c r="E167" s="78"/>
      <c r="F167" s="78"/>
      <c r="G167" s="78"/>
      <c r="H167" s="78"/>
      <c r="I167" s="78"/>
      <c r="J167" s="78"/>
      <c r="K167" s="78"/>
      <c r="L167" s="78"/>
      <c r="M167" s="78"/>
      <c r="N167" s="78"/>
      <c r="O167" s="78"/>
      <c r="P167" s="78"/>
      <c r="Q167" s="78"/>
      <c r="R167" s="78"/>
      <c r="S167" s="78"/>
      <c r="T167" s="78"/>
      <c r="U167" s="78"/>
      <c r="V167" s="78"/>
      <c r="W167" s="78"/>
      <c r="X167" s="78"/>
      <c r="Y167" s="78"/>
      <c r="Z167" s="78"/>
      <c r="AA167" s="78"/>
      <c r="AB167" s="78"/>
      <c r="AC167" s="78"/>
    </row>
    <row r="168" spans="1:29" x14ac:dyDescent="0.3">
      <c r="A168" s="78"/>
      <c r="B168" s="78"/>
      <c r="C168" s="78"/>
      <c r="D168" s="78"/>
      <c r="E168" s="78"/>
      <c r="F168" s="78"/>
      <c r="G168" s="78"/>
      <c r="H168" s="78"/>
      <c r="I168" s="78"/>
      <c r="J168" s="78"/>
      <c r="K168" s="78"/>
      <c r="L168" s="78"/>
      <c r="M168" s="78"/>
      <c r="N168" s="78"/>
      <c r="O168" s="78"/>
      <c r="P168" s="78"/>
      <c r="Q168" s="78"/>
      <c r="R168" s="78"/>
      <c r="S168" s="78"/>
      <c r="T168" s="78"/>
      <c r="U168" s="78"/>
      <c r="V168" s="78"/>
      <c r="W168" s="78"/>
      <c r="X168" s="78"/>
      <c r="Y168" s="78"/>
      <c r="Z168" s="78"/>
      <c r="AA168" s="78"/>
      <c r="AB168" s="78"/>
      <c r="AC168" s="78"/>
    </row>
    <row r="169" spans="1:29" x14ac:dyDescent="0.3">
      <c r="A169" s="78"/>
      <c r="B169" s="78"/>
      <c r="C169" s="78"/>
      <c r="D169" s="78"/>
      <c r="E169" s="78"/>
      <c r="F169" s="78"/>
      <c r="G169" s="78"/>
      <c r="H169" s="78"/>
      <c r="I169" s="78"/>
      <c r="J169" s="78"/>
      <c r="K169" s="78"/>
      <c r="L169" s="78"/>
      <c r="M169" s="78"/>
      <c r="N169" s="78"/>
      <c r="O169" s="78"/>
      <c r="P169" s="78"/>
      <c r="Q169" s="78"/>
      <c r="R169" s="78"/>
      <c r="S169" s="78"/>
      <c r="T169" s="78"/>
      <c r="U169" s="78"/>
      <c r="V169" s="78"/>
      <c r="W169" s="78"/>
      <c r="X169" s="78"/>
      <c r="Y169" s="78"/>
      <c r="Z169" s="78"/>
      <c r="AA169" s="78"/>
      <c r="AB169" s="78"/>
      <c r="AC169" s="78"/>
    </row>
    <row r="170" spans="1:29" x14ac:dyDescent="0.3">
      <c r="A170" s="78"/>
      <c r="B170" s="78"/>
      <c r="C170" s="78"/>
      <c r="D170" s="78"/>
      <c r="E170" s="78"/>
      <c r="F170" s="78"/>
      <c r="G170" s="78"/>
      <c r="H170" s="78"/>
      <c r="I170" s="78"/>
      <c r="J170" s="78"/>
      <c r="K170" s="78"/>
      <c r="L170" s="78"/>
      <c r="M170" s="78"/>
      <c r="N170" s="78"/>
      <c r="O170" s="78"/>
      <c r="P170" s="78"/>
      <c r="Q170" s="78"/>
      <c r="R170" s="78"/>
      <c r="S170" s="78"/>
      <c r="T170" s="78"/>
      <c r="U170" s="78"/>
      <c r="V170" s="78"/>
      <c r="W170" s="78"/>
      <c r="X170" s="78"/>
      <c r="Y170" s="78"/>
      <c r="Z170" s="78"/>
      <c r="AA170" s="78"/>
      <c r="AB170" s="78"/>
      <c r="AC170" s="78"/>
    </row>
    <row r="171" spans="1:29" x14ac:dyDescent="0.3">
      <c r="A171" s="78"/>
      <c r="B171" s="78"/>
      <c r="C171" s="78"/>
      <c r="D171" s="78"/>
      <c r="E171" s="78"/>
      <c r="F171" s="78"/>
      <c r="G171" s="78"/>
      <c r="H171" s="78"/>
      <c r="I171" s="78"/>
      <c r="J171" s="78"/>
      <c r="K171" s="78"/>
      <c r="L171" s="78"/>
      <c r="M171" s="78"/>
      <c r="N171" s="78"/>
      <c r="O171" s="78"/>
      <c r="P171" s="78"/>
      <c r="Q171" s="78"/>
      <c r="R171" s="78"/>
      <c r="S171" s="78"/>
      <c r="T171" s="78"/>
      <c r="U171" s="78"/>
      <c r="V171" s="78"/>
      <c r="W171" s="78"/>
      <c r="X171" s="78"/>
      <c r="Y171" s="78"/>
      <c r="Z171" s="78"/>
      <c r="AA171" s="78"/>
      <c r="AB171" s="78"/>
      <c r="AC171" s="78"/>
    </row>
    <row r="172" spans="1:29" x14ac:dyDescent="0.3">
      <c r="A172" s="78"/>
      <c r="B172" s="78"/>
      <c r="C172" s="78"/>
      <c r="D172" s="78"/>
      <c r="E172" s="78"/>
      <c r="F172" s="78"/>
      <c r="G172" s="78"/>
      <c r="H172" s="78"/>
      <c r="I172" s="78"/>
      <c r="J172" s="78"/>
      <c r="K172" s="78"/>
      <c r="L172" s="78"/>
      <c r="M172" s="78"/>
      <c r="N172" s="78"/>
      <c r="O172" s="78"/>
      <c r="P172" s="78"/>
      <c r="Q172" s="78"/>
      <c r="R172" s="78"/>
      <c r="S172" s="78"/>
      <c r="T172" s="78"/>
      <c r="U172" s="78"/>
      <c r="V172" s="78"/>
      <c r="W172" s="78"/>
      <c r="X172" s="78"/>
      <c r="Y172" s="78"/>
      <c r="Z172" s="78"/>
      <c r="AA172" s="78"/>
      <c r="AB172" s="78"/>
      <c r="AC172" s="78"/>
    </row>
    <row r="173" spans="1:29" x14ac:dyDescent="0.3">
      <c r="A173" s="78"/>
      <c r="B173" s="78"/>
      <c r="C173" s="78"/>
      <c r="D173" s="78"/>
      <c r="E173" s="78"/>
      <c r="F173" s="78"/>
      <c r="G173" s="78"/>
      <c r="H173" s="78"/>
      <c r="I173" s="78"/>
      <c r="J173" s="78"/>
      <c r="K173" s="78"/>
      <c r="L173" s="78"/>
      <c r="M173" s="78"/>
      <c r="N173" s="78"/>
      <c r="O173" s="78"/>
      <c r="P173" s="78"/>
      <c r="Q173" s="78"/>
      <c r="R173" s="78"/>
      <c r="S173" s="78"/>
      <c r="T173" s="78"/>
      <c r="U173" s="78"/>
      <c r="V173" s="78"/>
      <c r="W173" s="78"/>
      <c r="X173" s="78"/>
      <c r="Y173" s="78"/>
      <c r="Z173" s="78"/>
      <c r="AA173" s="78"/>
      <c r="AB173" s="78"/>
      <c r="AC173" s="78"/>
    </row>
    <row r="174" spans="1:29" x14ac:dyDescent="0.3">
      <c r="A174" s="78"/>
      <c r="B174" s="78"/>
      <c r="C174" s="78"/>
      <c r="D174" s="78"/>
      <c r="E174" s="78"/>
      <c r="F174" s="78"/>
      <c r="G174" s="78"/>
      <c r="H174" s="78"/>
      <c r="I174" s="78"/>
      <c r="J174" s="78"/>
      <c r="K174" s="78"/>
      <c r="L174" s="78"/>
      <c r="M174" s="78"/>
      <c r="N174" s="78"/>
      <c r="O174" s="78"/>
      <c r="P174" s="78"/>
      <c r="Q174" s="78"/>
      <c r="R174" s="78"/>
      <c r="S174" s="78"/>
      <c r="T174" s="78"/>
      <c r="U174" s="78"/>
      <c r="V174" s="78"/>
      <c r="W174" s="78"/>
      <c r="X174" s="78"/>
      <c r="Y174" s="78"/>
      <c r="Z174" s="78"/>
      <c r="AA174" s="78"/>
      <c r="AB174" s="78"/>
      <c r="AC174" s="78"/>
    </row>
    <row r="175" spans="1:29" x14ac:dyDescent="0.3">
      <c r="A175" s="78"/>
      <c r="B175" s="78"/>
      <c r="C175" s="78"/>
      <c r="D175" s="78"/>
      <c r="E175" s="78"/>
      <c r="F175" s="78"/>
      <c r="G175" s="78"/>
      <c r="H175" s="78"/>
      <c r="I175" s="78"/>
      <c r="J175" s="78"/>
      <c r="K175" s="78"/>
      <c r="L175" s="78"/>
      <c r="M175" s="78"/>
      <c r="N175" s="78"/>
      <c r="O175" s="78"/>
      <c r="P175" s="78"/>
      <c r="Q175" s="78"/>
      <c r="R175" s="78"/>
      <c r="S175" s="78"/>
      <c r="T175" s="78"/>
      <c r="U175" s="78"/>
      <c r="V175" s="78"/>
      <c r="W175" s="78"/>
      <c r="X175" s="78"/>
      <c r="Y175" s="78"/>
      <c r="Z175" s="78"/>
      <c r="AA175" s="78"/>
      <c r="AB175" s="78"/>
      <c r="AC175" s="78"/>
    </row>
    <row r="176" spans="1:29" x14ac:dyDescent="0.3">
      <c r="A176" s="78"/>
      <c r="B176" s="78"/>
      <c r="C176" s="78"/>
      <c r="D176" s="78"/>
      <c r="E176" s="78"/>
      <c r="F176" s="78"/>
      <c r="G176" s="78"/>
      <c r="H176" s="78"/>
      <c r="I176" s="78"/>
      <c r="J176" s="78"/>
      <c r="K176" s="78"/>
      <c r="L176" s="78"/>
      <c r="M176" s="78"/>
      <c r="N176" s="78"/>
      <c r="O176" s="78"/>
      <c r="P176" s="78"/>
      <c r="Q176" s="78"/>
      <c r="R176" s="78"/>
      <c r="S176" s="78"/>
      <c r="T176" s="78"/>
      <c r="U176" s="78"/>
      <c r="V176" s="78"/>
      <c r="W176" s="78"/>
      <c r="X176" s="78"/>
      <c r="Y176" s="78"/>
      <c r="Z176" s="78"/>
      <c r="AA176" s="78"/>
      <c r="AB176" s="78"/>
      <c r="AC176" s="78"/>
    </row>
    <row r="177" spans="1:29" x14ac:dyDescent="0.3">
      <c r="A177" s="78"/>
      <c r="B177" s="78"/>
      <c r="C177" s="78"/>
      <c r="D177" s="78"/>
      <c r="E177" s="78"/>
      <c r="F177" s="78"/>
      <c r="G177" s="78"/>
      <c r="H177" s="78"/>
      <c r="I177" s="78"/>
      <c r="J177" s="78"/>
      <c r="K177" s="78"/>
      <c r="L177" s="78"/>
      <c r="M177" s="78"/>
      <c r="N177" s="78"/>
      <c r="O177" s="78"/>
      <c r="P177" s="78"/>
      <c r="Q177" s="78"/>
      <c r="R177" s="78"/>
      <c r="S177" s="78"/>
      <c r="T177" s="78"/>
      <c r="U177" s="78"/>
      <c r="V177" s="78"/>
      <c r="W177" s="78"/>
      <c r="X177" s="78"/>
      <c r="Y177" s="78"/>
      <c r="Z177" s="78"/>
      <c r="AA177" s="78"/>
      <c r="AB177" s="78"/>
      <c r="AC177" s="78"/>
    </row>
    <row r="178" spans="1:29" x14ac:dyDescent="0.3">
      <c r="A178" s="78"/>
      <c r="B178" s="78"/>
      <c r="C178" s="78"/>
      <c r="D178" s="78"/>
      <c r="E178" s="78"/>
      <c r="F178" s="78"/>
      <c r="G178" s="78"/>
      <c r="H178" s="78"/>
      <c r="I178" s="78"/>
      <c r="J178" s="78"/>
      <c r="K178" s="78"/>
      <c r="L178" s="78"/>
      <c r="M178" s="78"/>
      <c r="N178" s="78"/>
      <c r="O178" s="78"/>
      <c r="P178" s="78"/>
      <c r="Q178" s="78"/>
      <c r="R178" s="78"/>
      <c r="S178" s="78"/>
      <c r="T178" s="78"/>
      <c r="U178" s="78"/>
      <c r="V178" s="78"/>
      <c r="W178" s="78"/>
      <c r="X178" s="78"/>
      <c r="Y178" s="78"/>
      <c r="Z178" s="78"/>
      <c r="AA178" s="78"/>
      <c r="AB178" s="78"/>
      <c r="AC178" s="78"/>
    </row>
    <row r="179" spans="1:29" x14ac:dyDescent="0.3">
      <c r="A179" s="78"/>
      <c r="B179" s="78"/>
      <c r="C179" s="78"/>
      <c r="D179" s="78"/>
      <c r="E179" s="78"/>
      <c r="F179" s="78"/>
      <c r="G179" s="78"/>
      <c r="H179" s="78"/>
      <c r="I179" s="78"/>
      <c r="J179" s="78"/>
      <c r="K179" s="78"/>
      <c r="L179" s="78"/>
      <c r="M179" s="78"/>
      <c r="N179" s="78"/>
      <c r="O179" s="78"/>
      <c r="P179" s="78"/>
      <c r="Q179" s="78"/>
      <c r="R179" s="78"/>
      <c r="S179" s="78"/>
      <c r="T179" s="78"/>
      <c r="U179" s="78"/>
      <c r="V179" s="78"/>
      <c r="W179" s="78"/>
      <c r="X179" s="78"/>
      <c r="Y179" s="78"/>
      <c r="Z179" s="78"/>
      <c r="AA179" s="78"/>
      <c r="AB179" s="78"/>
      <c r="AC179" s="78"/>
    </row>
    <row r="180" spans="1:29" x14ac:dyDescent="0.3">
      <c r="A180" s="78"/>
      <c r="B180" s="78"/>
      <c r="C180" s="78"/>
      <c r="D180" s="78"/>
      <c r="E180" s="78"/>
      <c r="F180" s="78"/>
      <c r="G180" s="78"/>
      <c r="H180" s="78"/>
      <c r="I180" s="78"/>
      <c r="J180" s="78"/>
      <c r="K180" s="78"/>
      <c r="L180" s="78"/>
      <c r="M180" s="78"/>
      <c r="N180" s="78"/>
      <c r="O180" s="78"/>
      <c r="P180" s="78"/>
      <c r="Q180" s="78"/>
      <c r="R180" s="78"/>
      <c r="S180" s="78"/>
      <c r="T180" s="78"/>
      <c r="U180" s="78"/>
      <c r="V180" s="78"/>
      <c r="W180" s="78"/>
      <c r="X180" s="78"/>
      <c r="Y180" s="78"/>
      <c r="Z180" s="78"/>
      <c r="AA180" s="78"/>
      <c r="AB180" s="78"/>
      <c r="AC180" s="78"/>
    </row>
    <row r="181" spans="1:29" x14ac:dyDescent="0.3">
      <c r="A181" s="78"/>
      <c r="B181" s="78"/>
      <c r="C181" s="78"/>
      <c r="D181" s="78"/>
      <c r="E181" s="78"/>
      <c r="F181" s="78"/>
      <c r="G181" s="78"/>
      <c r="H181" s="78"/>
      <c r="I181" s="78"/>
      <c r="J181" s="78"/>
      <c r="K181" s="78"/>
      <c r="L181" s="78"/>
      <c r="M181" s="78"/>
      <c r="N181" s="78"/>
      <c r="O181" s="78"/>
      <c r="P181" s="78"/>
      <c r="Q181" s="78"/>
      <c r="R181" s="78"/>
      <c r="S181" s="78"/>
      <c r="T181" s="78"/>
      <c r="U181" s="78"/>
      <c r="V181" s="78"/>
      <c r="W181" s="78"/>
      <c r="X181" s="78"/>
      <c r="Y181" s="78"/>
      <c r="Z181" s="78"/>
      <c r="AA181" s="78"/>
      <c r="AB181" s="78"/>
      <c r="AC181" s="78"/>
    </row>
    <row r="182" spans="1:29" x14ac:dyDescent="0.3">
      <c r="A182" s="78"/>
      <c r="B182" s="78"/>
      <c r="C182" s="78"/>
      <c r="D182" s="78"/>
      <c r="E182" s="78"/>
      <c r="F182" s="78"/>
      <c r="G182" s="78"/>
      <c r="H182" s="78"/>
      <c r="I182" s="78"/>
      <c r="J182" s="78"/>
      <c r="K182" s="78"/>
      <c r="L182" s="78"/>
      <c r="M182" s="78"/>
      <c r="N182" s="78"/>
      <c r="O182" s="78"/>
      <c r="P182" s="78"/>
      <c r="Q182" s="78"/>
      <c r="R182" s="78"/>
      <c r="S182" s="78"/>
      <c r="T182" s="78"/>
      <c r="U182" s="78"/>
      <c r="V182" s="78"/>
      <c r="W182" s="78"/>
      <c r="X182" s="78"/>
      <c r="Y182" s="78"/>
      <c r="Z182" s="78"/>
      <c r="AA182" s="78"/>
      <c r="AB182" s="78"/>
      <c r="AC182" s="78"/>
    </row>
    <row r="183" spans="1:29" x14ac:dyDescent="0.3">
      <c r="A183" s="78"/>
      <c r="B183" s="78"/>
      <c r="C183" s="78"/>
      <c r="D183" s="78"/>
      <c r="E183" s="78"/>
      <c r="F183" s="78"/>
      <c r="G183" s="78"/>
      <c r="H183" s="78"/>
      <c r="I183" s="78"/>
      <c r="J183" s="78"/>
      <c r="K183" s="78"/>
      <c r="L183" s="78"/>
      <c r="M183" s="78"/>
      <c r="N183" s="78"/>
      <c r="O183" s="78"/>
      <c r="P183" s="78"/>
      <c r="Q183" s="78"/>
      <c r="R183" s="78"/>
      <c r="S183" s="78"/>
      <c r="T183" s="78"/>
      <c r="U183" s="78"/>
      <c r="V183" s="78"/>
      <c r="W183" s="78"/>
      <c r="X183" s="78"/>
      <c r="Y183" s="78"/>
      <c r="Z183" s="78"/>
      <c r="AA183" s="78"/>
      <c r="AB183" s="78"/>
      <c r="AC183" s="78"/>
    </row>
    <row r="184" spans="1:29" x14ac:dyDescent="0.3">
      <c r="A184" s="78"/>
      <c r="B184" s="78"/>
      <c r="C184" s="78"/>
      <c r="D184" s="78"/>
      <c r="E184" s="78"/>
      <c r="F184" s="78"/>
      <c r="G184" s="78"/>
      <c r="H184" s="78"/>
      <c r="I184" s="78"/>
      <c r="J184" s="78"/>
      <c r="K184" s="78"/>
      <c r="L184" s="78"/>
      <c r="M184" s="78"/>
      <c r="N184" s="78"/>
      <c r="O184" s="78"/>
      <c r="P184" s="78"/>
      <c r="Q184" s="78"/>
      <c r="R184" s="78"/>
      <c r="S184" s="78"/>
      <c r="T184" s="78"/>
      <c r="U184" s="78"/>
      <c r="V184" s="78"/>
      <c r="W184" s="78"/>
      <c r="X184" s="78"/>
      <c r="Y184" s="78"/>
      <c r="Z184" s="78"/>
      <c r="AA184" s="78"/>
      <c r="AB184" s="78"/>
      <c r="AC184" s="78"/>
    </row>
    <row r="185" spans="1:29" x14ac:dyDescent="0.3">
      <c r="A185" s="78"/>
      <c r="B185" s="78"/>
      <c r="C185" s="78"/>
      <c r="D185" s="78"/>
      <c r="E185" s="78"/>
      <c r="F185" s="78"/>
      <c r="G185" s="78"/>
      <c r="H185" s="78"/>
      <c r="I185" s="78"/>
      <c r="J185" s="78"/>
      <c r="K185" s="78"/>
      <c r="L185" s="78"/>
      <c r="M185" s="78"/>
      <c r="N185" s="78"/>
      <c r="O185" s="78"/>
      <c r="P185" s="78"/>
      <c r="Q185" s="78"/>
      <c r="R185" s="78"/>
      <c r="S185" s="78"/>
      <c r="T185" s="78"/>
      <c r="U185" s="78"/>
      <c r="V185" s="78"/>
      <c r="W185" s="78"/>
      <c r="X185" s="78"/>
      <c r="Y185" s="78"/>
      <c r="Z185" s="78"/>
      <c r="AA185" s="78"/>
      <c r="AB185" s="78"/>
      <c r="AC185" s="78"/>
    </row>
    <row r="186" spans="1:29" x14ac:dyDescent="0.3">
      <c r="A186" s="78"/>
      <c r="B186" s="78"/>
      <c r="C186" s="78"/>
      <c r="D186" s="78"/>
      <c r="E186" s="78"/>
      <c r="F186" s="78"/>
      <c r="G186" s="78"/>
      <c r="H186" s="78"/>
      <c r="I186" s="78"/>
      <c r="J186" s="78"/>
      <c r="K186" s="78"/>
      <c r="L186" s="78"/>
      <c r="M186" s="78"/>
      <c r="N186" s="78"/>
      <c r="O186" s="78"/>
      <c r="P186" s="78"/>
      <c r="Q186" s="78"/>
      <c r="R186" s="78"/>
      <c r="S186" s="78"/>
      <c r="T186" s="78"/>
      <c r="U186" s="78"/>
      <c r="V186" s="78"/>
      <c r="W186" s="78"/>
      <c r="X186" s="78"/>
      <c r="Y186" s="78"/>
      <c r="Z186" s="78"/>
      <c r="AA186" s="78"/>
      <c r="AB186" s="78"/>
      <c r="AC186" s="78"/>
    </row>
    <row r="187" spans="1:29" x14ac:dyDescent="0.3">
      <c r="A187" s="78"/>
      <c r="B187" s="78"/>
      <c r="C187" s="78"/>
      <c r="D187" s="78"/>
      <c r="E187" s="78"/>
      <c r="F187" s="78"/>
      <c r="G187" s="78"/>
      <c r="H187" s="78"/>
      <c r="I187" s="78"/>
      <c r="J187" s="78"/>
      <c r="K187" s="78"/>
      <c r="L187" s="78"/>
      <c r="M187" s="78"/>
      <c r="N187" s="78"/>
      <c r="O187" s="78"/>
      <c r="P187" s="78"/>
      <c r="Q187" s="78"/>
      <c r="R187" s="78"/>
      <c r="S187" s="78"/>
      <c r="T187" s="78"/>
      <c r="U187" s="78"/>
      <c r="V187" s="78"/>
      <c r="W187" s="78"/>
      <c r="X187" s="78"/>
      <c r="Y187" s="78"/>
      <c r="Z187" s="78"/>
      <c r="AA187" s="78"/>
      <c r="AB187" s="78"/>
      <c r="AC187" s="78"/>
    </row>
    <row r="188" spans="1:29" x14ac:dyDescent="0.3">
      <c r="A188" s="78"/>
      <c r="B188" s="78"/>
      <c r="C188" s="78"/>
      <c r="D188" s="78"/>
      <c r="E188" s="78"/>
      <c r="F188" s="78"/>
      <c r="G188" s="78"/>
      <c r="H188" s="78"/>
      <c r="I188" s="78"/>
      <c r="J188" s="78"/>
      <c r="K188" s="78"/>
      <c r="L188" s="78"/>
      <c r="M188" s="78"/>
      <c r="N188" s="78"/>
      <c r="O188" s="78"/>
      <c r="P188" s="78"/>
      <c r="Q188" s="78"/>
      <c r="R188" s="78"/>
      <c r="S188" s="78"/>
      <c r="T188" s="78"/>
      <c r="U188" s="78"/>
      <c r="V188" s="78"/>
      <c r="W188" s="78"/>
      <c r="X188" s="78"/>
      <c r="Y188" s="78"/>
      <c r="Z188" s="78"/>
      <c r="AA188" s="78"/>
      <c r="AB188" s="78"/>
      <c r="AC188" s="78"/>
    </row>
    <row r="189" spans="1:29" x14ac:dyDescent="0.3">
      <c r="A189" s="78"/>
      <c r="B189" s="78"/>
      <c r="C189" s="78"/>
      <c r="D189" s="78"/>
      <c r="E189" s="78"/>
      <c r="F189" s="78"/>
      <c r="G189" s="78"/>
      <c r="H189" s="78"/>
      <c r="I189" s="78"/>
      <c r="J189" s="78"/>
      <c r="K189" s="78"/>
      <c r="L189" s="78"/>
      <c r="M189" s="78"/>
      <c r="N189" s="78"/>
      <c r="O189" s="78"/>
      <c r="P189" s="78"/>
      <c r="Q189" s="78"/>
      <c r="R189" s="78"/>
      <c r="S189" s="78"/>
      <c r="T189" s="78"/>
      <c r="U189" s="78"/>
      <c r="V189" s="78"/>
      <c r="W189" s="78"/>
      <c r="X189" s="78"/>
      <c r="Y189" s="78"/>
      <c r="Z189" s="78"/>
      <c r="AA189" s="78"/>
      <c r="AB189" s="78"/>
      <c r="AC189" s="78"/>
    </row>
    <row r="190" spans="1:29" x14ac:dyDescent="0.3">
      <c r="A190" s="78"/>
      <c r="B190" s="78"/>
      <c r="C190" s="78"/>
      <c r="D190" s="78"/>
      <c r="E190" s="78"/>
      <c r="F190" s="78"/>
      <c r="G190" s="78"/>
      <c r="H190" s="78"/>
      <c r="I190" s="78"/>
      <c r="J190" s="78"/>
      <c r="K190" s="78"/>
      <c r="L190" s="78"/>
      <c r="M190" s="78"/>
      <c r="N190" s="78"/>
      <c r="O190" s="78"/>
      <c r="P190" s="78"/>
      <c r="Q190" s="78"/>
      <c r="R190" s="78"/>
      <c r="S190" s="78"/>
      <c r="T190" s="78"/>
      <c r="U190" s="78"/>
      <c r="V190" s="78"/>
      <c r="W190" s="78"/>
      <c r="X190" s="78"/>
      <c r="Y190" s="78"/>
      <c r="Z190" s="78"/>
      <c r="AA190" s="78"/>
      <c r="AB190" s="78"/>
      <c r="AC190" s="78"/>
    </row>
    <row r="191" spans="1:29" x14ac:dyDescent="0.3">
      <c r="A191" s="78"/>
      <c r="B191" s="78"/>
      <c r="C191" s="78"/>
      <c r="D191" s="78"/>
      <c r="E191" s="78"/>
      <c r="F191" s="78"/>
      <c r="G191" s="78"/>
      <c r="H191" s="78"/>
      <c r="I191" s="78"/>
      <c r="J191" s="78"/>
      <c r="K191" s="78"/>
      <c r="L191" s="78"/>
      <c r="M191" s="78"/>
      <c r="N191" s="78"/>
      <c r="O191" s="78"/>
      <c r="P191" s="78"/>
      <c r="Q191" s="78"/>
      <c r="R191" s="78"/>
      <c r="S191" s="78"/>
      <c r="T191" s="78"/>
      <c r="U191" s="78"/>
      <c r="V191" s="78"/>
      <c r="W191" s="78"/>
      <c r="X191" s="78"/>
      <c r="Y191" s="78"/>
      <c r="Z191" s="78"/>
      <c r="AA191" s="78"/>
      <c r="AB191" s="78"/>
      <c r="AC191" s="78"/>
    </row>
    <row r="192" spans="1:29" x14ac:dyDescent="0.3">
      <c r="A192" s="78"/>
      <c r="B192" s="78"/>
      <c r="C192" s="78"/>
      <c r="D192" s="78"/>
      <c r="E192" s="78"/>
      <c r="F192" s="78"/>
      <c r="G192" s="78"/>
      <c r="H192" s="78"/>
      <c r="I192" s="78"/>
      <c r="J192" s="78"/>
      <c r="K192" s="78"/>
      <c r="L192" s="78"/>
      <c r="M192" s="78"/>
      <c r="N192" s="78"/>
      <c r="O192" s="78"/>
      <c r="P192" s="78"/>
      <c r="Q192" s="78"/>
      <c r="R192" s="78"/>
      <c r="S192" s="78"/>
      <c r="T192" s="78"/>
      <c r="U192" s="78"/>
      <c r="V192" s="78"/>
      <c r="W192" s="78"/>
      <c r="X192" s="78"/>
      <c r="Y192" s="78"/>
      <c r="Z192" s="78"/>
      <c r="AA192" s="78"/>
      <c r="AB192" s="78"/>
      <c r="AC192" s="78"/>
    </row>
    <row r="193" spans="1:29" x14ac:dyDescent="0.3">
      <c r="A193" s="78"/>
      <c r="B193" s="78"/>
      <c r="C193" s="78"/>
      <c r="D193" s="78"/>
      <c r="E193" s="78"/>
      <c r="F193" s="78"/>
      <c r="G193" s="78"/>
      <c r="H193" s="78"/>
      <c r="I193" s="78"/>
      <c r="J193" s="78"/>
      <c r="K193" s="78"/>
      <c r="L193" s="78"/>
      <c r="M193" s="78"/>
      <c r="N193" s="78"/>
      <c r="O193" s="78"/>
      <c r="P193" s="78"/>
      <c r="Q193" s="78"/>
      <c r="R193" s="78"/>
      <c r="S193" s="78"/>
      <c r="T193" s="78"/>
      <c r="U193" s="78"/>
      <c r="V193" s="78"/>
      <c r="W193" s="78"/>
      <c r="X193" s="78"/>
      <c r="Y193" s="78"/>
      <c r="Z193" s="78"/>
      <c r="AA193" s="78"/>
      <c r="AB193" s="78"/>
      <c r="AC193" s="78"/>
    </row>
    <row r="194" spans="1:29" x14ac:dyDescent="0.3">
      <c r="A194" s="78"/>
      <c r="B194" s="78"/>
      <c r="C194" s="78"/>
      <c r="D194" s="78"/>
      <c r="E194" s="78"/>
      <c r="F194" s="78"/>
      <c r="G194" s="78"/>
      <c r="H194" s="78"/>
      <c r="I194" s="78"/>
      <c r="J194" s="78"/>
      <c r="K194" s="78"/>
      <c r="L194" s="78"/>
      <c r="M194" s="78"/>
      <c r="N194" s="78"/>
      <c r="O194" s="78"/>
      <c r="P194" s="78"/>
      <c r="Q194" s="78"/>
      <c r="R194" s="78"/>
      <c r="S194" s="78"/>
      <c r="T194" s="78"/>
      <c r="U194" s="78"/>
      <c r="V194" s="78"/>
      <c r="W194" s="78"/>
      <c r="X194" s="78"/>
      <c r="Y194" s="78"/>
      <c r="Z194" s="78"/>
      <c r="AA194" s="78"/>
      <c r="AB194" s="78"/>
      <c r="AC194" s="78"/>
    </row>
    <row r="195" spans="1:29" x14ac:dyDescent="0.3">
      <c r="A195" s="78"/>
      <c r="B195" s="78"/>
      <c r="C195" s="78"/>
      <c r="D195" s="78"/>
      <c r="E195" s="78"/>
      <c r="F195" s="78"/>
      <c r="G195" s="78"/>
      <c r="H195" s="78"/>
      <c r="I195" s="78"/>
      <c r="J195" s="78"/>
      <c r="K195" s="78"/>
      <c r="L195" s="78"/>
      <c r="M195" s="78"/>
      <c r="N195" s="78"/>
      <c r="O195" s="78"/>
      <c r="P195" s="78"/>
      <c r="Q195" s="78"/>
      <c r="R195" s="78"/>
      <c r="S195" s="78"/>
      <c r="T195" s="78"/>
      <c r="U195" s="78"/>
      <c r="V195" s="78"/>
      <c r="W195" s="78"/>
      <c r="X195" s="78"/>
      <c r="Y195" s="78"/>
      <c r="Z195" s="78"/>
      <c r="AA195" s="78"/>
      <c r="AB195" s="78"/>
      <c r="AC195" s="78"/>
    </row>
    <row r="196" spans="1:29" x14ac:dyDescent="0.3">
      <c r="A196" s="78"/>
      <c r="B196" s="78"/>
      <c r="C196" s="78"/>
      <c r="D196" s="78"/>
      <c r="E196" s="78"/>
      <c r="F196" s="78"/>
      <c r="G196" s="78"/>
      <c r="H196" s="78"/>
      <c r="I196" s="78"/>
      <c r="J196" s="78"/>
      <c r="K196" s="78"/>
      <c r="L196" s="78"/>
      <c r="M196" s="78"/>
      <c r="N196" s="78"/>
      <c r="O196" s="78"/>
      <c r="P196" s="78"/>
      <c r="Q196" s="78"/>
      <c r="R196" s="78"/>
      <c r="S196" s="78"/>
      <c r="T196" s="78"/>
      <c r="U196" s="78"/>
      <c r="V196" s="78"/>
      <c r="W196" s="78"/>
      <c r="X196" s="78"/>
      <c r="Y196" s="78"/>
      <c r="Z196" s="78"/>
      <c r="AA196" s="78"/>
      <c r="AB196" s="78"/>
      <c r="AC196" s="78"/>
    </row>
    <row r="197" spans="1:29" x14ac:dyDescent="0.3">
      <c r="A197" s="78"/>
      <c r="B197" s="78"/>
      <c r="C197" s="78"/>
      <c r="D197" s="78"/>
      <c r="E197" s="78"/>
      <c r="F197" s="78"/>
      <c r="G197" s="78"/>
      <c r="H197" s="78"/>
      <c r="I197" s="78"/>
      <c r="J197" s="78"/>
      <c r="K197" s="78"/>
      <c r="L197" s="78"/>
      <c r="M197" s="78"/>
      <c r="N197" s="78"/>
      <c r="O197" s="78"/>
      <c r="P197" s="78"/>
      <c r="Q197" s="78"/>
      <c r="R197" s="78"/>
      <c r="S197" s="78"/>
      <c r="T197" s="78"/>
      <c r="U197" s="78"/>
      <c r="V197" s="78"/>
      <c r="W197" s="78"/>
      <c r="X197" s="78"/>
      <c r="Y197" s="78"/>
      <c r="Z197" s="78"/>
      <c r="AA197" s="78"/>
      <c r="AB197" s="78"/>
      <c r="AC197" s="78"/>
    </row>
    <row r="198" spans="1:29" x14ac:dyDescent="0.3">
      <c r="A198" s="78"/>
      <c r="B198" s="78"/>
      <c r="C198" s="78"/>
      <c r="D198" s="78"/>
      <c r="E198" s="78"/>
      <c r="F198" s="78"/>
      <c r="G198" s="78"/>
      <c r="H198" s="78"/>
      <c r="I198" s="78"/>
      <c r="J198" s="78"/>
      <c r="K198" s="78"/>
      <c r="L198" s="78"/>
      <c r="M198" s="78"/>
      <c r="N198" s="78"/>
      <c r="O198" s="78"/>
      <c r="P198" s="78"/>
      <c r="Q198" s="78"/>
      <c r="R198" s="78"/>
      <c r="S198" s="78"/>
      <c r="T198" s="78"/>
      <c r="U198" s="78"/>
      <c r="V198" s="78"/>
      <c r="W198" s="78"/>
      <c r="X198" s="78"/>
      <c r="Y198" s="78"/>
      <c r="Z198" s="78"/>
      <c r="AA198" s="78"/>
      <c r="AB198" s="78"/>
      <c r="AC198" s="78"/>
    </row>
    <row r="199" spans="1:29" x14ac:dyDescent="0.3">
      <c r="A199" s="78"/>
      <c r="B199" s="78"/>
      <c r="C199" s="78"/>
      <c r="D199" s="78"/>
      <c r="E199" s="78"/>
      <c r="F199" s="78"/>
      <c r="G199" s="78"/>
      <c r="H199" s="78"/>
      <c r="I199" s="78"/>
      <c r="J199" s="78"/>
      <c r="K199" s="78"/>
      <c r="L199" s="78"/>
      <c r="M199" s="78"/>
      <c r="N199" s="78"/>
      <c r="O199" s="78"/>
      <c r="P199" s="78"/>
      <c r="Q199" s="78"/>
      <c r="R199" s="78"/>
      <c r="S199" s="78"/>
      <c r="T199" s="78"/>
      <c r="U199" s="78"/>
      <c r="V199" s="78"/>
      <c r="W199" s="78"/>
      <c r="X199" s="78"/>
      <c r="Y199" s="78"/>
      <c r="Z199" s="78"/>
      <c r="AA199" s="78"/>
      <c r="AB199" s="78"/>
      <c r="AC199" s="78"/>
    </row>
    <row r="200" spans="1:29" x14ac:dyDescent="0.3">
      <c r="A200" s="78"/>
      <c r="B200" s="78"/>
      <c r="C200" s="78"/>
      <c r="D200" s="78"/>
      <c r="E200" s="78"/>
      <c r="F200" s="78"/>
      <c r="G200" s="78"/>
      <c r="H200" s="78"/>
      <c r="I200" s="78"/>
      <c r="J200" s="78"/>
      <c r="K200" s="78"/>
      <c r="L200" s="78"/>
      <c r="M200" s="78"/>
      <c r="N200" s="78"/>
      <c r="O200" s="78"/>
      <c r="P200" s="78"/>
      <c r="Q200" s="78"/>
      <c r="R200" s="78"/>
      <c r="S200" s="78"/>
      <c r="T200" s="78"/>
      <c r="U200" s="78"/>
      <c r="V200" s="78"/>
      <c r="W200" s="78"/>
      <c r="X200" s="78"/>
      <c r="Y200" s="78"/>
      <c r="Z200" s="78"/>
      <c r="AA200" s="78"/>
      <c r="AB200" s="78"/>
      <c r="AC200" s="78"/>
    </row>
    <row r="201" spans="1:29" x14ac:dyDescent="0.3">
      <c r="A201" s="78"/>
      <c r="B201" s="78"/>
      <c r="C201" s="78"/>
      <c r="D201" s="78"/>
      <c r="E201" s="78"/>
      <c r="F201" s="78"/>
      <c r="G201" s="78"/>
      <c r="H201" s="78"/>
      <c r="I201" s="78"/>
      <c r="J201" s="78"/>
      <c r="K201" s="78"/>
      <c r="L201" s="78"/>
      <c r="M201" s="78"/>
      <c r="N201" s="78"/>
      <c r="O201" s="78"/>
      <c r="P201" s="78"/>
      <c r="Q201" s="78"/>
      <c r="R201" s="78"/>
      <c r="S201" s="78"/>
      <c r="T201" s="78"/>
      <c r="U201" s="78"/>
      <c r="V201" s="78"/>
      <c r="W201" s="78"/>
      <c r="X201" s="78"/>
      <c r="Y201" s="78"/>
      <c r="Z201" s="78"/>
      <c r="AA201" s="78"/>
      <c r="AB201" s="78"/>
      <c r="AC201" s="78"/>
    </row>
    <row r="202" spans="1:29" x14ac:dyDescent="0.3">
      <c r="A202" s="78"/>
      <c r="B202" s="78"/>
      <c r="C202" s="78"/>
      <c r="D202" s="78"/>
      <c r="E202" s="78"/>
      <c r="F202" s="78"/>
      <c r="G202" s="78"/>
      <c r="H202" s="78"/>
      <c r="I202" s="78"/>
      <c r="J202" s="78"/>
      <c r="K202" s="78"/>
      <c r="L202" s="78"/>
      <c r="M202" s="78"/>
      <c r="N202" s="78"/>
      <c r="O202" s="78"/>
      <c r="P202" s="78"/>
      <c r="Q202" s="78"/>
      <c r="R202" s="78"/>
      <c r="S202" s="78"/>
      <c r="T202" s="78"/>
      <c r="U202" s="78"/>
      <c r="V202" s="78"/>
      <c r="W202" s="78"/>
      <c r="X202" s="78"/>
      <c r="Y202" s="78"/>
      <c r="Z202" s="78"/>
      <c r="AA202" s="78"/>
      <c r="AB202" s="78"/>
      <c r="AC202" s="78"/>
    </row>
    <row r="203" spans="1:29" x14ac:dyDescent="0.3">
      <c r="A203" s="78"/>
      <c r="B203" s="78"/>
      <c r="C203" s="78"/>
      <c r="D203" s="78"/>
      <c r="E203" s="78"/>
      <c r="F203" s="78"/>
      <c r="G203" s="78"/>
      <c r="H203" s="78"/>
      <c r="I203" s="78"/>
      <c r="J203" s="78"/>
      <c r="K203" s="78"/>
      <c r="L203" s="78"/>
      <c r="M203" s="78"/>
      <c r="N203" s="78"/>
      <c r="O203" s="78"/>
      <c r="P203" s="78"/>
      <c r="Q203" s="78"/>
      <c r="R203" s="78"/>
      <c r="S203" s="78"/>
      <c r="T203" s="78"/>
      <c r="U203" s="78"/>
      <c r="V203" s="78"/>
      <c r="W203" s="78"/>
      <c r="X203" s="78"/>
      <c r="Y203" s="78"/>
      <c r="Z203" s="78"/>
      <c r="AA203" s="78"/>
      <c r="AB203" s="78"/>
      <c r="AC203" s="78"/>
    </row>
    <row r="204" spans="1:29" x14ac:dyDescent="0.3">
      <c r="A204" s="78"/>
      <c r="B204" s="78"/>
      <c r="C204" s="78"/>
      <c r="D204" s="78"/>
      <c r="E204" s="78"/>
      <c r="F204" s="78"/>
      <c r="G204" s="78"/>
      <c r="H204" s="78"/>
      <c r="I204" s="78"/>
      <c r="J204" s="78"/>
      <c r="K204" s="78"/>
      <c r="L204" s="78"/>
      <c r="M204" s="78"/>
      <c r="N204" s="78"/>
      <c r="O204" s="78"/>
      <c r="P204" s="78"/>
      <c r="Q204" s="78"/>
      <c r="R204" s="78"/>
      <c r="S204" s="78"/>
      <c r="T204" s="78"/>
      <c r="U204" s="78"/>
      <c r="V204" s="78"/>
      <c r="W204" s="78"/>
      <c r="X204" s="78"/>
      <c r="Y204" s="78"/>
      <c r="Z204" s="78"/>
      <c r="AA204" s="78"/>
      <c r="AB204" s="78"/>
      <c r="AC204" s="78"/>
    </row>
    <row r="205" spans="1:29" x14ac:dyDescent="0.3">
      <c r="A205" s="78"/>
      <c r="B205" s="78"/>
      <c r="C205" s="78"/>
      <c r="D205" s="78"/>
      <c r="E205" s="78"/>
      <c r="F205" s="78"/>
      <c r="G205" s="78"/>
      <c r="H205" s="78"/>
      <c r="I205" s="78"/>
      <c r="J205" s="78"/>
      <c r="K205" s="78"/>
      <c r="L205" s="78"/>
      <c r="M205" s="78"/>
      <c r="N205" s="78"/>
      <c r="O205" s="78"/>
      <c r="P205" s="78"/>
      <c r="Q205" s="78"/>
      <c r="R205" s="78"/>
      <c r="S205" s="78"/>
      <c r="T205" s="78"/>
      <c r="U205" s="78"/>
      <c r="V205" s="78"/>
      <c r="W205" s="78"/>
      <c r="X205" s="78"/>
      <c r="Y205" s="78"/>
      <c r="Z205" s="78"/>
      <c r="AA205" s="78"/>
      <c r="AB205" s="78"/>
      <c r="AC205" s="78"/>
    </row>
    <row r="206" spans="1:29" x14ac:dyDescent="0.3">
      <c r="A206" s="78"/>
      <c r="B206" s="78"/>
      <c r="C206" s="78"/>
      <c r="D206" s="78"/>
      <c r="E206" s="78"/>
      <c r="F206" s="78"/>
      <c r="G206" s="78"/>
      <c r="H206" s="78"/>
      <c r="I206" s="78"/>
      <c r="J206" s="78"/>
      <c r="K206" s="78"/>
      <c r="L206" s="78"/>
      <c r="M206" s="78"/>
      <c r="N206" s="78"/>
      <c r="O206" s="78"/>
      <c r="P206" s="78"/>
      <c r="Q206" s="78"/>
      <c r="R206" s="78"/>
      <c r="S206" s="78"/>
      <c r="T206" s="78"/>
      <c r="U206" s="78"/>
      <c r="V206" s="78"/>
      <c r="W206" s="78"/>
      <c r="X206" s="78"/>
      <c r="Y206" s="78"/>
      <c r="Z206" s="78"/>
      <c r="AA206" s="78"/>
      <c r="AB206" s="78"/>
      <c r="AC206" s="78"/>
    </row>
    <row r="207" spans="1:29" x14ac:dyDescent="0.3">
      <c r="A207" s="78"/>
      <c r="B207" s="78"/>
      <c r="C207" s="78"/>
      <c r="D207" s="78"/>
      <c r="E207" s="78"/>
      <c r="F207" s="78"/>
      <c r="G207" s="78"/>
      <c r="H207" s="78"/>
      <c r="I207" s="78"/>
      <c r="J207" s="78"/>
      <c r="K207" s="78"/>
      <c r="L207" s="78"/>
      <c r="M207" s="78"/>
      <c r="N207" s="78"/>
      <c r="O207" s="78"/>
      <c r="P207" s="78"/>
      <c r="Q207" s="78"/>
      <c r="R207" s="78"/>
      <c r="S207" s="78"/>
      <c r="T207" s="78"/>
      <c r="U207" s="78"/>
      <c r="V207" s="78"/>
      <c r="W207" s="78"/>
      <c r="X207" s="78"/>
      <c r="Y207" s="78"/>
      <c r="Z207" s="78"/>
      <c r="AA207" s="78"/>
      <c r="AB207" s="78"/>
      <c r="AC207" s="78"/>
    </row>
    <row r="208" spans="1:29" x14ac:dyDescent="0.3">
      <c r="A208" s="78"/>
      <c r="B208" s="78"/>
      <c r="C208" s="78"/>
      <c r="D208" s="78"/>
      <c r="E208" s="78"/>
      <c r="F208" s="78"/>
      <c r="G208" s="78"/>
      <c r="H208" s="78"/>
      <c r="I208" s="78"/>
      <c r="J208" s="78"/>
      <c r="K208" s="78"/>
      <c r="L208" s="78"/>
      <c r="M208" s="78"/>
      <c r="N208" s="78"/>
      <c r="O208" s="78"/>
      <c r="P208" s="78"/>
      <c r="Q208" s="78"/>
      <c r="R208" s="78"/>
      <c r="S208" s="78"/>
      <c r="T208" s="78"/>
      <c r="U208" s="78"/>
      <c r="V208" s="78"/>
      <c r="W208" s="78"/>
      <c r="X208" s="78"/>
      <c r="Y208" s="78"/>
      <c r="Z208" s="78"/>
      <c r="AA208" s="78"/>
      <c r="AB208" s="78"/>
      <c r="AC208" s="78"/>
    </row>
    <row r="209" spans="1:29" x14ac:dyDescent="0.3">
      <c r="A209" s="78"/>
      <c r="B209" s="78"/>
      <c r="C209" s="78"/>
      <c r="D209" s="78"/>
      <c r="E209" s="78"/>
      <c r="F209" s="78"/>
      <c r="G209" s="78"/>
      <c r="H209" s="78"/>
      <c r="I209" s="78"/>
      <c r="J209" s="78"/>
      <c r="K209" s="78"/>
      <c r="L209" s="78"/>
      <c r="M209" s="78"/>
      <c r="N209" s="78"/>
      <c r="O209" s="78"/>
      <c r="P209" s="78"/>
      <c r="Q209" s="78"/>
      <c r="R209" s="78"/>
      <c r="S209" s="78"/>
      <c r="T209" s="78"/>
      <c r="U209" s="78"/>
      <c r="V209" s="78"/>
      <c r="W209" s="78"/>
      <c r="X209" s="78"/>
      <c r="Y209" s="78"/>
      <c r="Z209" s="78"/>
      <c r="AA209" s="78"/>
      <c r="AB209" s="78"/>
      <c r="AC209" s="78"/>
    </row>
    <row r="210" spans="1:29" x14ac:dyDescent="0.3">
      <c r="A210" s="78"/>
      <c r="B210" s="78"/>
      <c r="C210" s="78"/>
      <c r="D210" s="78"/>
      <c r="E210" s="78"/>
      <c r="F210" s="78"/>
      <c r="G210" s="78"/>
      <c r="H210" s="78"/>
      <c r="I210" s="78"/>
      <c r="J210" s="78"/>
      <c r="K210" s="78"/>
      <c r="L210" s="78"/>
      <c r="M210" s="78"/>
      <c r="N210" s="78"/>
      <c r="O210" s="78"/>
      <c r="P210" s="78"/>
      <c r="Q210" s="78"/>
      <c r="R210" s="78"/>
      <c r="S210" s="78"/>
      <c r="T210" s="78"/>
      <c r="U210" s="78"/>
      <c r="V210" s="78"/>
      <c r="W210" s="78"/>
      <c r="X210" s="78"/>
      <c r="Y210" s="78"/>
      <c r="Z210" s="78"/>
      <c r="AA210" s="78"/>
      <c r="AB210" s="78"/>
      <c r="AC210" s="78"/>
    </row>
    <row r="211" spans="1:29" x14ac:dyDescent="0.3">
      <c r="A211" s="78"/>
      <c r="B211" s="78"/>
      <c r="C211" s="78"/>
      <c r="D211" s="78"/>
      <c r="E211" s="78"/>
      <c r="F211" s="78"/>
      <c r="G211" s="78"/>
      <c r="H211" s="78"/>
      <c r="I211" s="78"/>
      <c r="J211" s="78"/>
      <c r="K211" s="78"/>
      <c r="L211" s="78"/>
      <c r="M211" s="78"/>
      <c r="N211" s="78"/>
      <c r="O211" s="78"/>
      <c r="P211" s="78"/>
      <c r="Q211" s="78"/>
      <c r="R211" s="78"/>
      <c r="S211" s="78"/>
      <c r="T211" s="78"/>
      <c r="U211" s="78"/>
      <c r="V211" s="78"/>
      <c r="W211" s="78"/>
      <c r="X211" s="78"/>
      <c r="Y211" s="78"/>
      <c r="Z211" s="78"/>
      <c r="AA211" s="78"/>
      <c r="AB211" s="78"/>
      <c r="AC211" s="78"/>
    </row>
    <row r="212" spans="1:29" x14ac:dyDescent="0.3">
      <c r="A212" s="78"/>
      <c r="B212" s="78"/>
      <c r="C212" s="78"/>
      <c r="D212" s="78"/>
      <c r="E212" s="78"/>
      <c r="F212" s="78"/>
      <c r="G212" s="78"/>
      <c r="H212" s="78"/>
      <c r="I212" s="78"/>
      <c r="J212" s="78"/>
      <c r="K212" s="78"/>
      <c r="L212" s="78"/>
      <c r="M212" s="78"/>
      <c r="N212" s="78"/>
      <c r="O212" s="78"/>
      <c r="P212" s="78"/>
      <c r="Q212" s="78"/>
      <c r="R212" s="78"/>
      <c r="S212" s="78"/>
      <c r="T212" s="78"/>
      <c r="U212" s="78"/>
      <c r="V212" s="78"/>
      <c r="W212" s="78"/>
      <c r="X212" s="78"/>
      <c r="Y212" s="78"/>
      <c r="Z212" s="78"/>
      <c r="AA212" s="78"/>
      <c r="AB212" s="78"/>
      <c r="AC212" s="78"/>
    </row>
    <row r="213" spans="1:29" x14ac:dyDescent="0.3">
      <c r="A213" s="78"/>
      <c r="B213" s="78"/>
      <c r="C213" s="78"/>
      <c r="D213" s="78"/>
      <c r="E213" s="78"/>
      <c r="F213" s="78"/>
      <c r="G213" s="78"/>
      <c r="H213" s="78"/>
      <c r="I213" s="78"/>
      <c r="J213" s="78"/>
      <c r="K213" s="78"/>
      <c r="L213" s="78"/>
      <c r="M213" s="78"/>
      <c r="N213" s="78"/>
      <c r="O213" s="78"/>
      <c r="P213" s="78"/>
      <c r="Q213" s="78"/>
      <c r="R213" s="78"/>
      <c r="S213" s="78"/>
      <c r="T213" s="78"/>
      <c r="U213" s="78"/>
      <c r="V213" s="78"/>
      <c r="W213" s="78"/>
      <c r="X213" s="78"/>
      <c r="Y213" s="78"/>
      <c r="Z213" s="78"/>
      <c r="AA213" s="78"/>
      <c r="AB213" s="78"/>
      <c r="AC213" s="78"/>
    </row>
    <row r="214" spans="1:29" x14ac:dyDescent="0.3">
      <c r="A214" s="78"/>
      <c r="B214" s="78"/>
      <c r="C214" s="78"/>
      <c r="D214" s="78"/>
      <c r="E214" s="78"/>
      <c r="F214" s="78"/>
      <c r="G214" s="78"/>
      <c r="H214" s="78"/>
      <c r="I214" s="78"/>
      <c r="J214" s="78"/>
      <c r="K214" s="78"/>
      <c r="L214" s="78"/>
      <c r="M214" s="78"/>
      <c r="N214" s="78"/>
      <c r="O214" s="78"/>
      <c r="P214" s="78"/>
      <c r="Q214" s="78"/>
      <c r="R214" s="78"/>
      <c r="S214" s="78"/>
      <c r="T214" s="78"/>
      <c r="U214" s="78"/>
      <c r="V214" s="78"/>
      <c r="W214" s="78"/>
      <c r="X214" s="78"/>
      <c r="Y214" s="78"/>
      <c r="Z214" s="78"/>
      <c r="AA214" s="78"/>
      <c r="AB214" s="78"/>
      <c r="AC214" s="78"/>
    </row>
    <row r="215" spans="1:29" x14ac:dyDescent="0.3">
      <c r="A215" s="78"/>
      <c r="B215" s="78"/>
      <c r="C215" s="78"/>
      <c r="D215" s="78"/>
      <c r="E215" s="78"/>
      <c r="F215" s="78"/>
      <c r="G215" s="78"/>
      <c r="H215" s="78"/>
      <c r="I215" s="78"/>
      <c r="J215" s="78"/>
      <c r="K215" s="78"/>
      <c r="L215" s="78"/>
      <c r="M215" s="78"/>
      <c r="N215" s="78"/>
      <c r="O215" s="78"/>
      <c r="P215" s="78"/>
      <c r="Q215" s="78"/>
      <c r="R215" s="78"/>
      <c r="S215" s="78"/>
      <c r="T215" s="78"/>
      <c r="U215" s="78"/>
      <c r="V215" s="78"/>
      <c r="W215" s="78"/>
      <c r="X215" s="78"/>
      <c r="Y215" s="78"/>
      <c r="Z215" s="78"/>
      <c r="AA215" s="78"/>
      <c r="AB215" s="78"/>
      <c r="AC215" s="78"/>
    </row>
    <row r="216" spans="1:29" x14ac:dyDescent="0.3">
      <c r="A216" s="78"/>
      <c r="B216" s="78"/>
      <c r="C216" s="78"/>
      <c r="D216" s="78"/>
      <c r="E216" s="78"/>
      <c r="F216" s="78"/>
      <c r="G216" s="78"/>
      <c r="H216" s="78"/>
      <c r="I216" s="78"/>
      <c r="J216" s="78"/>
      <c r="K216" s="78"/>
      <c r="L216" s="78"/>
      <c r="M216" s="78"/>
      <c r="N216" s="78"/>
      <c r="O216" s="78"/>
      <c r="P216" s="78"/>
      <c r="Q216" s="78"/>
      <c r="R216" s="78"/>
      <c r="S216" s="78"/>
      <c r="T216" s="78"/>
      <c r="U216" s="78"/>
      <c r="V216" s="78"/>
      <c r="W216" s="78"/>
      <c r="X216" s="78"/>
      <c r="Y216" s="78"/>
      <c r="Z216" s="78"/>
      <c r="AA216" s="78"/>
      <c r="AB216" s="78"/>
      <c r="AC216" s="78"/>
    </row>
    <row r="217" spans="1:29" x14ac:dyDescent="0.3">
      <c r="A217" s="78"/>
      <c r="B217" s="78"/>
      <c r="C217" s="78"/>
      <c r="D217" s="78"/>
      <c r="E217" s="78"/>
      <c r="F217" s="78"/>
      <c r="G217" s="78"/>
      <c r="H217" s="78"/>
      <c r="I217" s="78"/>
      <c r="J217" s="78"/>
      <c r="K217" s="78"/>
      <c r="L217" s="78"/>
      <c r="M217" s="78"/>
      <c r="N217" s="78"/>
      <c r="O217" s="78"/>
      <c r="P217" s="78"/>
      <c r="Q217" s="78"/>
      <c r="R217" s="78"/>
      <c r="S217" s="78"/>
      <c r="T217" s="78"/>
      <c r="U217" s="78"/>
      <c r="V217" s="78"/>
      <c r="W217" s="78"/>
      <c r="X217" s="78"/>
      <c r="Y217" s="78"/>
      <c r="Z217" s="78"/>
      <c r="AA217" s="78"/>
      <c r="AB217" s="78"/>
      <c r="AC217" s="78"/>
    </row>
    <row r="218" spans="1:29" x14ac:dyDescent="0.3">
      <c r="A218" s="78"/>
      <c r="B218" s="78"/>
      <c r="C218" s="78"/>
      <c r="D218" s="78"/>
      <c r="E218" s="78"/>
      <c r="F218" s="78"/>
      <c r="G218" s="78"/>
      <c r="H218" s="78"/>
      <c r="I218" s="78"/>
      <c r="J218" s="78"/>
      <c r="K218" s="78"/>
      <c r="L218" s="78"/>
      <c r="M218" s="78"/>
      <c r="N218" s="78"/>
      <c r="O218" s="78"/>
      <c r="P218" s="78"/>
      <c r="Q218" s="78"/>
      <c r="R218" s="78"/>
      <c r="S218" s="78"/>
      <c r="T218" s="78"/>
      <c r="U218" s="78"/>
      <c r="V218" s="78"/>
      <c r="W218" s="78"/>
      <c r="X218" s="78"/>
      <c r="Y218" s="78"/>
      <c r="Z218" s="78"/>
      <c r="AA218" s="78"/>
      <c r="AB218" s="78"/>
      <c r="AC218" s="78"/>
    </row>
    <row r="219" spans="1:29" x14ac:dyDescent="0.3">
      <c r="A219" s="78"/>
      <c r="B219" s="78"/>
      <c r="C219" s="78"/>
      <c r="D219" s="78"/>
      <c r="E219" s="78"/>
      <c r="F219" s="78"/>
      <c r="G219" s="78"/>
      <c r="H219" s="78"/>
      <c r="I219" s="78"/>
      <c r="J219" s="78"/>
      <c r="K219" s="78"/>
      <c r="L219" s="78"/>
      <c r="M219" s="78"/>
      <c r="N219" s="78"/>
      <c r="O219" s="78"/>
      <c r="P219" s="78"/>
      <c r="Q219" s="78"/>
      <c r="R219" s="78"/>
      <c r="S219" s="78"/>
      <c r="T219" s="78"/>
      <c r="U219" s="78"/>
      <c r="V219" s="78"/>
      <c r="W219" s="78"/>
      <c r="X219" s="78"/>
      <c r="Y219" s="78"/>
      <c r="Z219" s="78"/>
      <c r="AA219" s="78"/>
      <c r="AB219" s="78"/>
      <c r="AC219" s="78"/>
    </row>
    <row r="220" spans="1:29" x14ac:dyDescent="0.3">
      <c r="A220" s="78"/>
      <c r="B220" s="78"/>
      <c r="C220" s="78"/>
      <c r="D220" s="78"/>
      <c r="E220" s="78"/>
      <c r="F220" s="78"/>
      <c r="G220" s="78"/>
      <c r="H220" s="78"/>
      <c r="I220" s="78"/>
      <c r="J220" s="78"/>
      <c r="K220" s="78"/>
      <c r="L220" s="78"/>
      <c r="M220" s="78"/>
      <c r="N220" s="78"/>
      <c r="O220" s="78"/>
      <c r="P220" s="78"/>
      <c r="Q220" s="78"/>
      <c r="R220" s="78"/>
      <c r="S220" s="78"/>
      <c r="T220" s="78"/>
      <c r="U220" s="78"/>
      <c r="V220" s="78"/>
      <c r="W220" s="78"/>
      <c r="X220" s="78"/>
      <c r="Y220" s="78"/>
      <c r="Z220" s="78"/>
      <c r="AA220" s="78"/>
      <c r="AB220" s="78"/>
      <c r="AC220" s="78"/>
    </row>
    <row r="221" spans="1:29" x14ac:dyDescent="0.3">
      <c r="A221" s="78"/>
      <c r="B221" s="78"/>
      <c r="C221" s="78"/>
      <c r="D221" s="78"/>
      <c r="E221" s="78"/>
      <c r="F221" s="78"/>
      <c r="G221" s="78"/>
      <c r="H221" s="78"/>
      <c r="I221" s="78"/>
      <c r="J221" s="78"/>
      <c r="K221" s="78"/>
      <c r="L221" s="78"/>
      <c r="M221" s="78"/>
      <c r="N221" s="78"/>
      <c r="O221" s="78"/>
      <c r="P221" s="78"/>
      <c r="Q221" s="78"/>
      <c r="R221" s="78"/>
      <c r="S221" s="78"/>
      <c r="T221" s="78"/>
      <c r="U221" s="78"/>
      <c r="V221" s="78"/>
      <c r="W221" s="78"/>
      <c r="X221" s="78"/>
      <c r="Y221" s="78"/>
      <c r="Z221" s="78"/>
      <c r="AA221" s="78"/>
      <c r="AB221" s="78"/>
      <c r="AC221" s="78"/>
    </row>
    <row r="222" spans="1:29" x14ac:dyDescent="0.3">
      <c r="A222" s="78"/>
      <c r="B222" s="78"/>
      <c r="C222" s="78"/>
      <c r="D222" s="78"/>
      <c r="E222" s="78"/>
      <c r="F222" s="78"/>
      <c r="G222" s="78"/>
      <c r="H222" s="78"/>
      <c r="I222" s="78"/>
      <c r="J222" s="78"/>
      <c r="K222" s="78"/>
      <c r="L222" s="78"/>
      <c r="M222" s="78"/>
      <c r="N222" s="78"/>
      <c r="O222" s="78"/>
      <c r="P222" s="78"/>
      <c r="Q222" s="78"/>
      <c r="R222" s="78"/>
      <c r="S222" s="78"/>
      <c r="T222" s="78"/>
      <c r="U222" s="78"/>
      <c r="V222" s="78"/>
      <c r="W222" s="78"/>
      <c r="X222" s="78"/>
      <c r="Y222" s="78"/>
      <c r="Z222" s="78"/>
      <c r="AA222" s="78"/>
      <c r="AB222" s="78"/>
      <c r="AC222" s="78"/>
    </row>
    <row r="223" spans="1:29" x14ac:dyDescent="0.3">
      <c r="A223" s="78"/>
      <c r="B223" s="78"/>
      <c r="C223" s="78"/>
      <c r="D223" s="78"/>
      <c r="E223" s="78"/>
      <c r="F223" s="78"/>
      <c r="G223" s="78"/>
      <c r="H223" s="78"/>
      <c r="I223" s="78"/>
      <c r="J223" s="78"/>
      <c r="K223" s="78"/>
      <c r="L223" s="78"/>
      <c r="M223" s="78"/>
      <c r="N223" s="78"/>
      <c r="O223" s="78"/>
      <c r="P223" s="78"/>
      <c r="Q223" s="78"/>
      <c r="R223" s="78"/>
      <c r="S223" s="78"/>
      <c r="T223" s="78"/>
      <c r="U223" s="78"/>
      <c r="V223" s="78"/>
      <c r="W223" s="78"/>
      <c r="X223" s="78"/>
      <c r="Y223" s="78"/>
      <c r="Z223" s="78"/>
      <c r="AA223" s="78"/>
      <c r="AB223" s="78"/>
      <c r="AC223" s="78"/>
    </row>
    <row r="224" spans="1:29" x14ac:dyDescent="0.3">
      <c r="A224" s="78"/>
      <c r="B224" s="78"/>
      <c r="C224" s="78"/>
      <c r="D224" s="78"/>
      <c r="E224" s="78"/>
      <c r="F224" s="78"/>
      <c r="G224" s="78"/>
      <c r="H224" s="78"/>
      <c r="I224" s="78"/>
      <c r="J224" s="78"/>
      <c r="K224" s="78"/>
      <c r="L224" s="78"/>
      <c r="M224" s="78"/>
      <c r="N224" s="78"/>
      <c r="O224" s="78"/>
      <c r="P224" s="78"/>
      <c r="Q224" s="78"/>
      <c r="R224" s="78"/>
      <c r="S224" s="78"/>
      <c r="T224" s="78"/>
      <c r="U224" s="78"/>
      <c r="V224" s="78"/>
      <c r="W224" s="78"/>
      <c r="X224" s="78"/>
      <c r="Y224" s="78"/>
      <c r="Z224" s="78"/>
      <c r="AA224" s="78"/>
      <c r="AB224" s="78"/>
      <c r="AC224" s="78"/>
    </row>
    <row r="225" spans="1:29" x14ac:dyDescent="0.3">
      <c r="A225" s="78"/>
      <c r="B225" s="78"/>
      <c r="C225" s="78"/>
      <c r="D225" s="78"/>
      <c r="E225" s="78"/>
      <c r="F225" s="78"/>
      <c r="G225" s="78"/>
      <c r="H225" s="78"/>
      <c r="I225" s="78"/>
      <c r="J225" s="78"/>
      <c r="K225" s="78"/>
      <c r="L225" s="78"/>
      <c r="M225" s="78"/>
      <c r="N225" s="78"/>
      <c r="O225" s="78"/>
      <c r="P225" s="78"/>
      <c r="Q225" s="78"/>
      <c r="R225" s="78"/>
      <c r="S225" s="78"/>
      <c r="T225" s="78"/>
      <c r="U225" s="78"/>
      <c r="V225" s="78"/>
      <c r="W225" s="78"/>
      <c r="X225" s="78"/>
      <c r="Y225" s="78"/>
      <c r="Z225" s="78"/>
      <c r="AA225" s="78"/>
      <c r="AB225" s="78"/>
      <c r="AC225" s="78"/>
    </row>
    <row r="226" spans="1:29" x14ac:dyDescent="0.3">
      <c r="A226" s="78"/>
      <c r="B226" s="78"/>
      <c r="C226" s="78"/>
      <c r="D226" s="78"/>
      <c r="E226" s="78"/>
      <c r="F226" s="78"/>
      <c r="G226" s="78"/>
      <c r="H226" s="78"/>
      <c r="I226" s="78"/>
      <c r="J226" s="78"/>
      <c r="K226" s="78"/>
      <c r="L226" s="78"/>
      <c r="M226" s="78"/>
      <c r="N226" s="78"/>
      <c r="O226" s="78"/>
      <c r="P226" s="78"/>
      <c r="Q226" s="78"/>
      <c r="R226" s="78"/>
      <c r="S226" s="78"/>
      <c r="T226" s="78"/>
      <c r="U226" s="78"/>
      <c r="V226" s="78"/>
      <c r="W226" s="78"/>
      <c r="X226" s="78"/>
      <c r="Y226" s="78"/>
      <c r="Z226" s="78"/>
      <c r="AA226" s="78"/>
      <c r="AB226" s="78"/>
      <c r="AC226" s="78"/>
    </row>
    <row r="227" spans="1:29" x14ac:dyDescent="0.3">
      <c r="A227" s="78"/>
      <c r="B227" s="78"/>
      <c r="C227" s="78"/>
      <c r="D227" s="78"/>
      <c r="E227" s="78"/>
      <c r="F227" s="78"/>
      <c r="G227" s="78"/>
      <c r="H227" s="78"/>
      <c r="I227" s="78"/>
      <c r="J227" s="78"/>
      <c r="K227" s="78"/>
      <c r="L227" s="78"/>
      <c r="M227" s="78"/>
      <c r="N227" s="78"/>
      <c r="O227" s="78"/>
      <c r="P227" s="78"/>
      <c r="Q227" s="78"/>
      <c r="R227" s="78"/>
      <c r="S227" s="78"/>
      <c r="T227" s="78"/>
      <c r="U227" s="78"/>
      <c r="V227" s="78"/>
      <c r="W227" s="78"/>
      <c r="X227" s="78"/>
      <c r="Y227" s="78"/>
      <c r="Z227" s="78"/>
      <c r="AA227" s="78"/>
      <c r="AB227" s="78"/>
      <c r="AC227" s="78"/>
    </row>
    <row r="228" spans="1:29" x14ac:dyDescent="0.3">
      <c r="A228" s="78"/>
      <c r="B228" s="78"/>
      <c r="C228" s="78"/>
      <c r="D228" s="78"/>
      <c r="E228" s="78"/>
      <c r="F228" s="78"/>
      <c r="G228" s="78"/>
      <c r="H228" s="78"/>
      <c r="I228" s="78"/>
      <c r="J228" s="78"/>
      <c r="K228" s="78"/>
      <c r="L228" s="78"/>
      <c r="M228" s="78"/>
      <c r="N228" s="78"/>
      <c r="O228" s="78"/>
      <c r="P228" s="78"/>
      <c r="Q228" s="78"/>
      <c r="R228" s="78"/>
      <c r="S228" s="78"/>
      <c r="T228" s="78"/>
      <c r="U228" s="78"/>
      <c r="V228" s="78"/>
      <c r="W228" s="78"/>
      <c r="X228" s="78"/>
      <c r="Y228" s="78"/>
      <c r="Z228" s="78"/>
      <c r="AA228" s="78"/>
      <c r="AB228" s="78"/>
      <c r="AC228" s="78"/>
    </row>
    <row r="229" spans="1:29" x14ac:dyDescent="0.3">
      <c r="A229" s="78"/>
      <c r="B229" s="78"/>
      <c r="C229" s="78"/>
      <c r="D229" s="78"/>
      <c r="E229" s="78"/>
      <c r="F229" s="78"/>
      <c r="G229" s="78"/>
      <c r="H229" s="78"/>
      <c r="I229" s="78"/>
      <c r="J229" s="78"/>
      <c r="K229" s="78"/>
      <c r="L229" s="78"/>
      <c r="M229" s="78"/>
      <c r="N229" s="78"/>
      <c r="O229" s="78"/>
      <c r="P229" s="78"/>
      <c r="Q229" s="78"/>
      <c r="R229" s="78"/>
      <c r="S229" s="78"/>
      <c r="T229" s="78"/>
      <c r="U229" s="78"/>
      <c r="V229" s="78"/>
      <c r="W229" s="78"/>
      <c r="X229" s="78"/>
      <c r="Y229" s="78"/>
      <c r="Z229" s="78"/>
      <c r="AA229" s="78"/>
      <c r="AB229" s="78"/>
      <c r="AC229" s="78"/>
    </row>
    <row r="230" spans="1:29" x14ac:dyDescent="0.3">
      <c r="A230" s="78"/>
      <c r="B230" s="78"/>
      <c r="C230" s="78"/>
      <c r="D230" s="78"/>
      <c r="E230" s="78"/>
      <c r="F230" s="78"/>
      <c r="G230" s="78"/>
      <c r="H230" s="78"/>
      <c r="I230" s="78"/>
      <c r="J230" s="78"/>
      <c r="K230" s="78"/>
      <c r="L230" s="78"/>
      <c r="M230" s="78"/>
      <c r="N230" s="78"/>
      <c r="O230" s="78"/>
      <c r="P230" s="78"/>
      <c r="Q230" s="78"/>
      <c r="R230" s="78"/>
      <c r="S230" s="78"/>
      <c r="T230" s="78"/>
      <c r="U230" s="78"/>
      <c r="V230" s="78"/>
      <c r="W230" s="78"/>
      <c r="X230" s="78"/>
      <c r="Y230" s="78"/>
      <c r="Z230" s="78"/>
      <c r="AA230" s="78"/>
      <c r="AB230" s="78"/>
      <c r="AC230" s="78"/>
    </row>
    <row r="231" spans="1:29" x14ac:dyDescent="0.3">
      <c r="A231" s="78"/>
      <c r="B231" s="78"/>
      <c r="C231" s="78"/>
      <c r="D231" s="78"/>
      <c r="E231" s="78"/>
      <c r="F231" s="78"/>
      <c r="G231" s="78"/>
      <c r="H231" s="78"/>
      <c r="I231" s="78"/>
      <c r="J231" s="78"/>
      <c r="K231" s="78"/>
      <c r="L231" s="78"/>
      <c r="M231" s="78"/>
      <c r="N231" s="78"/>
      <c r="O231" s="78"/>
      <c r="P231" s="78"/>
      <c r="Q231" s="78"/>
      <c r="R231" s="78"/>
      <c r="S231" s="78"/>
      <c r="T231" s="78"/>
      <c r="U231" s="78"/>
      <c r="V231" s="78"/>
      <c r="W231" s="78"/>
      <c r="X231" s="78"/>
      <c r="Y231" s="78"/>
      <c r="Z231" s="78"/>
      <c r="AA231" s="78"/>
      <c r="AB231" s="78"/>
      <c r="AC231" s="78"/>
    </row>
    <row r="232" spans="1:29" x14ac:dyDescent="0.3">
      <c r="A232" s="78"/>
      <c r="B232" s="78"/>
      <c r="C232" s="78"/>
      <c r="D232" s="78"/>
      <c r="E232" s="78"/>
      <c r="F232" s="78"/>
      <c r="G232" s="78"/>
      <c r="H232" s="78"/>
      <c r="I232" s="78"/>
      <c r="J232" s="78"/>
      <c r="K232" s="78"/>
      <c r="L232" s="78"/>
      <c r="M232" s="78"/>
      <c r="N232" s="78"/>
      <c r="O232" s="78"/>
      <c r="P232" s="78"/>
      <c r="Q232" s="78"/>
      <c r="R232" s="78"/>
      <c r="S232" s="78"/>
      <c r="T232" s="78"/>
      <c r="U232" s="78"/>
      <c r="V232" s="78"/>
      <c r="W232" s="78"/>
      <c r="X232" s="78"/>
      <c r="Y232" s="78"/>
      <c r="Z232" s="78"/>
      <c r="AA232" s="78"/>
      <c r="AB232" s="78"/>
      <c r="AC232" s="78"/>
    </row>
    <row r="233" spans="1:29" x14ac:dyDescent="0.3">
      <c r="A233" s="78"/>
      <c r="B233" s="78"/>
      <c r="C233" s="78"/>
      <c r="D233" s="78"/>
      <c r="E233" s="78"/>
      <c r="F233" s="78"/>
      <c r="G233" s="78"/>
      <c r="H233" s="78"/>
      <c r="I233" s="78"/>
      <c r="J233" s="78"/>
      <c r="K233" s="78"/>
      <c r="L233" s="78"/>
      <c r="M233" s="78"/>
      <c r="N233" s="78"/>
      <c r="O233" s="78"/>
      <c r="P233" s="78"/>
      <c r="Q233" s="78"/>
      <c r="R233" s="78"/>
      <c r="S233" s="78"/>
      <c r="T233" s="78"/>
      <c r="U233" s="78"/>
      <c r="V233" s="78"/>
      <c r="W233" s="78"/>
      <c r="X233" s="78"/>
      <c r="Y233" s="78"/>
      <c r="Z233" s="78"/>
      <c r="AA233" s="78"/>
      <c r="AB233" s="78"/>
      <c r="AC233" s="78"/>
    </row>
    <row r="234" spans="1:29" x14ac:dyDescent="0.3">
      <c r="A234" s="78"/>
      <c r="B234" s="78"/>
      <c r="C234" s="78"/>
      <c r="D234" s="78"/>
      <c r="E234" s="78"/>
      <c r="F234" s="78"/>
      <c r="G234" s="78"/>
      <c r="H234" s="78"/>
      <c r="I234" s="78"/>
      <c r="J234" s="78"/>
      <c r="K234" s="78"/>
      <c r="L234" s="78"/>
      <c r="M234" s="78"/>
      <c r="N234" s="78"/>
      <c r="O234" s="78"/>
      <c r="P234" s="78"/>
      <c r="Q234" s="78"/>
      <c r="R234" s="78"/>
      <c r="S234" s="78"/>
      <c r="T234" s="78"/>
      <c r="U234" s="78"/>
      <c r="V234" s="78"/>
      <c r="W234" s="78"/>
      <c r="X234" s="78"/>
      <c r="Y234" s="78"/>
      <c r="Z234" s="78"/>
      <c r="AA234" s="78"/>
      <c r="AB234" s="78"/>
      <c r="AC234" s="78"/>
    </row>
    <row r="235" spans="1:29" x14ac:dyDescent="0.3">
      <c r="A235" s="78"/>
      <c r="B235" s="78"/>
      <c r="C235" s="78"/>
      <c r="D235" s="78"/>
      <c r="E235" s="78"/>
      <c r="F235" s="78"/>
      <c r="G235" s="78"/>
      <c r="H235" s="78"/>
      <c r="I235" s="78"/>
      <c r="J235" s="78"/>
      <c r="K235" s="78"/>
      <c r="L235" s="78"/>
      <c r="M235" s="78"/>
      <c r="N235" s="78"/>
      <c r="O235" s="78"/>
      <c r="P235" s="78"/>
      <c r="Q235" s="78"/>
      <c r="R235" s="78"/>
      <c r="S235" s="78"/>
      <c r="T235" s="78"/>
      <c r="U235" s="78"/>
      <c r="V235" s="78"/>
      <c r="W235" s="78"/>
      <c r="X235" s="78"/>
      <c r="Y235" s="78"/>
      <c r="Z235" s="78"/>
      <c r="AA235" s="78"/>
      <c r="AB235" s="78"/>
      <c r="AC235" s="78"/>
    </row>
    <row r="236" spans="1:29" x14ac:dyDescent="0.3">
      <c r="A236" s="78"/>
      <c r="B236" s="78"/>
      <c r="C236" s="78"/>
      <c r="D236" s="78"/>
      <c r="E236" s="78"/>
      <c r="F236" s="78"/>
      <c r="G236" s="78"/>
      <c r="H236" s="78"/>
      <c r="I236" s="78"/>
      <c r="J236" s="78"/>
      <c r="K236" s="78"/>
      <c r="L236" s="78"/>
      <c r="M236" s="78"/>
      <c r="N236" s="78"/>
      <c r="O236" s="78"/>
      <c r="P236" s="78"/>
      <c r="Q236" s="78"/>
      <c r="R236" s="78"/>
      <c r="S236" s="78"/>
      <c r="T236" s="78"/>
      <c r="U236" s="78"/>
      <c r="V236" s="78"/>
      <c r="W236" s="78"/>
      <c r="X236" s="78"/>
      <c r="Y236" s="78"/>
      <c r="Z236" s="78"/>
      <c r="AA236" s="78"/>
      <c r="AB236" s="78"/>
      <c r="AC236" s="78"/>
    </row>
    <row r="237" spans="1:29" x14ac:dyDescent="0.3">
      <c r="A237" s="78"/>
      <c r="B237" s="78"/>
      <c r="C237" s="78"/>
      <c r="D237" s="78"/>
      <c r="E237" s="78"/>
      <c r="F237" s="78"/>
      <c r="G237" s="78"/>
      <c r="H237" s="78"/>
      <c r="I237" s="78"/>
      <c r="J237" s="78"/>
      <c r="K237" s="78"/>
      <c r="L237" s="78"/>
      <c r="M237" s="78"/>
      <c r="N237" s="78"/>
      <c r="O237" s="78"/>
      <c r="P237" s="78"/>
      <c r="Q237" s="78"/>
      <c r="R237" s="78"/>
      <c r="S237" s="78"/>
      <c r="T237" s="78"/>
      <c r="U237" s="78"/>
      <c r="V237" s="78"/>
      <c r="W237" s="78"/>
      <c r="X237" s="78"/>
      <c r="Y237" s="78"/>
      <c r="Z237" s="78"/>
      <c r="AA237" s="78"/>
      <c r="AB237" s="78"/>
      <c r="AC237" s="78"/>
    </row>
    <row r="238" spans="1:29" x14ac:dyDescent="0.3">
      <c r="A238" s="78"/>
      <c r="B238" s="78"/>
      <c r="C238" s="78"/>
      <c r="D238" s="78"/>
      <c r="E238" s="78"/>
      <c r="F238" s="78"/>
      <c r="G238" s="78"/>
      <c r="H238" s="78"/>
      <c r="I238" s="78"/>
      <c r="J238" s="78"/>
      <c r="K238" s="78"/>
      <c r="L238" s="78"/>
      <c r="M238" s="78"/>
      <c r="N238" s="78"/>
      <c r="O238" s="78"/>
      <c r="P238" s="78"/>
      <c r="Q238" s="78"/>
      <c r="R238" s="78"/>
      <c r="S238" s="78"/>
      <c r="T238" s="78"/>
      <c r="U238" s="78"/>
      <c r="V238" s="78"/>
      <c r="W238" s="78"/>
      <c r="X238" s="78"/>
      <c r="Y238" s="78"/>
      <c r="Z238" s="78"/>
      <c r="AA238" s="78"/>
      <c r="AB238" s="78"/>
      <c r="AC238" s="78"/>
    </row>
    <row r="239" spans="1:29" x14ac:dyDescent="0.3">
      <c r="A239" s="78"/>
      <c r="B239" s="78"/>
      <c r="C239" s="78"/>
      <c r="D239" s="78"/>
      <c r="E239" s="78"/>
      <c r="F239" s="78"/>
      <c r="G239" s="78"/>
      <c r="H239" s="78"/>
      <c r="I239" s="78"/>
      <c r="J239" s="78"/>
      <c r="K239" s="78"/>
      <c r="L239" s="78"/>
      <c r="M239" s="78"/>
      <c r="N239" s="78"/>
      <c r="O239" s="78"/>
      <c r="P239" s="78"/>
      <c r="Q239" s="78"/>
      <c r="R239" s="78"/>
      <c r="S239" s="78"/>
      <c r="T239" s="78"/>
      <c r="U239" s="78"/>
      <c r="V239" s="78"/>
      <c r="W239" s="78"/>
      <c r="X239" s="78"/>
      <c r="Y239" s="78"/>
      <c r="Z239" s="78"/>
      <c r="AA239" s="78"/>
      <c r="AB239" s="78"/>
      <c r="AC239" s="78"/>
    </row>
    <row r="240" spans="1:29" x14ac:dyDescent="0.3">
      <c r="A240" s="78"/>
      <c r="B240" s="78"/>
      <c r="C240" s="78"/>
      <c r="D240" s="78"/>
      <c r="E240" s="78"/>
      <c r="F240" s="78"/>
      <c r="G240" s="78"/>
      <c r="H240" s="78"/>
      <c r="I240" s="78"/>
      <c r="J240" s="78"/>
      <c r="K240" s="78"/>
      <c r="L240" s="78"/>
      <c r="M240" s="78"/>
      <c r="N240" s="78"/>
      <c r="O240" s="78"/>
      <c r="P240" s="78"/>
      <c r="Q240" s="78"/>
      <c r="R240" s="78"/>
      <c r="S240" s="78"/>
      <c r="T240" s="78"/>
      <c r="U240" s="78"/>
      <c r="V240" s="78"/>
      <c r="W240" s="78"/>
      <c r="X240" s="78"/>
      <c r="Y240" s="78"/>
      <c r="Z240" s="78"/>
      <c r="AA240" s="78"/>
      <c r="AB240" s="78"/>
      <c r="AC240" s="78"/>
    </row>
    <row r="241" spans="1:29" x14ac:dyDescent="0.3">
      <c r="A241" s="78"/>
      <c r="B241" s="78"/>
      <c r="C241" s="78"/>
      <c r="D241" s="78"/>
      <c r="E241" s="78"/>
      <c r="F241" s="78"/>
      <c r="G241" s="78"/>
      <c r="H241" s="78"/>
      <c r="I241" s="78"/>
      <c r="J241" s="78"/>
      <c r="K241" s="78"/>
      <c r="L241" s="78"/>
      <c r="M241" s="78"/>
      <c r="N241" s="78"/>
      <c r="O241" s="78"/>
      <c r="P241" s="78"/>
      <c r="Q241" s="78"/>
      <c r="R241" s="78"/>
      <c r="S241" s="78"/>
      <c r="T241" s="78"/>
      <c r="U241" s="78"/>
      <c r="V241" s="78"/>
      <c r="W241" s="78"/>
      <c r="X241" s="78"/>
      <c r="Y241" s="78"/>
      <c r="Z241" s="78"/>
      <c r="AA241" s="78"/>
      <c r="AB241" s="78"/>
      <c r="AC241" s="78"/>
    </row>
    <row r="242" spans="1:29" x14ac:dyDescent="0.3">
      <c r="A242" s="78"/>
      <c r="B242" s="78"/>
      <c r="C242" s="78"/>
      <c r="D242" s="78"/>
      <c r="E242" s="78"/>
      <c r="F242" s="78"/>
      <c r="G242" s="78"/>
      <c r="H242" s="78"/>
      <c r="I242" s="78"/>
      <c r="J242" s="78"/>
      <c r="K242" s="78"/>
      <c r="L242" s="78"/>
      <c r="M242" s="78"/>
      <c r="N242" s="78"/>
      <c r="O242" s="78"/>
      <c r="P242" s="78"/>
      <c r="Q242" s="78"/>
      <c r="R242" s="78"/>
      <c r="S242" s="78"/>
      <c r="T242" s="78"/>
      <c r="U242" s="78"/>
      <c r="V242" s="78"/>
      <c r="W242" s="78"/>
      <c r="X242" s="78"/>
      <c r="Y242" s="78"/>
      <c r="Z242" s="78"/>
      <c r="AA242" s="78"/>
      <c r="AB242" s="78"/>
      <c r="AC242" s="78"/>
    </row>
    <row r="243" spans="1:29" x14ac:dyDescent="0.3">
      <c r="A243" s="78"/>
      <c r="B243" s="78"/>
      <c r="C243" s="78"/>
      <c r="D243" s="78"/>
      <c r="E243" s="78"/>
      <c r="F243" s="78"/>
      <c r="G243" s="78"/>
      <c r="H243" s="78"/>
      <c r="I243" s="78"/>
      <c r="J243" s="78"/>
      <c r="K243" s="78"/>
      <c r="L243" s="78"/>
      <c r="M243" s="78"/>
      <c r="N243" s="78"/>
      <c r="O243" s="78"/>
      <c r="P243" s="78"/>
      <c r="Q243" s="78"/>
      <c r="R243" s="78"/>
      <c r="S243" s="78"/>
      <c r="T243" s="78"/>
      <c r="U243" s="78"/>
      <c r="V243" s="78"/>
      <c r="W243" s="78"/>
      <c r="X243" s="78"/>
      <c r="Y243" s="78"/>
      <c r="Z243" s="78"/>
      <c r="AA243" s="78"/>
      <c r="AB243" s="78"/>
      <c r="AC243" s="78"/>
    </row>
    <row r="244" spans="1:29" x14ac:dyDescent="0.3">
      <c r="A244" s="78"/>
      <c r="B244" s="78"/>
      <c r="C244" s="78"/>
      <c r="D244" s="78"/>
      <c r="E244" s="78"/>
      <c r="F244" s="78"/>
      <c r="G244" s="78"/>
      <c r="H244" s="78"/>
      <c r="I244" s="78"/>
      <c r="J244" s="78"/>
      <c r="K244" s="78"/>
      <c r="L244" s="78"/>
      <c r="M244" s="78"/>
      <c r="N244" s="78"/>
      <c r="O244" s="78"/>
      <c r="P244" s="78"/>
      <c r="Q244" s="78"/>
      <c r="R244" s="78"/>
      <c r="S244" s="78"/>
      <c r="T244" s="78"/>
      <c r="U244" s="78"/>
      <c r="V244" s="78"/>
      <c r="W244" s="78"/>
      <c r="X244" s="78"/>
      <c r="Y244" s="78"/>
      <c r="Z244" s="78"/>
      <c r="AA244" s="78"/>
      <c r="AB244" s="78"/>
      <c r="AC244" s="78"/>
    </row>
    <row r="245" spans="1:29" x14ac:dyDescent="0.3">
      <c r="A245" s="78"/>
      <c r="B245" s="78"/>
      <c r="C245" s="78"/>
      <c r="D245" s="78"/>
      <c r="E245" s="78"/>
      <c r="F245" s="78"/>
      <c r="G245" s="78"/>
      <c r="H245" s="78"/>
      <c r="I245" s="78"/>
      <c r="J245" s="78"/>
      <c r="K245" s="78"/>
      <c r="L245" s="78"/>
      <c r="M245" s="78"/>
      <c r="N245" s="78"/>
      <c r="O245" s="78"/>
      <c r="P245" s="78"/>
      <c r="Q245" s="78"/>
      <c r="R245" s="78"/>
      <c r="S245" s="78"/>
      <c r="T245" s="78"/>
      <c r="U245" s="78"/>
      <c r="V245" s="78"/>
      <c r="W245" s="78"/>
      <c r="X245" s="78"/>
      <c r="Y245" s="78"/>
      <c r="Z245" s="78"/>
      <c r="AA245" s="78"/>
      <c r="AB245" s="78"/>
      <c r="AC245" s="78"/>
    </row>
    <row r="246" spans="1:29" x14ac:dyDescent="0.3">
      <c r="A246" s="78"/>
      <c r="B246" s="78"/>
      <c r="C246" s="78"/>
      <c r="D246" s="78"/>
      <c r="E246" s="78"/>
      <c r="F246" s="78"/>
      <c r="G246" s="78"/>
      <c r="H246" s="78"/>
      <c r="I246" s="78"/>
      <c r="J246" s="78"/>
      <c r="K246" s="78"/>
      <c r="L246" s="78"/>
      <c r="M246" s="78"/>
      <c r="N246" s="78"/>
      <c r="O246" s="78"/>
      <c r="P246" s="78"/>
      <c r="Q246" s="78"/>
      <c r="R246" s="78"/>
      <c r="S246" s="78"/>
      <c r="T246" s="78"/>
      <c r="U246" s="78"/>
      <c r="V246" s="78"/>
      <c r="W246" s="78"/>
      <c r="X246" s="78"/>
      <c r="Y246" s="78"/>
      <c r="Z246" s="78"/>
      <c r="AA246" s="78"/>
      <c r="AB246" s="78"/>
      <c r="AC246" s="78"/>
    </row>
    <row r="247" spans="1:29" x14ac:dyDescent="0.3">
      <c r="A247" s="78"/>
      <c r="B247" s="78"/>
      <c r="C247" s="78"/>
      <c r="D247" s="78"/>
      <c r="E247" s="78"/>
      <c r="F247" s="78"/>
      <c r="G247" s="78"/>
      <c r="H247" s="78"/>
      <c r="I247" s="78"/>
      <c r="J247" s="78"/>
      <c r="K247" s="78"/>
      <c r="L247" s="78"/>
      <c r="M247" s="78"/>
      <c r="N247" s="78"/>
      <c r="O247" s="78"/>
      <c r="P247" s="78"/>
      <c r="Q247" s="78"/>
      <c r="R247" s="78"/>
      <c r="S247" s="78"/>
      <c r="T247" s="78"/>
      <c r="U247" s="78"/>
      <c r="V247" s="78"/>
      <c r="W247" s="78"/>
      <c r="X247" s="78"/>
      <c r="Y247" s="78"/>
      <c r="Z247" s="78"/>
      <c r="AA247" s="78"/>
      <c r="AB247" s="78"/>
      <c r="AC247" s="78"/>
    </row>
    <row r="248" spans="1:29" x14ac:dyDescent="0.3">
      <c r="A248" s="78"/>
      <c r="B248" s="78"/>
      <c r="C248" s="78"/>
      <c r="D248" s="78"/>
      <c r="E248" s="78"/>
      <c r="F248" s="78"/>
      <c r="G248" s="78"/>
      <c r="H248" s="78"/>
      <c r="I248" s="78"/>
      <c r="J248" s="78"/>
      <c r="K248" s="78"/>
      <c r="L248" s="78"/>
      <c r="M248" s="78"/>
      <c r="N248" s="78"/>
      <c r="O248" s="78"/>
      <c r="P248" s="78"/>
      <c r="Q248" s="78"/>
      <c r="R248" s="78"/>
      <c r="S248" s="78"/>
      <c r="T248" s="78"/>
      <c r="U248" s="78"/>
      <c r="V248" s="78"/>
      <c r="W248" s="78"/>
      <c r="X248" s="78"/>
      <c r="Y248" s="78"/>
      <c r="Z248" s="78"/>
      <c r="AA248" s="78"/>
      <c r="AB248" s="78"/>
      <c r="AC248" s="78"/>
    </row>
    <row r="249" spans="1:29" x14ac:dyDescent="0.3">
      <c r="A249" s="78"/>
      <c r="B249" s="78"/>
      <c r="C249" s="78"/>
      <c r="D249" s="78"/>
      <c r="E249" s="78"/>
      <c r="F249" s="78"/>
      <c r="G249" s="78"/>
      <c r="H249" s="78"/>
      <c r="I249" s="78"/>
      <c r="J249" s="78"/>
      <c r="K249" s="78"/>
      <c r="L249" s="78"/>
      <c r="M249" s="78"/>
      <c r="N249" s="78"/>
      <c r="O249" s="78"/>
      <c r="P249" s="78"/>
      <c r="Q249" s="78"/>
      <c r="R249" s="78"/>
      <c r="S249" s="78"/>
      <c r="T249" s="78"/>
      <c r="U249" s="78"/>
      <c r="V249" s="78"/>
      <c r="W249" s="78"/>
      <c r="X249" s="78"/>
      <c r="Y249" s="78"/>
      <c r="Z249" s="78"/>
      <c r="AA249" s="78"/>
      <c r="AB249" s="78"/>
      <c r="AC249" s="78"/>
    </row>
    <row r="250" spans="1:29" x14ac:dyDescent="0.3">
      <c r="A250" s="78"/>
      <c r="B250" s="78"/>
      <c r="C250" s="78"/>
      <c r="D250" s="78"/>
      <c r="E250" s="78"/>
      <c r="F250" s="78"/>
      <c r="G250" s="78"/>
      <c r="H250" s="78"/>
      <c r="I250" s="78"/>
      <c r="J250" s="78"/>
      <c r="K250" s="78"/>
      <c r="L250" s="78"/>
      <c r="M250" s="78"/>
      <c r="N250" s="78"/>
      <c r="O250" s="78"/>
      <c r="P250" s="78"/>
      <c r="Q250" s="78"/>
      <c r="R250" s="78"/>
      <c r="S250" s="78"/>
      <c r="T250" s="78"/>
      <c r="U250" s="78"/>
      <c r="V250" s="78"/>
      <c r="W250" s="78"/>
      <c r="X250" s="78"/>
      <c r="Y250" s="78"/>
      <c r="Z250" s="78"/>
      <c r="AA250" s="78"/>
      <c r="AB250" s="78"/>
      <c r="AC250" s="78"/>
    </row>
    <row r="251" spans="1:29" x14ac:dyDescent="0.3">
      <c r="A251" s="78"/>
      <c r="B251" s="78"/>
      <c r="H251" s="78"/>
      <c r="I251" s="78"/>
      <c r="J251" s="78"/>
      <c r="K251" s="78"/>
      <c r="L251" s="78"/>
      <c r="M251" s="78"/>
      <c r="N251" s="78"/>
      <c r="O251" s="78"/>
      <c r="P251" s="78"/>
      <c r="Q251" s="78"/>
      <c r="R251" s="78"/>
      <c r="S251" s="78"/>
      <c r="T251" s="78"/>
      <c r="U251" s="78"/>
      <c r="V251" s="78"/>
      <c r="W251" s="78"/>
      <c r="X251" s="78"/>
      <c r="Y251" s="78"/>
      <c r="Z251" s="78"/>
      <c r="AA251" s="78"/>
      <c r="AB251" s="78"/>
      <c r="AC251" s="78"/>
    </row>
    <row r="252" spans="1:29" x14ac:dyDescent="0.3">
      <c r="H252" s="78"/>
      <c r="I252" s="78"/>
      <c r="J252" s="78"/>
      <c r="K252" s="78"/>
      <c r="L252" s="78"/>
      <c r="M252" s="78"/>
      <c r="N252" s="78"/>
      <c r="O252" s="78"/>
      <c r="P252" s="78"/>
      <c r="Q252" s="78"/>
      <c r="R252" s="78"/>
      <c r="S252" s="78"/>
      <c r="T252" s="78"/>
      <c r="U252" s="78"/>
      <c r="V252" s="78"/>
      <c r="W252" s="78"/>
      <c r="X252" s="78"/>
      <c r="Y252" s="78"/>
      <c r="Z252" s="78"/>
      <c r="AA252" s="78"/>
      <c r="AB252" s="78"/>
      <c r="AC252" s="78"/>
    </row>
    <row r="253" spans="1:29" x14ac:dyDescent="0.3">
      <c r="H253" s="78"/>
      <c r="I253" s="78"/>
      <c r="J253" s="78"/>
      <c r="K253" s="78"/>
      <c r="L253" s="78"/>
      <c r="M253" s="78"/>
      <c r="N253" s="78"/>
      <c r="O253" s="78"/>
      <c r="P253" s="78"/>
      <c r="Q253" s="78"/>
      <c r="R253" s="78"/>
      <c r="S253" s="78"/>
      <c r="T253" s="78"/>
      <c r="U253" s="78"/>
      <c r="V253" s="78"/>
      <c r="W253" s="78"/>
      <c r="X253" s="78"/>
      <c r="Y253" s="78"/>
      <c r="Z253" s="78"/>
      <c r="AA253" s="78"/>
      <c r="AB253" s="78"/>
      <c r="AC253" s="78"/>
    </row>
    <row r="254" spans="1:29" x14ac:dyDescent="0.3">
      <c r="H254" s="78"/>
      <c r="I254" s="78"/>
      <c r="J254" s="78"/>
      <c r="K254" s="78"/>
      <c r="L254" s="78"/>
      <c r="M254" s="78"/>
      <c r="N254" s="78"/>
      <c r="O254" s="78"/>
      <c r="P254" s="78"/>
      <c r="Q254" s="78"/>
      <c r="R254" s="78"/>
      <c r="S254" s="78"/>
      <c r="T254" s="78"/>
      <c r="U254" s="78"/>
      <c r="V254" s="78"/>
      <c r="W254" s="78"/>
      <c r="X254" s="78"/>
      <c r="Y254" s="78"/>
      <c r="Z254" s="78"/>
      <c r="AA254" s="78"/>
      <c r="AB254" s="78"/>
      <c r="AC254" s="78"/>
    </row>
    <row r="255" spans="1:29" x14ac:dyDescent="0.3">
      <c r="H255" s="78"/>
      <c r="I255" s="78"/>
      <c r="J255" s="78"/>
      <c r="K255" s="78"/>
      <c r="L255" s="78"/>
      <c r="M255" s="78"/>
      <c r="N255" s="78"/>
      <c r="O255" s="78"/>
      <c r="P255" s="78"/>
      <c r="Q255" s="78"/>
      <c r="R255" s="78"/>
      <c r="S255" s="78"/>
      <c r="T255" s="78"/>
      <c r="U255" s="78"/>
      <c r="V255" s="78"/>
      <c r="W255" s="78"/>
      <c r="X255" s="78"/>
      <c r="Y255" s="78"/>
      <c r="Z255" s="78"/>
      <c r="AA255" s="78"/>
      <c r="AB255" s="78"/>
      <c r="AC255" s="78"/>
    </row>
    <row r="256" spans="1:29" x14ac:dyDescent="0.3">
      <c r="H256" s="78"/>
      <c r="I256" s="78"/>
      <c r="J256" s="78"/>
      <c r="K256" s="78"/>
      <c r="L256" s="78"/>
      <c r="M256" s="78"/>
      <c r="N256" s="78"/>
      <c r="O256" s="78"/>
      <c r="P256" s="78"/>
      <c r="Q256" s="78"/>
      <c r="R256" s="78"/>
      <c r="S256" s="78"/>
      <c r="T256" s="78"/>
      <c r="U256" s="78"/>
      <c r="V256" s="78"/>
      <c r="W256" s="78"/>
      <c r="X256" s="78"/>
      <c r="Y256" s="78"/>
      <c r="Z256" s="78"/>
      <c r="AA256" s="78"/>
      <c r="AB256" s="78"/>
      <c r="AC256" s="78"/>
    </row>
    <row r="257" spans="8:29" x14ac:dyDescent="0.3">
      <c r="H257" s="78"/>
      <c r="I257" s="78"/>
      <c r="J257" s="78"/>
      <c r="K257" s="78"/>
      <c r="L257" s="78"/>
      <c r="M257" s="78"/>
      <c r="N257" s="78"/>
      <c r="O257" s="78"/>
      <c r="P257" s="78"/>
      <c r="Q257" s="78"/>
      <c r="R257" s="78"/>
      <c r="S257" s="78"/>
      <c r="T257" s="78"/>
      <c r="U257" s="78"/>
      <c r="V257" s="78"/>
      <c r="W257" s="78"/>
      <c r="X257" s="78"/>
      <c r="Y257" s="78"/>
      <c r="Z257" s="78"/>
      <c r="AA257" s="78"/>
      <c r="AB257" s="78"/>
      <c r="AC257" s="78"/>
    </row>
    <row r="258" spans="8:29" x14ac:dyDescent="0.3">
      <c r="H258" s="78"/>
      <c r="I258" s="78"/>
      <c r="J258" s="78"/>
      <c r="K258" s="78"/>
      <c r="L258" s="78"/>
      <c r="M258" s="78"/>
      <c r="N258" s="78"/>
      <c r="O258" s="78"/>
      <c r="P258" s="78"/>
      <c r="Q258" s="78"/>
      <c r="R258" s="78"/>
      <c r="S258" s="78"/>
      <c r="T258" s="78"/>
      <c r="U258" s="78"/>
      <c r="V258" s="78"/>
      <c r="W258" s="78"/>
      <c r="X258" s="78"/>
      <c r="Y258" s="78"/>
      <c r="Z258" s="78"/>
      <c r="AA258" s="78"/>
      <c r="AB258" s="78"/>
      <c r="AC258" s="78"/>
    </row>
    <row r="259" spans="8:29" x14ac:dyDescent="0.3">
      <c r="H259" s="78"/>
      <c r="I259" s="78"/>
      <c r="J259" s="78"/>
      <c r="K259" s="78"/>
      <c r="L259" s="78"/>
      <c r="M259" s="78"/>
      <c r="N259" s="78"/>
      <c r="O259" s="78"/>
      <c r="P259" s="78"/>
      <c r="Q259" s="78"/>
      <c r="R259" s="78"/>
      <c r="S259" s="78"/>
      <c r="T259" s="78"/>
      <c r="U259" s="78"/>
      <c r="V259" s="78"/>
      <c r="W259" s="78"/>
      <c r="X259" s="78"/>
      <c r="Y259" s="78"/>
      <c r="Z259" s="78"/>
      <c r="AA259" s="78"/>
      <c r="AB259" s="78"/>
      <c r="AC259" s="78"/>
    </row>
    <row r="260" spans="8:29" x14ac:dyDescent="0.3">
      <c r="H260" s="78"/>
      <c r="I260" s="78"/>
      <c r="J260" s="78"/>
      <c r="K260" s="78"/>
      <c r="L260" s="78"/>
      <c r="M260" s="78"/>
      <c r="N260" s="78"/>
      <c r="O260" s="78"/>
      <c r="P260" s="78"/>
      <c r="Q260" s="78"/>
      <c r="R260" s="78"/>
      <c r="S260" s="78"/>
      <c r="T260" s="78"/>
      <c r="U260" s="78"/>
      <c r="V260" s="78"/>
      <c r="W260" s="78"/>
      <c r="X260" s="78"/>
      <c r="Y260" s="78"/>
      <c r="Z260" s="78"/>
      <c r="AA260" s="78"/>
      <c r="AB260" s="78"/>
      <c r="AC260" s="78"/>
    </row>
    <row r="261" spans="8:29" x14ac:dyDescent="0.3">
      <c r="H261" s="78"/>
      <c r="I261" s="78"/>
      <c r="J261" s="78"/>
      <c r="K261" s="78"/>
      <c r="L261" s="78"/>
      <c r="M261" s="78"/>
      <c r="N261" s="78"/>
      <c r="O261" s="78"/>
      <c r="P261" s="78"/>
      <c r="Q261" s="78"/>
      <c r="R261" s="78"/>
      <c r="S261" s="78"/>
      <c r="T261" s="78"/>
      <c r="U261" s="78"/>
      <c r="V261" s="78"/>
      <c r="W261" s="78"/>
      <c r="X261" s="78"/>
      <c r="Y261" s="78"/>
      <c r="Z261" s="78"/>
      <c r="AA261" s="78"/>
      <c r="AB261" s="78"/>
      <c r="AC261" s="78"/>
    </row>
    <row r="262" spans="8:29" x14ac:dyDescent="0.3">
      <c r="H262" s="78"/>
      <c r="I262" s="78"/>
      <c r="J262" s="78"/>
      <c r="K262" s="78"/>
      <c r="L262" s="78"/>
      <c r="M262" s="78"/>
      <c r="N262" s="78"/>
      <c r="O262" s="78"/>
      <c r="P262" s="78"/>
      <c r="Q262" s="78"/>
      <c r="R262" s="78"/>
      <c r="S262" s="78"/>
      <c r="T262" s="78"/>
      <c r="U262" s="78"/>
      <c r="V262" s="78"/>
      <c r="W262" s="78"/>
      <c r="X262" s="78"/>
      <c r="Y262" s="78"/>
      <c r="Z262" s="78"/>
      <c r="AA262" s="78"/>
      <c r="AB262" s="78"/>
      <c r="AC262" s="78"/>
    </row>
    <row r="263" spans="8:29" x14ac:dyDescent="0.3">
      <c r="H263" s="78"/>
      <c r="I263" s="78"/>
      <c r="J263" s="78"/>
      <c r="K263" s="78"/>
      <c r="L263" s="78"/>
      <c r="M263" s="78"/>
      <c r="N263" s="78"/>
      <c r="O263" s="78"/>
      <c r="P263" s="78"/>
      <c r="Q263" s="78"/>
      <c r="R263" s="78"/>
      <c r="S263" s="78"/>
      <c r="T263" s="78"/>
      <c r="U263" s="78"/>
      <c r="V263" s="78"/>
      <c r="W263" s="78"/>
      <c r="X263" s="78"/>
      <c r="Y263" s="78"/>
      <c r="Z263" s="78"/>
      <c r="AA263" s="78"/>
      <c r="AB263" s="78"/>
      <c r="AC263" s="78"/>
    </row>
    <row r="264" spans="8:29" x14ac:dyDescent="0.3">
      <c r="H264" s="78"/>
      <c r="I264" s="78"/>
      <c r="J264" s="78"/>
      <c r="K264" s="78"/>
      <c r="L264" s="78"/>
      <c r="M264" s="78"/>
      <c r="N264" s="78"/>
      <c r="O264" s="78"/>
      <c r="P264" s="78"/>
      <c r="Q264" s="78"/>
      <c r="R264" s="78"/>
      <c r="S264" s="78"/>
      <c r="T264" s="78"/>
      <c r="U264" s="78"/>
      <c r="V264" s="78"/>
      <c r="W264" s="78"/>
      <c r="X264" s="78"/>
      <c r="Y264" s="78"/>
      <c r="Z264" s="78"/>
      <c r="AA264" s="78"/>
      <c r="AB264" s="78"/>
      <c r="AC264" s="78"/>
    </row>
    <row r="265" spans="8:29" x14ac:dyDescent="0.3">
      <c r="H265" s="78"/>
      <c r="I265" s="78"/>
      <c r="J265" s="78"/>
      <c r="K265" s="78"/>
      <c r="L265" s="78"/>
      <c r="M265" s="78"/>
      <c r="N265" s="78"/>
      <c r="O265" s="78"/>
      <c r="P265" s="78"/>
      <c r="Q265" s="78"/>
      <c r="R265" s="78"/>
      <c r="S265" s="78"/>
      <c r="T265" s="78"/>
      <c r="U265" s="78"/>
      <c r="V265" s="78"/>
      <c r="W265" s="78"/>
      <c r="X265" s="78"/>
      <c r="Y265" s="78"/>
      <c r="Z265" s="78"/>
      <c r="AA265" s="78"/>
      <c r="AB265" s="78"/>
      <c r="AC265" s="78"/>
    </row>
    <row r="266" spans="8:29" x14ac:dyDescent="0.3">
      <c r="H266" s="78"/>
      <c r="I266" s="78"/>
      <c r="J266" s="78"/>
      <c r="K266" s="78"/>
      <c r="L266" s="78"/>
      <c r="M266" s="78"/>
      <c r="N266" s="78"/>
      <c r="O266" s="78"/>
      <c r="P266" s="78"/>
      <c r="Q266" s="78"/>
      <c r="R266" s="78"/>
      <c r="S266" s="78"/>
      <c r="T266" s="78"/>
      <c r="U266" s="78"/>
      <c r="V266" s="78"/>
      <c r="W266" s="78"/>
      <c r="X266" s="78"/>
      <c r="Y266" s="78"/>
      <c r="Z266" s="78"/>
      <c r="AA266" s="78"/>
      <c r="AB266" s="78"/>
      <c r="AC266" s="78"/>
    </row>
    <row r="267" spans="8:29" x14ac:dyDescent="0.3">
      <c r="H267" s="78"/>
      <c r="I267" s="78"/>
      <c r="J267" s="78"/>
      <c r="K267" s="78"/>
      <c r="L267" s="78"/>
      <c r="M267" s="78"/>
      <c r="N267" s="78"/>
      <c r="O267" s="78"/>
      <c r="P267" s="78"/>
      <c r="Q267" s="78"/>
      <c r="R267" s="78"/>
      <c r="S267" s="78"/>
      <c r="T267" s="78"/>
      <c r="U267" s="78"/>
      <c r="V267" s="78"/>
      <c r="W267" s="78"/>
      <c r="X267" s="78"/>
      <c r="Y267" s="78"/>
      <c r="Z267" s="78"/>
      <c r="AA267" s="78"/>
      <c r="AB267" s="78"/>
      <c r="AC267" s="78"/>
    </row>
    <row r="268" spans="8:29" x14ac:dyDescent="0.3">
      <c r="H268" s="78"/>
      <c r="I268" s="78"/>
      <c r="J268" s="78"/>
      <c r="K268" s="78"/>
      <c r="L268" s="78"/>
      <c r="M268" s="78"/>
      <c r="N268" s="78"/>
      <c r="O268" s="78"/>
      <c r="P268" s="78"/>
      <c r="Q268" s="78"/>
      <c r="R268" s="78"/>
      <c r="S268" s="78"/>
      <c r="T268" s="78"/>
      <c r="U268" s="78"/>
      <c r="V268" s="78"/>
      <c r="W268" s="78"/>
      <c r="X268" s="78"/>
      <c r="Y268" s="78"/>
      <c r="Z268" s="78"/>
      <c r="AA268" s="78"/>
      <c r="AB268" s="78"/>
      <c r="AC268" s="78"/>
    </row>
    <row r="269" spans="8:29" x14ac:dyDescent="0.3">
      <c r="H269" s="78"/>
      <c r="I269" s="78"/>
      <c r="J269" s="78"/>
      <c r="K269" s="78"/>
      <c r="L269" s="78"/>
      <c r="M269" s="78"/>
      <c r="N269" s="78"/>
      <c r="O269" s="78"/>
      <c r="P269" s="78"/>
      <c r="Q269" s="78"/>
      <c r="R269" s="78"/>
      <c r="S269" s="78"/>
      <c r="T269" s="78"/>
      <c r="U269" s="78"/>
      <c r="V269" s="78"/>
      <c r="W269" s="78"/>
      <c r="X269" s="78"/>
      <c r="Y269" s="78"/>
      <c r="Z269" s="78"/>
      <c r="AA269" s="78"/>
      <c r="AB269" s="78"/>
      <c r="AC269" s="78"/>
    </row>
    <row r="270" spans="8:29" x14ac:dyDescent="0.3">
      <c r="H270" s="78"/>
      <c r="I270" s="78"/>
      <c r="J270" s="78"/>
      <c r="K270" s="78"/>
      <c r="L270" s="78"/>
      <c r="M270" s="78"/>
      <c r="N270" s="78"/>
      <c r="O270" s="78"/>
      <c r="P270" s="78"/>
      <c r="Q270" s="78"/>
      <c r="R270" s="78"/>
      <c r="S270" s="78"/>
      <c r="T270" s="78"/>
      <c r="U270" s="78"/>
      <c r="V270" s="78"/>
      <c r="W270" s="78"/>
      <c r="X270" s="78"/>
      <c r="Y270" s="78"/>
      <c r="Z270" s="78"/>
      <c r="AA270" s="78"/>
      <c r="AB270" s="78"/>
      <c r="AC270" s="78"/>
    </row>
    <row r="271" spans="8:29" x14ac:dyDescent="0.3">
      <c r="H271" s="78"/>
      <c r="I271" s="78"/>
      <c r="J271" s="78"/>
      <c r="K271" s="78"/>
      <c r="L271" s="78"/>
      <c r="M271" s="78"/>
      <c r="N271" s="78"/>
      <c r="O271" s="78"/>
      <c r="P271" s="78"/>
      <c r="Q271" s="78"/>
      <c r="R271" s="78"/>
      <c r="S271" s="78"/>
      <c r="T271" s="78"/>
      <c r="U271" s="78"/>
      <c r="V271" s="78"/>
      <c r="W271" s="78"/>
      <c r="X271" s="78"/>
      <c r="Y271" s="78"/>
      <c r="Z271" s="78"/>
      <c r="AA271" s="78"/>
      <c r="AB271" s="78"/>
      <c r="AC271" s="78"/>
    </row>
    <row r="272" spans="8:29" x14ac:dyDescent="0.3">
      <c r="H272" s="78"/>
      <c r="I272" s="78"/>
      <c r="J272" s="78"/>
      <c r="K272" s="78"/>
      <c r="L272" s="78"/>
      <c r="M272" s="78"/>
      <c r="N272" s="78"/>
      <c r="O272" s="78"/>
      <c r="P272" s="78"/>
      <c r="Q272" s="78"/>
      <c r="R272" s="78"/>
      <c r="S272" s="78"/>
      <c r="T272" s="78"/>
      <c r="U272" s="78"/>
      <c r="V272" s="78"/>
      <c r="W272" s="78"/>
      <c r="X272" s="78"/>
      <c r="Y272" s="78"/>
      <c r="Z272" s="78"/>
      <c r="AA272" s="78"/>
      <c r="AB272" s="78"/>
      <c r="AC272" s="78"/>
    </row>
    <row r="273" spans="8:29" x14ac:dyDescent="0.3">
      <c r="H273" s="78"/>
      <c r="I273" s="78"/>
      <c r="J273" s="78"/>
      <c r="K273" s="78"/>
      <c r="L273" s="78"/>
      <c r="M273" s="78"/>
      <c r="N273" s="78"/>
      <c r="O273" s="78"/>
      <c r="P273" s="78"/>
      <c r="Q273" s="78"/>
      <c r="R273" s="78"/>
      <c r="S273" s="78"/>
      <c r="T273" s="78"/>
      <c r="U273" s="78"/>
      <c r="V273" s="78"/>
      <c r="W273" s="78"/>
      <c r="X273" s="78"/>
      <c r="Y273" s="78"/>
      <c r="Z273" s="78"/>
      <c r="AA273" s="78"/>
      <c r="AB273" s="78"/>
      <c r="AC273" s="78"/>
    </row>
    <row r="274" spans="8:29" x14ac:dyDescent="0.3">
      <c r="H274" s="78"/>
      <c r="I274" s="78"/>
      <c r="J274" s="78"/>
      <c r="K274" s="78"/>
      <c r="L274" s="78"/>
      <c r="M274" s="78"/>
      <c r="N274" s="78"/>
      <c r="O274" s="78"/>
      <c r="P274" s="78"/>
      <c r="Q274" s="78"/>
      <c r="R274" s="78"/>
      <c r="S274" s="78"/>
      <c r="T274" s="78"/>
      <c r="U274" s="78"/>
      <c r="V274" s="78"/>
      <c r="W274" s="78"/>
      <c r="X274" s="78"/>
      <c r="Y274" s="78"/>
      <c r="Z274" s="78"/>
      <c r="AA274" s="78"/>
      <c r="AB274" s="78"/>
      <c r="AC274" s="78"/>
    </row>
    <row r="275" spans="8:29" x14ac:dyDescent="0.3">
      <c r="H275" s="78"/>
      <c r="I275" s="78"/>
      <c r="J275" s="78"/>
      <c r="K275" s="78"/>
      <c r="L275" s="78"/>
      <c r="M275" s="78"/>
      <c r="N275" s="78"/>
      <c r="O275" s="78"/>
      <c r="P275" s="78"/>
      <c r="Q275" s="78"/>
      <c r="R275" s="78"/>
      <c r="S275" s="78"/>
      <c r="T275" s="78"/>
      <c r="U275" s="78"/>
      <c r="V275" s="78"/>
      <c r="W275" s="78"/>
      <c r="X275" s="78"/>
      <c r="Y275" s="78"/>
      <c r="Z275" s="78"/>
      <c r="AA275" s="78"/>
      <c r="AB275" s="78"/>
      <c r="AC275" s="78"/>
    </row>
    <row r="276" spans="8:29" x14ac:dyDescent="0.3">
      <c r="H276" s="78"/>
      <c r="I276" s="78"/>
      <c r="J276" s="78"/>
      <c r="K276" s="78"/>
      <c r="L276" s="78"/>
      <c r="M276" s="78"/>
      <c r="N276" s="78"/>
      <c r="O276" s="78"/>
      <c r="P276" s="78"/>
      <c r="Q276" s="78"/>
      <c r="R276" s="78"/>
      <c r="S276" s="78"/>
      <c r="T276" s="78"/>
      <c r="U276" s="78"/>
      <c r="V276" s="78"/>
      <c r="W276" s="78"/>
      <c r="X276" s="78"/>
      <c r="Y276" s="78"/>
      <c r="Z276" s="78"/>
      <c r="AA276" s="78"/>
      <c r="AB276" s="78"/>
      <c r="AC276" s="78"/>
    </row>
    <row r="277" spans="8:29" x14ac:dyDescent="0.3">
      <c r="H277" s="78"/>
      <c r="I277" s="78"/>
      <c r="J277" s="78"/>
      <c r="K277" s="78"/>
      <c r="L277" s="78"/>
      <c r="M277" s="78"/>
      <c r="N277" s="78"/>
      <c r="O277" s="78"/>
      <c r="P277" s="78"/>
      <c r="Q277" s="78"/>
      <c r="R277" s="78"/>
      <c r="S277" s="78"/>
      <c r="T277" s="78"/>
      <c r="U277" s="78"/>
      <c r="V277" s="78"/>
      <c r="W277" s="78"/>
      <c r="X277" s="78"/>
      <c r="Y277" s="78"/>
      <c r="Z277" s="78"/>
      <c r="AA277" s="78"/>
      <c r="AB277" s="78"/>
      <c r="AC277" s="78"/>
    </row>
    <row r="278" spans="8:29" x14ac:dyDescent="0.3">
      <c r="H278" s="78"/>
      <c r="I278" s="78"/>
      <c r="J278" s="78"/>
      <c r="K278" s="78"/>
      <c r="L278" s="78"/>
      <c r="M278" s="78"/>
      <c r="N278" s="78"/>
      <c r="O278" s="78"/>
      <c r="P278" s="78"/>
      <c r="Q278" s="78"/>
      <c r="R278" s="78"/>
      <c r="S278" s="78"/>
      <c r="T278" s="78"/>
      <c r="U278" s="78"/>
      <c r="V278" s="78"/>
      <c r="W278" s="78"/>
      <c r="X278" s="78"/>
      <c r="Y278" s="78"/>
      <c r="Z278" s="78"/>
      <c r="AA278" s="78"/>
      <c r="AB278" s="78"/>
      <c r="AC278" s="78"/>
    </row>
    <row r="279" spans="8:29" x14ac:dyDescent="0.3">
      <c r="H279" s="78"/>
      <c r="I279" s="78"/>
      <c r="J279" s="78"/>
      <c r="K279" s="78"/>
      <c r="L279" s="78"/>
      <c r="M279" s="78"/>
      <c r="N279" s="78"/>
      <c r="O279" s="78"/>
      <c r="P279" s="78"/>
      <c r="Q279" s="78"/>
      <c r="R279" s="78"/>
      <c r="S279" s="78"/>
      <c r="T279" s="78"/>
      <c r="U279" s="78"/>
      <c r="V279" s="78"/>
      <c r="W279" s="78"/>
      <c r="X279" s="78"/>
      <c r="Y279" s="78"/>
      <c r="Z279" s="78"/>
      <c r="AA279" s="78"/>
      <c r="AB279" s="78"/>
      <c r="AC279" s="78"/>
    </row>
    <row r="280" spans="8:29" x14ac:dyDescent="0.3">
      <c r="H280" s="78"/>
      <c r="I280" s="78"/>
      <c r="J280" s="78"/>
      <c r="K280" s="78"/>
      <c r="L280" s="78"/>
      <c r="M280" s="78"/>
      <c r="N280" s="78"/>
      <c r="O280" s="78"/>
      <c r="P280" s="78"/>
      <c r="Q280" s="78"/>
      <c r="R280" s="78"/>
      <c r="S280" s="78"/>
      <c r="T280" s="78"/>
      <c r="U280" s="78"/>
      <c r="V280" s="78"/>
      <c r="W280" s="78"/>
      <c r="X280" s="78"/>
      <c r="Y280" s="78"/>
      <c r="Z280" s="78"/>
      <c r="AA280" s="78"/>
      <c r="AB280" s="78"/>
      <c r="AC280" s="78"/>
    </row>
    <row r="281" spans="8:29" x14ac:dyDescent="0.3">
      <c r="H281" s="78"/>
      <c r="I281" s="78"/>
      <c r="J281" s="78"/>
      <c r="K281" s="78"/>
      <c r="L281" s="78"/>
      <c r="M281" s="78"/>
      <c r="N281" s="78"/>
      <c r="O281" s="78"/>
      <c r="P281" s="78"/>
      <c r="Q281" s="78"/>
      <c r="R281" s="78"/>
      <c r="S281" s="78"/>
      <c r="T281" s="78"/>
      <c r="U281" s="78"/>
      <c r="V281" s="78"/>
      <c r="W281" s="78"/>
      <c r="X281" s="78"/>
      <c r="Y281" s="78"/>
      <c r="Z281" s="78"/>
      <c r="AA281" s="78"/>
      <c r="AB281" s="78"/>
      <c r="AC281" s="78"/>
    </row>
    <row r="282" spans="8:29" x14ac:dyDescent="0.3">
      <c r="H282" s="78"/>
      <c r="I282" s="78"/>
      <c r="J282" s="78"/>
      <c r="K282" s="78"/>
      <c r="L282" s="78"/>
      <c r="M282" s="78"/>
      <c r="N282" s="78"/>
      <c r="O282" s="78"/>
      <c r="P282" s="78"/>
      <c r="Q282" s="78"/>
      <c r="R282" s="78"/>
      <c r="S282" s="78"/>
      <c r="T282" s="78"/>
      <c r="U282" s="78"/>
      <c r="V282" s="78"/>
      <c r="W282" s="78"/>
      <c r="X282" s="78"/>
      <c r="Y282" s="78"/>
      <c r="Z282" s="78"/>
      <c r="AA282" s="78"/>
      <c r="AB282" s="78"/>
      <c r="AC282" s="78"/>
    </row>
    <row r="283" spans="8:29" x14ac:dyDescent="0.3">
      <c r="H283" s="78"/>
      <c r="I283" s="78"/>
      <c r="J283" s="78"/>
      <c r="K283" s="78"/>
      <c r="L283" s="78"/>
      <c r="M283" s="78"/>
      <c r="N283" s="78"/>
      <c r="O283" s="78"/>
      <c r="P283" s="78"/>
      <c r="Q283" s="78"/>
      <c r="R283" s="78"/>
      <c r="S283" s="78"/>
      <c r="T283" s="78"/>
      <c r="U283" s="78"/>
      <c r="V283" s="78"/>
      <c r="W283" s="78"/>
      <c r="X283" s="78"/>
      <c r="Y283" s="78"/>
      <c r="Z283" s="78"/>
      <c r="AA283" s="78"/>
      <c r="AB283" s="78"/>
      <c r="AC283" s="78"/>
    </row>
    <row r="284" spans="8:29" x14ac:dyDescent="0.3">
      <c r="H284" s="78"/>
      <c r="I284" s="78"/>
      <c r="J284" s="78"/>
      <c r="K284" s="78"/>
      <c r="L284" s="78"/>
      <c r="M284" s="78"/>
      <c r="N284" s="78"/>
      <c r="O284" s="78"/>
      <c r="P284" s="78"/>
      <c r="Q284" s="78"/>
      <c r="R284" s="78"/>
      <c r="S284" s="78"/>
      <c r="T284" s="78"/>
      <c r="U284" s="78"/>
      <c r="V284" s="78"/>
      <c r="W284" s="78"/>
      <c r="X284" s="78"/>
      <c r="Y284" s="78"/>
      <c r="Z284" s="78"/>
      <c r="AA284" s="78"/>
      <c r="AB284" s="78"/>
      <c r="AC284" s="78"/>
    </row>
    <row r="285" spans="8:29" x14ac:dyDescent="0.3">
      <c r="H285" s="78"/>
      <c r="I285" s="78"/>
      <c r="J285" s="78"/>
      <c r="K285" s="78"/>
      <c r="L285" s="78"/>
      <c r="M285" s="78"/>
      <c r="N285" s="78"/>
      <c r="O285" s="78"/>
      <c r="P285" s="78"/>
      <c r="Q285" s="78"/>
      <c r="R285" s="78"/>
      <c r="S285" s="78"/>
      <c r="T285" s="78"/>
      <c r="U285" s="78"/>
      <c r="V285" s="78"/>
      <c r="W285" s="78"/>
      <c r="X285" s="78"/>
      <c r="Y285" s="78"/>
      <c r="Z285" s="78"/>
      <c r="AA285" s="78"/>
      <c r="AB285" s="78"/>
      <c r="AC285" s="78"/>
    </row>
    <row r="286" spans="8:29" x14ac:dyDescent="0.3">
      <c r="H286" s="78"/>
      <c r="I286" s="78"/>
      <c r="J286" s="78"/>
      <c r="K286" s="78"/>
      <c r="L286" s="78"/>
      <c r="M286" s="78"/>
      <c r="N286" s="78"/>
      <c r="O286" s="78"/>
      <c r="P286" s="78"/>
      <c r="Q286" s="78"/>
      <c r="R286" s="78"/>
      <c r="S286" s="78"/>
      <c r="T286" s="78"/>
      <c r="U286" s="78"/>
      <c r="V286" s="78"/>
      <c r="W286" s="78"/>
      <c r="X286" s="78"/>
      <c r="Y286" s="78"/>
      <c r="Z286" s="78"/>
      <c r="AA286" s="78"/>
      <c r="AB286" s="78"/>
      <c r="AC286" s="78"/>
    </row>
    <row r="287" spans="8:29" x14ac:dyDescent="0.3">
      <c r="H287" s="78"/>
      <c r="I287" s="78"/>
      <c r="J287" s="78"/>
      <c r="K287" s="78"/>
      <c r="L287" s="78"/>
      <c r="M287" s="78"/>
      <c r="N287" s="78"/>
      <c r="O287" s="78"/>
      <c r="P287" s="78"/>
      <c r="Q287" s="78"/>
      <c r="R287" s="78"/>
      <c r="S287" s="78"/>
      <c r="T287" s="78"/>
      <c r="U287" s="78"/>
      <c r="V287" s="78"/>
      <c r="W287" s="78"/>
      <c r="X287" s="78"/>
      <c r="Y287" s="78"/>
      <c r="Z287" s="78"/>
      <c r="AA287" s="78"/>
      <c r="AB287" s="78"/>
      <c r="AC287" s="78"/>
    </row>
    <row r="288" spans="8:29" x14ac:dyDescent="0.3">
      <c r="H288" s="78"/>
      <c r="I288" s="78"/>
      <c r="J288" s="78"/>
      <c r="K288" s="78"/>
      <c r="L288" s="78"/>
      <c r="M288" s="78"/>
      <c r="N288" s="78"/>
      <c r="O288" s="78"/>
      <c r="P288" s="78"/>
      <c r="Q288" s="78"/>
      <c r="R288" s="78"/>
      <c r="S288" s="78"/>
      <c r="T288" s="78"/>
      <c r="U288" s="78"/>
      <c r="V288" s="78"/>
      <c r="W288" s="78"/>
      <c r="X288" s="78"/>
      <c r="Y288" s="78"/>
      <c r="Z288" s="78"/>
      <c r="AA288" s="78"/>
      <c r="AB288" s="78"/>
      <c r="AC288" s="78"/>
    </row>
    <row r="289" spans="8:29" x14ac:dyDescent="0.3">
      <c r="H289" s="78"/>
      <c r="I289" s="78"/>
      <c r="J289" s="78"/>
      <c r="K289" s="78"/>
      <c r="L289" s="78"/>
      <c r="M289" s="78"/>
      <c r="N289" s="78"/>
      <c r="O289" s="78"/>
      <c r="P289" s="78"/>
      <c r="Q289" s="78"/>
      <c r="R289" s="78"/>
      <c r="S289" s="78"/>
      <c r="T289" s="78"/>
      <c r="U289" s="78"/>
      <c r="V289" s="78"/>
      <c r="W289" s="78"/>
      <c r="X289" s="78"/>
      <c r="Y289" s="78"/>
      <c r="Z289" s="78"/>
      <c r="AA289" s="78"/>
      <c r="AB289" s="78"/>
      <c r="AC289" s="78"/>
    </row>
    <row r="290" spans="8:29" x14ac:dyDescent="0.3">
      <c r="H290" s="78"/>
      <c r="I290" s="78"/>
      <c r="J290" s="78"/>
      <c r="K290" s="78"/>
      <c r="L290" s="78"/>
      <c r="M290" s="78"/>
      <c r="N290" s="78"/>
      <c r="O290" s="78"/>
      <c r="P290" s="78"/>
      <c r="Q290" s="78"/>
      <c r="R290" s="78"/>
      <c r="S290" s="78"/>
      <c r="T290" s="78"/>
      <c r="U290" s="78"/>
      <c r="V290" s="78"/>
      <c r="W290" s="78"/>
      <c r="X290" s="78"/>
      <c r="Y290" s="78"/>
      <c r="Z290" s="78"/>
      <c r="AA290" s="78"/>
      <c r="AB290" s="78"/>
      <c r="AC290" s="78"/>
    </row>
    <row r="291" spans="8:29" x14ac:dyDescent="0.3">
      <c r="H291" s="78"/>
      <c r="I291" s="78"/>
      <c r="J291" s="78"/>
      <c r="K291" s="78"/>
      <c r="L291" s="78"/>
      <c r="M291" s="78"/>
      <c r="N291" s="78"/>
      <c r="O291" s="78"/>
      <c r="P291" s="78"/>
      <c r="Q291" s="78"/>
      <c r="R291" s="78"/>
      <c r="S291" s="78"/>
      <c r="T291" s="78"/>
      <c r="U291" s="78"/>
      <c r="V291" s="78"/>
      <c r="W291" s="78"/>
      <c r="X291" s="78"/>
      <c r="Y291" s="78"/>
      <c r="Z291" s="78"/>
      <c r="AA291" s="78"/>
      <c r="AB291" s="78"/>
      <c r="AC291" s="78"/>
    </row>
    <row r="292" spans="8:29" x14ac:dyDescent="0.3">
      <c r="H292" s="78"/>
      <c r="I292" s="78"/>
      <c r="J292" s="78"/>
      <c r="K292" s="78"/>
      <c r="L292" s="78"/>
      <c r="M292" s="78"/>
      <c r="N292" s="78"/>
      <c r="O292" s="78"/>
      <c r="P292" s="78"/>
      <c r="Q292" s="78"/>
      <c r="R292" s="78"/>
      <c r="S292" s="78"/>
      <c r="T292" s="78"/>
      <c r="U292" s="78"/>
      <c r="V292" s="78"/>
      <c r="W292" s="78"/>
      <c r="X292" s="78"/>
      <c r="Y292" s="78"/>
      <c r="Z292" s="78"/>
      <c r="AA292" s="78"/>
      <c r="AB292" s="78"/>
      <c r="AC292" s="78"/>
    </row>
    <row r="293" spans="8:29" x14ac:dyDescent="0.3">
      <c r="H293" s="78"/>
      <c r="I293" s="78"/>
      <c r="J293" s="78"/>
      <c r="K293" s="78"/>
      <c r="L293" s="78"/>
      <c r="M293" s="78"/>
      <c r="N293" s="78"/>
      <c r="O293" s="78"/>
      <c r="P293" s="78"/>
      <c r="Q293" s="78"/>
      <c r="R293" s="78"/>
      <c r="S293" s="78"/>
      <c r="T293" s="78"/>
      <c r="U293" s="78"/>
      <c r="V293" s="78"/>
      <c r="W293" s="78"/>
      <c r="X293" s="78"/>
      <c r="Y293" s="78"/>
      <c r="Z293" s="78"/>
      <c r="AA293" s="78"/>
      <c r="AB293" s="78"/>
      <c r="AC293" s="78"/>
    </row>
    <row r="294" spans="8:29" x14ac:dyDescent="0.3">
      <c r="H294" s="78"/>
      <c r="I294" s="78"/>
      <c r="J294" s="78"/>
      <c r="K294" s="78"/>
      <c r="L294" s="78"/>
      <c r="M294" s="78"/>
      <c r="N294" s="78"/>
      <c r="O294" s="78"/>
      <c r="P294" s="78"/>
      <c r="Q294" s="78"/>
      <c r="R294" s="78"/>
      <c r="S294" s="78"/>
      <c r="T294" s="78"/>
      <c r="U294" s="78"/>
      <c r="V294" s="78"/>
      <c r="W294" s="78"/>
      <c r="X294" s="78"/>
      <c r="Y294" s="78"/>
      <c r="Z294" s="78"/>
      <c r="AA294" s="78"/>
      <c r="AB294" s="78"/>
      <c r="AC294" s="78"/>
    </row>
    <row r="295" spans="8:29" x14ac:dyDescent="0.3">
      <c r="H295" s="78"/>
      <c r="I295" s="78"/>
      <c r="J295" s="78"/>
      <c r="K295" s="78"/>
      <c r="L295" s="78"/>
      <c r="M295" s="78"/>
      <c r="N295" s="78"/>
      <c r="O295" s="78"/>
      <c r="P295" s="78"/>
      <c r="Q295" s="78"/>
      <c r="R295" s="78"/>
      <c r="S295" s="78"/>
      <c r="T295" s="78"/>
      <c r="U295" s="78"/>
      <c r="V295" s="78"/>
      <c r="W295" s="78"/>
      <c r="X295" s="78"/>
      <c r="Y295" s="78"/>
      <c r="Z295" s="78"/>
      <c r="AA295" s="78"/>
      <c r="AB295" s="78"/>
      <c r="AC295" s="78"/>
    </row>
    <row r="296" spans="8:29" x14ac:dyDescent="0.3">
      <c r="H296" s="78"/>
      <c r="I296" s="78"/>
      <c r="J296" s="78"/>
      <c r="K296" s="78"/>
      <c r="L296" s="78"/>
      <c r="M296" s="78"/>
      <c r="N296" s="78"/>
      <c r="O296" s="78"/>
      <c r="P296" s="78"/>
      <c r="Q296" s="78"/>
      <c r="R296" s="78"/>
      <c r="S296" s="78"/>
      <c r="T296" s="78"/>
      <c r="U296" s="78"/>
      <c r="V296" s="78"/>
      <c r="W296" s="78"/>
      <c r="X296" s="78"/>
      <c r="Y296" s="78"/>
      <c r="Z296" s="78"/>
      <c r="AA296" s="78"/>
      <c r="AB296" s="78"/>
      <c r="AC296" s="78"/>
    </row>
    <row r="297" spans="8:29" x14ac:dyDescent="0.3">
      <c r="H297" s="78"/>
      <c r="I297" s="78"/>
      <c r="J297" s="78"/>
      <c r="K297" s="78"/>
      <c r="L297" s="78"/>
      <c r="M297" s="78"/>
      <c r="N297" s="78"/>
      <c r="O297" s="78"/>
      <c r="P297" s="78"/>
      <c r="Q297" s="78"/>
      <c r="R297" s="78"/>
      <c r="S297" s="78"/>
      <c r="T297" s="78"/>
      <c r="U297" s="78"/>
      <c r="V297" s="78"/>
      <c r="W297" s="78"/>
      <c r="X297" s="78"/>
      <c r="Y297" s="78"/>
      <c r="Z297" s="78"/>
      <c r="AA297" s="78"/>
      <c r="AB297" s="78"/>
      <c r="AC297" s="78"/>
    </row>
    <row r="298" spans="8:29" x14ac:dyDescent="0.3">
      <c r="H298" s="78"/>
      <c r="I298" s="78"/>
      <c r="J298" s="78"/>
      <c r="K298" s="78"/>
      <c r="L298" s="78"/>
      <c r="M298" s="78"/>
      <c r="N298" s="78"/>
      <c r="O298" s="78"/>
      <c r="P298" s="78"/>
      <c r="Q298" s="78"/>
      <c r="R298" s="78"/>
      <c r="S298" s="78"/>
      <c r="T298" s="78"/>
      <c r="U298" s="78"/>
      <c r="V298" s="78"/>
      <c r="W298" s="78"/>
      <c r="X298" s="78"/>
      <c r="Y298" s="78"/>
      <c r="Z298" s="78"/>
      <c r="AA298" s="78"/>
      <c r="AB298" s="78"/>
      <c r="AC298" s="78"/>
    </row>
    <row r="299" spans="8:29" x14ac:dyDescent="0.3">
      <c r="H299" s="78"/>
      <c r="I299" s="78"/>
      <c r="J299" s="78"/>
      <c r="K299" s="78"/>
      <c r="L299" s="78"/>
      <c r="M299" s="78"/>
      <c r="N299" s="78"/>
      <c r="O299" s="78"/>
      <c r="P299" s="78"/>
      <c r="Q299" s="78"/>
      <c r="R299" s="78"/>
      <c r="S299" s="78"/>
      <c r="T299" s="78"/>
      <c r="U299" s="78"/>
      <c r="V299" s="78"/>
      <c r="W299" s="78"/>
      <c r="X299" s="78"/>
      <c r="Y299" s="78"/>
      <c r="Z299" s="78"/>
      <c r="AA299" s="78"/>
      <c r="AB299" s="78"/>
      <c r="AC299" s="78"/>
    </row>
    <row r="300" spans="8:29" x14ac:dyDescent="0.3">
      <c r="H300" s="78"/>
      <c r="I300" s="78"/>
      <c r="J300" s="78"/>
      <c r="K300" s="78"/>
      <c r="L300" s="78"/>
      <c r="M300" s="78"/>
      <c r="N300" s="78"/>
      <c r="O300" s="78"/>
      <c r="P300" s="78"/>
      <c r="Q300" s="78"/>
      <c r="R300" s="78"/>
      <c r="S300" s="78"/>
      <c r="T300" s="78"/>
      <c r="U300" s="78"/>
      <c r="V300" s="78"/>
      <c r="W300" s="78"/>
      <c r="X300" s="78"/>
      <c r="Y300" s="78"/>
      <c r="Z300" s="78"/>
      <c r="AA300" s="78"/>
      <c r="AB300" s="78"/>
      <c r="AC300" s="78"/>
    </row>
    <row r="301" spans="8:29" x14ac:dyDescent="0.3">
      <c r="H301" s="78"/>
      <c r="I301" s="78"/>
      <c r="J301" s="78"/>
      <c r="K301" s="78"/>
      <c r="L301" s="78"/>
      <c r="M301" s="78"/>
      <c r="N301" s="78"/>
      <c r="O301" s="78"/>
      <c r="P301" s="78"/>
      <c r="Q301" s="78"/>
      <c r="R301" s="78"/>
      <c r="S301" s="78"/>
      <c r="T301" s="78"/>
      <c r="U301" s="78"/>
      <c r="V301" s="78"/>
      <c r="W301" s="78"/>
      <c r="X301" s="78"/>
      <c r="Y301" s="78"/>
      <c r="Z301" s="78"/>
      <c r="AA301" s="78"/>
      <c r="AB301" s="78"/>
      <c r="AC301" s="78"/>
    </row>
    <row r="302" spans="8:29" x14ac:dyDescent="0.3">
      <c r="H302" s="78"/>
      <c r="I302" s="78"/>
      <c r="J302" s="78"/>
      <c r="K302" s="78"/>
      <c r="L302" s="78"/>
      <c r="M302" s="78"/>
      <c r="N302" s="78"/>
      <c r="O302" s="78"/>
      <c r="P302" s="78"/>
      <c r="Q302" s="78"/>
      <c r="R302" s="78"/>
      <c r="S302" s="78"/>
      <c r="T302" s="78"/>
      <c r="U302" s="78"/>
      <c r="V302" s="78"/>
      <c r="W302" s="78"/>
      <c r="X302" s="78"/>
      <c r="Y302" s="78"/>
      <c r="Z302" s="78"/>
      <c r="AA302" s="78"/>
      <c r="AB302" s="78"/>
      <c r="AC302" s="78"/>
    </row>
    <row r="303" spans="8:29" x14ac:dyDescent="0.3">
      <c r="H303" s="78"/>
      <c r="I303" s="78"/>
      <c r="J303" s="78"/>
      <c r="K303" s="78"/>
      <c r="L303" s="78"/>
      <c r="M303" s="78"/>
      <c r="N303" s="78"/>
      <c r="O303" s="78"/>
      <c r="P303" s="78"/>
      <c r="Q303" s="78"/>
      <c r="R303" s="78"/>
      <c r="S303" s="78"/>
      <c r="T303" s="78"/>
      <c r="U303" s="78"/>
      <c r="V303" s="78"/>
      <c r="W303" s="78"/>
      <c r="X303" s="78"/>
      <c r="Y303" s="78"/>
      <c r="Z303" s="78"/>
      <c r="AA303" s="78"/>
      <c r="AB303" s="78"/>
      <c r="AC303" s="78"/>
    </row>
    <row r="304" spans="8:29" x14ac:dyDescent="0.3">
      <c r="H304" s="78"/>
      <c r="I304" s="78"/>
      <c r="J304" s="78"/>
      <c r="K304" s="78"/>
      <c r="L304" s="78"/>
      <c r="M304" s="78"/>
      <c r="N304" s="78"/>
      <c r="O304" s="78"/>
      <c r="P304" s="78"/>
      <c r="Q304" s="78"/>
      <c r="R304" s="78"/>
      <c r="S304" s="78"/>
      <c r="T304" s="78"/>
      <c r="U304" s="78"/>
      <c r="V304" s="78"/>
      <c r="W304" s="78"/>
      <c r="X304" s="78"/>
      <c r="Y304" s="78"/>
      <c r="Z304" s="78"/>
      <c r="AA304" s="78"/>
      <c r="AB304" s="78"/>
      <c r="AC304" s="78"/>
    </row>
    <row r="305" spans="8:29" x14ac:dyDescent="0.3">
      <c r="H305" s="78"/>
      <c r="I305" s="78"/>
      <c r="J305" s="78"/>
      <c r="K305" s="78"/>
      <c r="L305" s="78"/>
      <c r="M305" s="78"/>
      <c r="N305" s="78"/>
      <c r="O305" s="78"/>
      <c r="P305" s="78"/>
      <c r="Q305" s="78"/>
      <c r="R305" s="78"/>
      <c r="S305" s="78"/>
      <c r="T305" s="78"/>
      <c r="U305" s="78"/>
      <c r="V305" s="78"/>
      <c r="W305" s="78"/>
      <c r="X305" s="78"/>
      <c r="Y305" s="78"/>
      <c r="Z305" s="78"/>
      <c r="AA305" s="78"/>
      <c r="AB305" s="78"/>
      <c r="AC305" s="78"/>
    </row>
    <row r="306" spans="8:29" x14ac:dyDescent="0.3">
      <c r="H306" s="78"/>
      <c r="I306" s="78"/>
      <c r="J306" s="78"/>
      <c r="K306" s="78"/>
      <c r="L306" s="78"/>
      <c r="M306" s="78"/>
      <c r="N306" s="78"/>
      <c r="O306" s="78"/>
      <c r="P306" s="78"/>
      <c r="Q306" s="78"/>
      <c r="R306" s="78"/>
      <c r="S306" s="78"/>
      <c r="T306" s="78"/>
      <c r="U306" s="78"/>
      <c r="V306" s="78"/>
      <c r="W306" s="78"/>
      <c r="X306" s="78"/>
      <c r="Y306" s="78"/>
      <c r="Z306" s="78"/>
      <c r="AA306" s="78"/>
      <c r="AB306" s="78"/>
      <c r="AC306" s="78"/>
    </row>
    <row r="307" spans="8:29" x14ac:dyDescent="0.3">
      <c r="H307" s="78"/>
      <c r="I307" s="78"/>
      <c r="J307" s="78"/>
      <c r="K307" s="78"/>
      <c r="L307" s="78"/>
      <c r="M307" s="78"/>
      <c r="N307" s="78"/>
      <c r="O307" s="78"/>
      <c r="P307" s="78"/>
      <c r="Q307" s="78"/>
      <c r="R307" s="78"/>
      <c r="S307" s="78"/>
      <c r="T307" s="78"/>
      <c r="U307" s="78"/>
      <c r="V307" s="78"/>
      <c r="W307" s="78"/>
      <c r="X307" s="78"/>
      <c r="Y307" s="78"/>
      <c r="Z307" s="78"/>
      <c r="AA307" s="78"/>
      <c r="AB307" s="78"/>
      <c r="AC307" s="78"/>
    </row>
    <row r="308" spans="8:29" x14ac:dyDescent="0.3">
      <c r="H308" s="78"/>
      <c r="I308" s="78"/>
      <c r="J308" s="78"/>
      <c r="K308" s="78"/>
      <c r="L308" s="78"/>
      <c r="M308" s="78"/>
      <c r="N308" s="78"/>
      <c r="O308" s="78"/>
      <c r="P308" s="78"/>
      <c r="Q308" s="78"/>
      <c r="R308" s="78"/>
      <c r="S308" s="78"/>
      <c r="T308" s="78"/>
      <c r="U308" s="78"/>
      <c r="V308" s="78"/>
      <c r="W308" s="78"/>
      <c r="X308" s="78"/>
      <c r="Y308" s="78"/>
      <c r="Z308" s="78"/>
      <c r="AA308" s="78"/>
      <c r="AB308" s="78"/>
      <c r="AC308" s="78"/>
    </row>
    <row r="309" spans="8:29" x14ac:dyDescent="0.3">
      <c r="H309" s="78"/>
      <c r="I309" s="78"/>
      <c r="J309" s="78"/>
      <c r="K309" s="78"/>
      <c r="L309" s="78"/>
      <c r="M309" s="78"/>
      <c r="N309" s="78"/>
      <c r="O309" s="78"/>
      <c r="P309" s="78"/>
      <c r="Q309" s="78"/>
      <c r="R309" s="78"/>
      <c r="S309" s="78"/>
      <c r="T309" s="78"/>
      <c r="U309" s="78"/>
      <c r="V309" s="78"/>
      <c r="W309" s="78"/>
      <c r="X309" s="78"/>
      <c r="Y309" s="78"/>
      <c r="Z309" s="78"/>
      <c r="AA309" s="78"/>
      <c r="AB309" s="78"/>
      <c r="AC309" s="78"/>
    </row>
    <row r="310" spans="8:29" x14ac:dyDescent="0.3">
      <c r="H310" s="78"/>
      <c r="I310" s="78"/>
      <c r="J310" s="78"/>
      <c r="K310" s="78"/>
      <c r="L310" s="78"/>
      <c r="M310" s="78"/>
      <c r="N310" s="78"/>
      <c r="O310" s="78"/>
      <c r="P310" s="78"/>
      <c r="Q310" s="78"/>
      <c r="R310" s="78"/>
      <c r="S310" s="78"/>
      <c r="T310" s="78"/>
      <c r="U310" s="78"/>
      <c r="V310" s="78"/>
      <c r="W310" s="78"/>
      <c r="X310" s="78"/>
      <c r="Y310" s="78"/>
      <c r="Z310" s="78"/>
      <c r="AA310" s="78"/>
      <c r="AB310" s="78"/>
      <c r="AC310" s="78"/>
    </row>
    <row r="311" spans="8:29" x14ac:dyDescent="0.3">
      <c r="H311" s="78"/>
      <c r="I311" s="78"/>
      <c r="J311" s="78"/>
      <c r="K311" s="78"/>
      <c r="L311" s="78"/>
      <c r="M311" s="78"/>
      <c r="N311" s="78"/>
      <c r="O311" s="78"/>
      <c r="P311" s="78"/>
      <c r="Q311" s="78"/>
      <c r="R311" s="78"/>
      <c r="S311" s="78"/>
      <c r="T311" s="78"/>
      <c r="U311" s="78"/>
      <c r="V311" s="78"/>
      <c r="W311" s="78"/>
      <c r="X311" s="78"/>
      <c r="Y311" s="78"/>
      <c r="Z311" s="78"/>
      <c r="AA311" s="78"/>
      <c r="AB311" s="78"/>
      <c r="AC311" s="78"/>
    </row>
    <row r="312" spans="8:29" x14ac:dyDescent="0.3">
      <c r="H312" s="78"/>
      <c r="I312" s="78"/>
      <c r="J312" s="78"/>
      <c r="K312" s="78"/>
      <c r="L312" s="78"/>
      <c r="M312" s="78"/>
      <c r="N312" s="78"/>
      <c r="O312" s="78"/>
      <c r="P312" s="78"/>
      <c r="Q312" s="78"/>
      <c r="R312" s="78"/>
      <c r="S312" s="78"/>
      <c r="T312" s="78"/>
      <c r="U312" s="78"/>
      <c r="V312" s="78"/>
      <c r="W312" s="78"/>
      <c r="X312" s="78"/>
      <c r="Y312" s="78"/>
      <c r="Z312" s="78"/>
      <c r="AA312" s="78"/>
      <c r="AB312" s="78"/>
      <c r="AC312" s="78"/>
    </row>
    <row r="313" spans="8:29" x14ac:dyDescent="0.3">
      <c r="H313" s="78"/>
      <c r="I313" s="78"/>
      <c r="J313" s="78"/>
      <c r="K313" s="78"/>
      <c r="L313" s="78"/>
      <c r="M313" s="78"/>
      <c r="N313" s="78"/>
      <c r="O313" s="78"/>
      <c r="P313" s="78"/>
      <c r="Q313" s="78"/>
      <c r="R313" s="78"/>
      <c r="S313" s="78"/>
      <c r="T313" s="78"/>
      <c r="U313" s="78"/>
      <c r="V313" s="78"/>
      <c r="W313" s="78"/>
      <c r="X313" s="78"/>
      <c r="Y313" s="78"/>
      <c r="Z313" s="78"/>
      <c r="AA313" s="78"/>
      <c r="AB313" s="78"/>
      <c r="AC313" s="78"/>
    </row>
    <row r="314" spans="8:29" x14ac:dyDescent="0.3">
      <c r="H314" s="78"/>
      <c r="I314" s="78"/>
      <c r="J314" s="78"/>
      <c r="K314" s="78"/>
      <c r="L314" s="78"/>
      <c r="M314" s="78"/>
      <c r="N314" s="78"/>
      <c r="O314" s="78"/>
      <c r="P314" s="78"/>
      <c r="Q314" s="78"/>
      <c r="R314" s="78"/>
      <c r="S314" s="78"/>
      <c r="T314" s="78"/>
      <c r="U314" s="78"/>
      <c r="V314" s="78"/>
      <c r="W314" s="78"/>
      <c r="X314" s="78"/>
      <c r="Y314" s="78"/>
      <c r="Z314" s="78"/>
      <c r="AA314" s="78"/>
      <c r="AB314" s="78"/>
      <c r="AC314" s="78"/>
    </row>
    <row r="315" spans="8:29" x14ac:dyDescent="0.3">
      <c r="H315" s="78"/>
      <c r="I315" s="78"/>
      <c r="J315" s="78"/>
      <c r="K315" s="78"/>
      <c r="L315" s="78"/>
      <c r="M315" s="78"/>
      <c r="N315" s="78"/>
      <c r="O315" s="78"/>
      <c r="P315" s="78"/>
      <c r="Q315" s="78"/>
      <c r="R315" s="78"/>
      <c r="S315" s="78"/>
      <c r="T315" s="78"/>
      <c r="U315" s="78"/>
      <c r="V315" s="78"/>
      <c r="W315" s="78"/>
      <c r="X315" s="78"/>
      <c r="Y315" s="78"/>
      <c r="Z315" s="78"/>
      <c r="AA315" s="78"/>
      <c r="AB315" s="78"/>
      <c r="AC315" s="78"/>
    </row>
    <row r="316" spans="8:29" x14ac:dyDescent="0.3">
      <c r="H316" s="78"/>
      <c r="I316" s="78"/>
      <c r="J316" s="78"/>
      <c r="K316" s="78"/>
      <c r="L316" s="78"/>
      <c r="M316" s="78"/>
      <c r="N316" s="78"/>
      <c r="O316" s="78"/>
      <c r="P316" s="78"/>
      <c r="Q316" s="78"/>
      <c r="R316" s="78"/>
      <c r="S316" s="78"/>
      <c r="T316" s="78"/>
      <c r="U316" s="78"/>
      <c r="V316" s="78"/>
      <c r="W316" s="78"/>
      <c r="X316" s="78"/>
      <c r="Y316" s="78"/>
      <c r="Z316" s="78"/>
      <c r="AA316" s="78"/>
      <c r="AB316" s="78"/>
      <c r="AC316" s="78"/>
    </row>
    <row r="317" spans="8:29" x14ac:dyDescent="0.3">
      <c r="H317" s="78"/>
      <c r="I317" s="78"/>
      <c r="J317" s="78"/>
      <c r="K317" s="78"/>
      <c r="L317" s="78"/>
      <c r="M317" s="78"/>
      <c r="N317" s="78"/>
      <c r="O317" s="78"/>
      <c r="P317" s="78"/>
      <c r="Q317" s="78"/>
      <c r="R317" s="78"/>
      <c r="S317" s="78"/>
      <c r="T317" s="78"/>
      <c r="U317" s="78"/>
      <c r="V317" s="78"/>
      <c r="W317" s="78"/>
      <c r="X317" s="78"/>
      <c r="Y317" s="78"/>
      <c r="Z317" s="78"/>
      <c r="AA317" s="78"/>
      <c r="AB317" s="78"/>
      <c r="AC317" s="78"/>
    </row>
    <row r="318" spans="8:29" x14ac:dyDescent="0.3">
      <c r="H318" s="78"/>
      <c r="I318" s="78"/>
      <c r="J318" s="78"/>
      <c r="K318" s="78"/>
      <c r="L318" s="78"/>
      <c r="M318" s="78"/>
      <c r="N318" s="78"/>
      <c r="O318" s="78"/>
      <c r="P318" s="78"/>
      <c r="Q318" s="78"/>
      <c r="R318" s="78"/>
      <c r="S318" s="78"/>
      <c r="T318" s="78"/>
      <c r="U318" s="78"/>
      <c r="V318" s="78"/>
      <c r="W318" s="78"/>
      <c r="X318" s="78"/>
      <c r="Y318" s="78"/>
      <c r="Z318" s="78"/>
      <c r="AA318" s="78"/>
      <c r="AB318" s="78"/>
      <c r="AC318" s="78"/>
    </row>
    <row r="319" spans="8:29" x14ac:dyDescent="0.3">
      <c r="H319" s="78"/>
      <c r="I319" s="78"/>
      <c r="J319" s="78"/>
      <c r="K319" s="78"/>
      <c r="L319" s="78"/>
      <c r="M319" s="78"/>
      <c r="N319" s="78"/>
      <c r="O319" s="78"/>
      <c r="P319" s="78"/>
      <c r="Q319" s="78"/>
      <c r="R319" s="78"/>
      <c r="S319" s="78"/>
      <c r="T319" s="78"/>
      <c r="U319" s="78"/>
      <c r="V319" s="78"/>
      <c r="W319" s="78"/>
      <c r="X319" s="78"/>
      <c r="Y319" s="78"/>
      <c r="Z319" s="78"/>
      <c r="AA319" s="78"/>
      <c r="AB319" s="78"/>
      <c r="AC319" s="78"/>
    </row>
    <row r="320" spans="8:29" x14ac:dyDescent="0.3">
      <c r="H320" s="78"/>
      <c r="I320" s="78"/>
      <c r="J320" s="78"/>
      <c r="K320" s="78"/>
      <c r="L320" s="78"/>
      <c r="M320" s="78"/>
      <c r="N320" s="78"/>
      <c r="O320" s="78"/>
      <c r="P320" s="78"/>
      <c r="Q320" s="78"/>
      <c r="R320" s="78"/>
      <c r="S320" s="78"/>
      <c r="T320" s="78"/>
      <c r="U320" s="78"/>
      <c r="V320" s="78"/>
      <c r="W320" s="78"/>
      <c r="X320" s="78"/>
      <c r="Y320" s="78"/>
      <c r="Z320" s="78"/>
      <c r="AA320" s="78"/>
      <c r="AB320" s="78"/>
      <c r="AC320" s="78"/>
    </row>
    <row r="321" spans="8:29" x14ac:dyDescent="0.3">
      <c r="H321" s="78"/>
      <c r="I321" s="78"/>
      <c r="J321" s="78"/>
      <c r="K321" s="78"/>
      <c r="L321" s="78"/>
      <c r="M321" s="78"/>
      <c r="N321" s="78"/>
      <c r="O321" s="78"/>
      <c r="P321" s="78"/>
      <c r="Q321" s="78"/>
      <c r="R321" s="78"/>
      <c r="S321" s="78"/>
      <c r="T321" s="78"/>
      <c r="U321" s="78"/>
      <c r="V321" s="78"/>
      <c r="W321" s="78"/>
      <c r="X321" s="78"/>
      <c r="Y321" s="78"/>
      <c r="Z321" s="78"/>
      <c r="AA321" s="78"/>
      <c r="AB321" s="78"/>
      <c r="AC321" s="78"/>
    </row>
    <row r="322" spans="8:29" x14ac:dyDescent="0.3">
      <c r="H322" s="78"/>
      <c r="I322" s="78"/>
      <c r="J322" s="78"/>
      <c r="K322" s="78"/>
      <c r="L322" s="78"/>
      <c r="M322" s="78"/>
      <c r="N322" s="78"/>
      <c r="O322" s="78"/>
      <c r="P322" s="78"/>
      <c r="Q322" s="78"/>
      <c r="R322" s="78"/>
      <c r="S322" s="78"/>
      <c r="T322" s="78"/>
      <c r="U322" s="78"/>
      <c r="V322" s="78"/>
      <c r="W322" s="78"/>
      <c r="X322" s="78"/>
      <c r="Y322" s="78"/>
      <c r="Z322" s="78"/>
      <c r="AA322" s="78"/>
      <c r="AB322" s="78"/>
      <c r="AC322" s="78"/>
    </row>
    <row r="323" spans="8:29" x14ac:dyDescent="0.3">
      <c r="H323" s="78"/>
      <c r="I323" s="78"/>
      <c r="J323" s="78"/>
      <c r="K323" s="78"/>
      <c r="L323" s="78"/>
      <c r="M323" s="78"/>
      <c r="N323" s="78"/>
      <c r="O323" s="78"/>
      <c r="P323" s="78"/>
      <c r="Q323" s="78"/>
      <c r="R323" s="78"/>
      <c r="S323" s="78"/>
      <c r="T323" s="78"/>
      <c r="U323" s="78"/>
      <c r="V323" s="78"/>
      <c r="W323" s="78"/>
      <c r="X323" s="78"/>
      <c r="Y323" s="78"/>
      <c r="Z323" s="78"/>
      <c r="AA323" s="78"/>
      <c r="AB323" s="78"/>
      <c r="AC323" s="78"/>
    </row>
    <row r="324" spans="8:29" x14ac:dyDescent="0.3">
      <c r="H324" s="78"/>
      <c r="I324" s="78"/>
      <c r="J324" s="78"/>
      <c r="K324" s="78"/>
      <c r="L324" s="78"/>
      <c r="M324" s="78"/>
      <c r="N324" s="78"/>
      <c r="O324" s="78"/>
      <c r="P324" s="78"/>
      <c r="Q324" s="78"/>
      <c r="R324" s="78"/>
      <c r="S324" s="78"/>
      <c r="T324" s="78"/>
      <c r="U324" s="78"/>
      <c r="V324" s="78"/>
      <c r="W324" s="78"/>
      <c r="X324" s="78"/>
      <c r="Y324" s="78"/>
      <c r="Z324" s="78"/>
      <c r="AA324" s="78"/>
      <c r="AB324" s="78"/>
      <c r="AC324" s="78"/>
    </row>
    <row r="325" spans="8:29" x14ac:dyDescent="0.3">
      <c r="H325" s="78"/>
      <c r="I325" s="78"/>
      <c r="J325" s="78"/>
      <c r="K325" s="78"/>
      <c r="L325" s="78"/>
      <c r="M325" s="78"/>
      <c r="N325" s="78"/>
      <c r="O325" s="78"/>
      <c r="P325" s="78"/>
      <c r="Q325" s="78"/>
      <c r="R325" s="78"/>
      <c r="S325" s="78"/>
      <c r="T325" s="78"/>
      <c r="U325" s="78"/>
      <c r="V325" s="78"/>
      <c r="W325" s="78"/>
      <c r="X325" s="78"/>
      <c r="Y325" s="78"/>
      <c r="Z325" s="78"/>
      <c r="AA325" s="78"/>
      <c r="AB325" s="78"/>
      <c r="AC325" s="78"/>
    </row>
    <row r="326" spans="8:29" x14ac:dyDescent="0.3">
      <c r="H326" s="78"/>
      <c r="I326" s="78"/>
      <c r="J326" s="78"/>
      <c r="K326" s="78"/>
      <c r="L326" s="78"/>
      <c r="M326" s="78"/>
      <c r="N326" s="78"/>
      <c r="O326" s="78"/>
      <c r="P326" s="78"/>
      <c r="Q326" s="78"/>
      <c r="R326" s="78"/>
      <c r="S326" s="78"/>
      <c r="T326" s="78"/>
      <c r="U326" s="78"/>
      <c r="V326" s="78"/>
      <c r="W326" s="78"/>
      <c r="X326" s="78"/>
      <c r="Y326" s="78"/>
      <c r="Z326" s="78"/>
      <c r="AA326" s="78"/>
      <c r="AB326" s="78"/>
      <c r="AC326" s="78"/>
    </row>
    <row r="327" spans="8:29" x14ac:dyDescent="0.3">
      <c r="H327" s="78"/>
      <c r="I327" s="78"/>
      <c r="J327" s="78"/>
      <c r="K327" s="78"/>
      <c r="L327" s="78"/>
      <c r="M327" s="78"/>
      <c r="N327" s="78"/>
      <c r="O327" s="78"/>
      <c r="P327" s="78"/>
      <c r="Q327" s="78"/>
      <c r="R327" s="78"/>
      <c r="S327" s="78"/>
      <c r="T327" s="78"/>
      <c r="U327" s="78"/>
      <c r="V327" s="78"/>
      <c r="W327" s="78"/>
      <c r="X327" s="78"/>
      <c r="Y327" s="78"/>
      <c r="Z327" s="78"/>
      <c r="AA327" s="78"/>
      <c r="AB327" s="78"/>
      <c r="AC327" s="78"/>
    </row>
    <row r="328" spans="8:29" x14ac:dyDescent="0.3">
      <c r="H328" s="78"/>
      <c r="I328" s="78"/>
      <c r="J328" s="78"/>
      <c r="K328" s="78"/>
    </row>
    <row r="329" spans="8:29" x14ac:dyDescent="0.3">
      <c r="H329" s="78"/>
      <c r="I329" s="78"/>
      <c r="J329" s="78"/>
      <c r="K329" s="78"/>
    </row>
    <row r="330" spans="8:29" x14ac:dyDescent="0.3">
      <c r="H330" s="78"/>
      <c r="I330" s="78"/>
      <c r="J330" s="78"/>
      <c r="K330" s="78"/>
    </row>
    <row r="331" spans="8:29" x14ac:dyDescent="0.3">
      <c r="J331" s="78"/>
      <c r="K331" s="78"/>
    </row>
  </sheetData>
  <mergeCells count="36">
    <mergeCell ref="A64:B64"/>
    <mergeCell ref="A59:B59"/>
    <mergeCell ref="A55:B55"/>
    <mergeCell ref="A51:B51"/>
    <mergeCell ref="A38:C38"/>
    <mergeCell ref="A44:B44"/>
    <mergeCell ref="A39:C39"/>
    <mergeCell ref="A40:E40"/>
    <mergeCell ref="A29:C29"/>
    <mergeCell ref="A34:C34"/>
    <mergeCell ref="A35:C35"/>
    <mergeCell ref="A4:G4"/>
    <mergeCell ref="A16:E16"/>
    <mergeCell ref="A17:C17"/>
    <mergeCell ref="A18:C18"/>
    <mergeCell ref="A28:E28"/>
    <mergeCell ref="A27:C27"/>
    <mergeCell ref="A19:C19"/>
    <mergeCell ref="A20:C20"/>
    <mergeCell ref="A21:C21"/>
    <mergeCell ref="A22:C22"/>
    <mergeCell ref="A23:C23"/>
    <mergeCell ref="A24:C24"/>
    <mergeCell ref="A25:C25"/>
    <mergeCell ref="A37:C37"/>
    <mergeCell ref="A30:C30"/>
    <mergeCell ref="A31:C31"/>
    <mergeCell ref="A32:C32"/>
    <mergeCell ref="A33:C33"/>
    <mergeCell ref="A36:C36"/>
    <mergeCell ref="A26:C26"/>
    <mergeCell ref="A1:K1"/>
    <mergeCell ref="B2:C2"/>
    <mergeCell ref="B3:C3"/>
    <mergeCell ref="E2:G2"/>
    <mergeCell ref="J12:K12"/>
  </mergeCells>
  <dataValidations count="1">
    <dataValidation type="list" allowBlank="1" showInputMessage="1" showErrorMessage="1" sqref="B18 B19" xr:uid="{9150BC33-F5C3-4E41-B99C-87AC690873EE}">
      <formula1>"PVCantos"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4017E38-94C8-48B1-84C9-0F55ECBEC07D}">
          <x14:formula1>
            <xm:f>Herrajes!$A$2:$A$220</xm:f>
          </x14:formula1>
          <xm:sqref>A30:A39</xm:sqref>
        </x14:dataValidation>
        <x14:dataValidation type="list" allowBlank="1" showInputMessage="1" showErrorMessage="1" xr:uid="{139038AC-3139-4D48-889D-C5267E691268}">
          <x14:formula1>
            <xm:f>Armado!$A$2:$A$43</xm:f>
          </x14:formula1>
          <xm:sqref>J14:J31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D8AF9-0840-4B43-9587-E702DDAE8FA1}">
  <sheetPr codeName="Hoja11"/>
  <dimension ref="A1:O40"/>
  <sheetViews>
    <sheetView workbookViewId="0">
      <selection activeCell="D11" sqref="D11"/>
    </sheetView>
  </sheetViews>
  <sheetFormatPr baseColWidth="10" defaultColWidth="11.44140625" defaultRowHeight="14.4" x14ac:dyDescent="0.3"/>
  <cols>
    <col min="1" max="1" width="28.44140625" style="82" customWidth="1"/>
    <col min="2" max="2" width="22.33203125" style="82" bestFit="1" customWidth="1"/>
    <col min="3" max="3" width="18.44140625" style="82" bestFit="1" customWidth="1"/>
    <col min="4" max="5" width="15.109375" style="82" customWidth="1"/>
    <col min="6" max="6" width="21.5546875" style="91" bestFit="1" customWidth="1"/>
    <col min="8" max="8" width="12.5546875" customWidth="1"/>
    <col min="10" max="10" width="12.5546875" bestFit="1" customWidth="1"/>
    <col min="14" max="14" width="16.5546875" customWidth="1"/>
    <col min="15" max="15" width="21.88671875" customWidth="1"/>
  </cols>
  <sheetData>
    <row r="1" spans="1:15" x14ac:dyDescent="0.3">
      <c r="A1" s="125" t="s">
        <v>69</v>
      </c>
      <c r="B1" s="125"/>
      <c r="C1" s="125"/>
      <c r="D1" s="125"/>
      <c r="E1" s="125"/>
      <c r="F1" s="125"/>
    </row>
    <row r="2" spans="1:15" x14ac:dyDescent="0.3">
      <c r="A2" s="126"/>
      <c r="B2" s="126"/>
      <c r="C2" s="126"/>
      <c r="D2" s="126"/>
      <c r="E2" s="126"/>
      <c r="F2" s="126"/>
    </row>
    <row r="3" spans="1:15" ht="28.8" x14ac:dyDescent="0.3">
      <c r="A3" s="86" t="s">
        <v>70</v>
      </c>
      <c r="B3" s="87" t="s">
        <v>71</v>
      </c>
      <c r="C3" s="87" t="s">
        <v>72</v>
      </c>
      <c r="D3" s="88" t="s">
        <v>73</v>
      </c>
      <c r="E3" s="96"/>
      <c r="F3" s="89" t="s">
        <v>74</v>
      </c>
      <c r="I3" t="s">
        <v>75</v>
      </c>
    </row>
    <row r="4" spans="1:15" x14ac:dyDescent="0.3">
      <c r="A4" s="84"/>
      <c r="B4" s="84" t="s">
        <v>76</v>
      </c>
      <c r="C4" s="85">
        <v>145.80000000000001</v>
      </c>
      <c r="D4" s="85">
        <v>24.7</v>
      </c>
      <c r="E4" s="85"/>
      <c r="F4" s="90">
        <f>($J$4/8)/D4</f>
        <v>607.28744939271257</v>
      </c>
      <c r="I4" t="s">
        <v>77</v>
      </c>
      <c r="J4" s="20">
        <v>120000</v>
      </c>
    </row>
    <row r="5" spans="1:15" x14ac:dyDescent="0.3">
      <c r="B5" s="82" t="s">
        <v>78</v>
      </c>
      <c r="C5" s="83">
        <v>80.900000000000006</v>
      </c>
      <c r="D5" s="83">
        <v>44.5</v>
      </c>
      <c r="E5" s="83"/>
      <c r="F5" s="91">
        <f>($J$4/8)/D5</f>
        <v>337.07865168539325</v>
      </c>
    </row>
    <row r="6" spans="1:15" x14ac:dyDescent="0.3">
      <c r="A6" s="82">
        <v>3</v>
      </c>
      <c r="B6" s="82" t="s">
        <v>79</v>
      </c>
      <c r="C6" s="82">
        <v>152</v>
      </c>
      <c r="D6" s="82">
        <f>((C6*A6)/60)/60</f>
        <v>0.12666666666666665</v>
      </c>
      <c r="F6" s="95">
        <f>1/D6</f>
        <v>7.8947368421052646</v>
      </c>
    </row>
    <row r="7" spans="1:15" x14ac:dyDescent="0.3">
      <c r="A7" s="82">
        <v>5</v>
      </c>
      <c r="B7" s="82" t="s">
        <v>80</v>
      </c>
      <c r="C7" s="82">
        <v>152</v>
      </c>
      <c r="D7" s="82">
        <f t="shared" ref="D7:D10" si="0">((C7*A7)/60)/60</f>
        <v>0.21111111111111111</v>
      </c>
      <c r="F7" s="95">
        <f t="shared" ref="F7:F10" si="1">1/D7</f>
        <v>4.7368421052631575</v>
      </c>
      <c r="L7" s="120" t="s">
        <v>81</v>
      </c>
      <c r="M7" s="121"/>
      <c r="N7" s="121"/>
      <c r="O7" s="122"/>
    </row>
    <row r="8" spans="1:15" x14ac:dyDescent="0.3">
      <c r="A8" s="82">
        <v>2</v>
      </c>
      <c r="B8" s="82" t="s">
        <v>82</v>
      </c>
      <c r="C8" s="82">
        <v>152</v>
      </c>
      <c r="D8" s="82">
        <f t="shared" si="0"/>
        <v>8.4444444444444447E-2</v>
      </c>
      <c r="F8" s="95">
        <f t="shared" si="1"/>
        <v>11.842105263157894</v>
      </c>
      <c r="L8" s="94" t="s">
        <v>83</v>
      </c>
      <c r="M8" s="94" t="s">
        <v>2</v>
      </c>
      <c r="N8" s="94" t="s">
        <v>84</v>
      </c>
      <c r="O8" s="94" t="s">
        <v>85</v>
      </c>
    </row>
    <row r="9" spans="1:15" x14ac:dyDescent="0.3">
      <c r="A9" s="82">
        <v>3</v>
      </c>
      <c r="B9" s="82" t="s">
        <v>86</v>
      </c>
      <c r="C9" s="82">
        <v>152</v>
      </c>
      <c r="D9" s="82">
        <f t="shared" si="0"/>
        <v>0.12666666666666665</v>
      </c>
      <c r="F9" s="95">
        <f t="shared" si="1"/>
        <v>7.8947368421052646</v>
      </c>
      <c r="L9" s="2" t="str" cm="1">
        <f t="array" ref="L9">_xlfn.UNIQUE(_xlfn._xlws.FILTER(Despiece!B:B,COUNTIF(Mecanizado!A:A,Despiece!B:B)&gt;0,""))</f>
        <v/>
      </c>
      <c r="M9" s="2" t="str">
        <f>IF(SUMIF(Despiece!B:B,  Mecanizado!K9,Despiece!C:C)=0,"",SUMIF(Despiece!B:B,  Mecanizado!K9,Despiece!C:C))</f>
        <v/>
      </c>
      <c r="N9" s="12" t="str">
        <f t="shared" ref="N9:N39" si="2">IF(SUMIF(A9:A92,  L9, J9:J92)=0,"",SUMIF(A9:A92,  L9, J9:J92))</f>
        <v/>
      </c>
      <c r="O9" s="12" t="str">
        <f t="shared" ref="O9:O39" si="3">IFERROR(M9*N9,"")</f>
        <v/>
      </c>
    </row>
    <row r="10" spans="1:15" x14ac:dyDescent="0.3">
      <c r="A10" s="82">
        <v>1</v>
      </c>
      <c r="B10" s="82" t="s">
        <v>87</v>
      </c>
      <c r="C10" s="82">
        <v>152</v>
      </c>
      <c r="D10" s="82">
        <f t="shared" si="0"/>
        <v>4.2222222222222223E-2</v>
      </c>
      <c r="F10" s="95">
        <f t="shared" si="1"/>
        <v>23.684210526315788</v>
      </c>
      <c r="L10" s="2"/>
      <c r="M10" s="2" t="str">
        <f>IF(SUMIF(Despiece!B:B,  Mecanizado!K10,Despiece!C:C)=0,"",SUMIF(Despiece!B:B,  Mecanizado!K10,Despiece!C:C))</f>
        <v/>
      </c>
      <c r="N10" s="12" t="str">
        <f>IF(SUMIF(A10:A93,  L10, J10:J93)=0,"",SUMIF(A10:A93,  L10, J10:J93))</f>
        <v/>
      </c>
      <c r="O10" s="12" t="str">
        <f t="shared" si="3"/>
        <v/>
      </c>
    </row>
    <row r="11" spans="1:15" x14ac:dyDescent="0.3">
      <c r="L11" s="2"/>
      <c r="M11" s="2" t="str">
        <f>IF(SUMIF(Despiece!B:B,  Mecanizado!K11,Despiece!C:C)=0,"",SUMIF(Despiece!B:B,  Mecanizado!K11,Despiece!C:C))</f>
        <v/>
      </c>
      <c r="N11" s="12" t="str">
        <f t="shared" si="2"/>
        <v/>
      </c>
      <c r="O11" s="12" t="str">
        <f t="shared" si="3"/>
        <v/>
      </c>
    </row>
    <row r="12" spans="1:15" x14ac:dyDescent="0.3">
      <c r="L12" s="2"/>
      <c r="M12" s="2" t="str">
        <f>IF(SUMIF(Despiece!B:B,  Mecanizado!K12,Despiece!C:C)=0,"",SUMIF(Despiece!B:B,  Mecanizado!K12,Despiece!C:C))</f>
        <v/>
      </c>
      <c r="N12" s="12" t="str">
        <f t="shared" si="2"/>
        <v/>
      </c>
      <c r="O12" s="12" t="str">
        <f t="shared" si="3"/>
        <v/>
      </c>
    </row>
    <row r="13" spans="1:15" x14ac:dyDescent="0.3">
      <c r="L13" s="2"/>
      <c r="M13" s="2" t="str">
        <f>IF(SUMIF(Despiece!B:B,  Mecanizado!K13,Despiece!C:C)=0,"",SUMIF(Despiece!B:B,  Mecanizado!K13,Despiece!C:C))</f>
        <v/>
      </c>
      <c r="N13" s="12" t="str">
        <f t="shared" si="2"/>
        <v/>
      </c>
      <c r="O13" s="12" t="str">
        <f t="shared" si="3"/>
        <v/>
      </c>
    </row>
    <row r="14" spans="1:15" x14ac:dyDescent="0.3">
      <c r="L14" s="2"/>
      <c r="M14" s="2" t="str">
        <f>IF(SUMIF(Despiece!B:B,  Mecanizado!K14,Despiece!C:C)=0,"",SUMIF(Despiece!B:B,  Mecanizado!K14,Despiece!C:C))</f>
        <v/>
      </c>
      <c r="N14" s="12" t="str">
        <f t="shared" si="2"/>
        <v/>
      </c>
      <c r="O14" s="12" t="str">
        <f t="shared" si="3"/>
        <v/>
      </c>
    </row>
    <row r="15" spans="1:15" x14ac:dyDescent="0.3">
      <c r="L15" s="2"/>
      <c r="M15" s="2" t="str">
        <f>IF(SUMIF(Despiece!B:B,  Mecanizado!K15,Despiece!C:C)=0,"",SUMIF(Despiece!B:B,  Mecanizado!K15,Despiece!C:C))</f>
        <v/>
      </c>
      <c r="N15" s="12" t="str">
        <f t="shared" si="2"/>
        <v/>
      </c>
      <c r="O15" s="12" t="str">
        <f t="shared" si="3"/>
        <v/>
      </c>
    </row>
    <row r="16" spans="1:15" x14ac:dyDescent="0.3">
      <c r="L16" s="2"/>
      <c r="M16" s="2" t="str">
        <f>IF(SUMIF(Despiece!B:B,  Mecanizado!K16,Despiece!C:C)=0,"",SUMIF(Despiece!B:B,  Mecanizado!K16,Despiece!C:C))</f>
        <v/>
      </c>
      <c r="N16" s="12" t="str">
        <f t="shared" si="2"/>
        <v/>
      </c>
      <c r="O16" s="12" t="str">
        <f t="shared" si="3"/>
        <v/>
      </c>
    </row>
    <row r="17" spans="12:15" x14ac:dyDescent="0.3">
      <c r="L17" s="2"/>
      <c r="M17" s="2" t="str">
        <f>IF(SUMIF(Despiece!B:B,  Mecanizado!K17,Despiece!C:C)=0,"",SUMIF(Despiece!B:B,  Mecanizado!K17,Despiece!C:C))</f>
        <v/>
      </c>
      <c r="N17" s="12" t="str">
        <f t="shared" si="2"/>
        <v/>
      </c>
      <c r="O17" s="12" t="str">
        <f t="shared" si="3"/>
        <v/>
      </c>
    </row>
    <row r="18" spans="12:15" x14ac:dyDescent="0.3">
      <c r="L18" s="2"/>
      <c r="M18" s="2" t="str">
        <f>IF(SUMIF(Despiece!B:B,  Mecanizado!K18,Despiece!C:C)=0,"",SUMIF(Despiece!B:B,  Mecanizado!K18,Despiece!C:C))</f>
        <v/>
      </c>
      <c r="N18" s="12" t="str">
        <f t="shared" si="2"/>
        <v/>
      </c>
      <c r="O18" s="12" t="str">
        <f t="shared" si="3"/>
        <v/>
      </c>
    </row>
    <row r="19" spans="12:15" x14ac:dyDescent="0.3">
      <c r="L19" s="2"/>
      <c r="M19" s="2" t="str">
        <f>IF(SUMIF(Despiece!B:B,  Mecanizado!K19,Despiece!C:C)=0,"",SUMIF(Despiece!B:B,  Mecanizado!K19,Despiece!C:C))</f>
        <v/>
      </c>
      <c r="N19" s="12" t="str">
        <f t="shared" si="2"/>
        <v/>
      </c>
      <c r="O19" s="12" t="str">
        <f t="shared" si="3"/>
        <v/>
      </c>
    </row>
    <row r="20" spans="12:15" x14ac:dyDescent="0.3">
      <c r="L20" s="2"/>
      <c r="M20" s="2" t="str">
        <f>IF(SUMIF(Despiece!B:B,  Mecanizado!K20,Despiece!C:C)=0,"",SUMIF(Despiece!B:B,  Mecanizado!K20,Despiece!C:C))</f>
        <v/>
      </c>
      <c r="N20" s="12" t="str">
        <f t="shared" si="2"/>
        <v/>
      </c>
      <c r="O20" s="12" t="str">
        <f t="shared" si="3"/>
        <v/>
      </c>
    </row>
    <row r="21" spans="12:15" x14ac:dyDescent="0.3">
      <c r="L21" s="2"/>
      <c r="M21" s="2" t="str">
        <f>IF(SUMIF(Despiece!B:B,  Mecanizado!K21,Despiece!C:C)=0,"",SUMIF(Despiece!B:B,  Mecanizado!K21,Despiece!C:C))</f>
        <v/>
      </c>
      <c r="N21" s="12" t="str">
        <f t="shared" si="2"/>
        <v/>
      </c>
      <c r="O21" s="12" t="str">
        <f t="shared" si="3"/>
        <v/>
      </c>
    </row>
    <row r="22" spans="12:15" x14ac:dyDescent="0.3">
      <c r="L22" s="2"/>
      <c r="M22" s="2" t="str">
        <f>IF(SUMIF(Despiece!B:B,  Mecanizado!K22,Despiece!C:C)=0,"",SUMIF(Despiece!B:B,  Mecanizado!K22,Despiece!C:C))</f>
        <v/>
      </c>
      <c r="N22" s="12" t="str">
        <f t="shared" si="2"/>
        <v/>
      </c>
      <c r="O22" s="12" t="str">
        <f t="shared" si="3"/>
        <v/>
      </c>
    </row>
    <row r="23" spans="12:15" x14ac:dyDescent="0.3">
      <c r="L23" s="2"/>
      <c r="M23" s="2" t="str">
        <f>IF(SUMIF(Despiece!B:B,  Mecanizado!K23,Despiece!C:C)=0,"",SUMIF(Despiece!B:B,  Mecanizado!K23,Despiece!C:C))</f>
        <v/>
      </c>
      <c r="N23" s="12" t="str">
        <f t="shared" si="2"/>
        <v/>
      </c>
      <c r="O23" s="12" t="str">
        <f t="shared" si="3"/>
        <v/>
      </c>
    </row>
    <row r="24" spans="12:15" x14ac:dyDescent="0.3">
      <c r="L24" s="2"/>
      <c r="M24" s="2" t="str">
        <f>IF(SUMIF(Despiece!B:B,  Mecanizado!K24,Despiece!C:C)=0,"",SUMIF(Despiece!B:B,  Mecanizado!K24,Despiece!C:C))</f>
        <v/>
      </c>
      <c r="N24" s="12" t="str">
        <f t="shared" si="2"/>
        <v/>
      </c>
      <c r="O24" s="12" t="str">
        <f t="shared" si="3"/>
        <v/>
      </c>
    </row>
    <row r="25" spans="12:15" x14ac:dyDescent="0.3">
      <c r="L25" s="2"/>
      <c r="M25" s="2" t="str">
        <f>IF(SUMIF(Despiece!B:B,  Mecanizado!K25,Despiece!C:C)=0,"",SUMIF(Despiece!B:B,  Mecanizado!K25,Despiece!C:C))</f>
        <v/>
      </c>
      <c r="N25" s="12" t="str">
        <f t="shared" si="2"/>
        <v/>
      </c>
      <c r="O25" s="12" t="str">
        <f t="shared" si="3"/>
        <v/>
      </c>
    </row>
    <row r="26" spans="12:15" x14ac:dyDescent="0.3">
      <c r="L26" s="2"/>
      <c r="M26" s="2" t="str">
        <f>IF(SUMIF(Despiece!B:B,  Mecanizado!K26,Despiece!C:C)=0,"",SUMIF(Despiece!B:B,  Mecanizado!K26,Despiece!C:C))</f>
        <v/>
      </c>
      <c r="N26" s="12" t="str">
        <f t="shared" si="2"/>
        <v/>
      </c>
      <c r="O26" s="12" t="str">
        <f t="shared" si="3"/>
        <v/>
      </c>
    </row>
    <row r="27" spans="12:15" x14ac:dyDescent="0.3">
      <c r="L27" s="2"/>
      <c r="M27" s="2" t="str">
        <f>IF(SUMIF(Despiece!B:B,  Mecanizado!K27,Despiece!C:C)=0,"",SUMIF(Despiece!B:B,  Mecanizado!K27,Despiece!C:C))</f>
        <v/>
      </c>
      <c r="N27" s="12" t="str">
        <f t="shared" si="2"/>
        <v/>
      </c>
      <c r="O27" s="12" t="str">
        <f t="shared" si="3"/>
        <v/>
      </c>
    </row>
    <row r="28" spans="12:15" x14ac:dyDescent="0.3">
      <c r="L28" s="2"/>
      <c r="M28" s="2" t="str">
        <f>IF(SUMIF(Despiece!B:B,  Mecanizado!K28,Despiece!C:C)=0,"",SUMIF(Despiece!B:B,  Mecanizado!K28,Despiece!C:C))</f>
        <v/>
      </c>
      <c r="N28" s="12" t="str">
        <f t="shared" si="2"/>
        <v/>
      </c>
      <c r="O28" s="12" t="str">
        <f t="shared" si="3"/>
        <v/>
      </c>
    </row>
    <row r="29" spans="12:15" x14ac:dyDescent="0.3">
      <c r="L29" s="2"/>
      <c r="M29" s="2" t="str">
        <f>IF(SUMIF(Despiece!B:B,  Mecanizado!K29,Despiece!C:C)=0,"",SUMIF(Despiece!B:B,  Mecanizado!K29,Despiece!C:C))</f>
        <v/>
      </c>
      <c r="N29" s="12" t="str">
        <f t="shared" si="2"/>
        <v/>
      </c>
      <c r="O29" s="12" t="str">
        <f t="shared" si="3"/>
        <v/>
      </c>
    </row>
    <row r="30" spans="12:15" x14ac:dyDescent="0.3">
      <c r="L30" s="2"/>
      <c r="M30" s="2" t="str">
        <f>IF(SUMIF(Despiece!B:B,  Mecanizado!K30,Despiece!C:C)=0,"",SUMIF(Despiece!B:B,  Mecanizado!K30,Despiece!C:C))</f>
        <v/>
      </c>
      <c r="N30" s="12" t="str">
        <f t="shared" si="2"/>
        <v/>
      </c>
      <c r="O30" s="12" t="str">
        <f t="shared" si="3"/>
        <v/>
      </c>
    </row>
    <row r="31" spans="12:15" x14ac:dyDescent="0.3">
      <c r="L31" s="2"/>
      <c r="M31" s="2" t="str">
        <f>IF(SUMIF(Despiece!B:B,  Mecanizado!K31,Despiece!C:C)=0,"",SUMIF(Despiece!B:B,  Mecanizado!K31,Despiece!C:C))</f>
        <v/>
      </c>
      <c r="N31" s="12" t="str">
        <f t="shared" si="2"/>
        <v/>
      </c>
      <c r="O31" s="12" t="str">
        <f t="shared" si="3"/>
        <v/>
      </c>
    </row>
    <row r="32" spans="12:15" x14ac:dyDescent="0.3">
      <c r="L32" s="2"/>
      <c r="M32" s="2" t="str">
        <f>IF(SUMIF(Despiece!B:B,  Mecanizado!K32,Despiece!C:C)=0,"",SUMIF(Despiece!B:B,  Mecanizado!K32,Despiece!C:C))</f>
        <v/>
      </c>
      <c r="N32" s="12" t="str">
        <f t="shared" si="2"/>
        <v/>
      </c>
      <c r="O32" s="12" t="str">
        <f t="shared" si="3"/>
        <v/>
      </c>
    </row>
    <row r="33" spans="12:15" x14ac:dyDescent="0.3">
      <c r="L33" s="2"/>
      <c r="M33" s="2" t="str">
        <f>IF(SUMIF(Despiece!B:B,  Mecanizado!K33,Despiece!C:C)=0,"",SUMIF(Despiece!B:B,  Mecanizado!K33,Despiece!C:C))</f>
        <v/>
      </c>
      <c r="N33" s="12" t="str">
        <f t="shared" si="2"/>
        <v/>
      </c>
      <c r="O33" s="12" t="str">
        <f t="shared" si="3"/>
        <v/>
      </c>
    </row>
    <row r="34" spans="12:15" x14ac:dyDescent="0.3">
      <c r="L34" s="2"/>
      <c r="M34" s="2" t="str">
        <f>IF(SUMIF(Despiece!B:B,  Mecanizado!K34,Despiece!C:C)=0,"",SUMIF(Despiece!B:B,  Mecanizado!K34,Despiece!C:C))</f>
        <v/>
      </c>
      <c r="N34" s="12" t="str">
        <f t="shared" si="2"/>
        <v/>
      </c>
      <c r="O34" s="12" t="str">
        <f t="shared" si="3"/>
        <v/>
      </c>
    </row>
    <row r="35" spans="12:15" x14ac:dyDescent="0.3">
      <c r="L35" s="2"/>
      <c r="M35" s="2" t="str">
        <f>IF(SUMIF(Despiece!B:B,  Mecanizado!K35,Despiece!C:C)=0,"",SUMIF(Despiece!B:B,  Mecanizado!K35,Despiece!C:C))</f>
        <v/>
      </c>
      <c r="N35" s="12" t="str">
        <f t="shared" si="2"/>
        <v/>
      </c>
      <c r="O35" s="12" t="str">
        <f t="shared" si="3"/>
        <v/>
      </c>
    </row>
    <row r="36" spans="12:15" x14ac:dyDescent="0.3">
      <c r="L36" s="2"/>
      <c r="M36" s="2" t="str">
        <f>IF(SUMIF(Despiece!B:B,  Mecanizado!K36,Despiece!C:C)=0,"",SUMIF(Despiece!B:B,  Mecanizado!K36,Despiece!C:C))</f>
        <v/>
      </c>
      <c r="N36" s="12" t="str">
        <f t="shared" si="2"/>
        <v/>
      </c>
      <c r="O36" s="12" t="str">
        <f t="shared" si="3"/>
        <v/>
      </c>
    </row>
    <row r="37" spans="12:15" x14ac:dyDescent="0.3">
      <c r="L37" s="2"/>
      <c r="M37" s="2" t="str">
        <f>IF(SUMIF(Despiece!B:B,  Mecanizado!K37,Despiece!C:C)=0,"",SUMIF(Despiece!B:B,  Mecanizado!K37,Despiece!C:C))</f>
        <v/>
      </c>
      <c r="N37" s="12" t="str">
        <f t="shared" si="2"/>
        <v/>
      </c>
      <c r="O37" s="12" t="str">
        <f t="shared" si="3"/>
        <v/>
      </c>
    </row>
    <row r="38" spans="12:15" x14ac:dyDescent="0.3">
      <c r="L38" s="2"/>
      <c r="M38" s="2" t="str">
        <f>IF(SUMIF(Despiece!B:B,  Mecanizado!K38,Despiece!C:C)=0,"",SUMIF(Despiece!B:B,  Mecanizado!K38,Despiece!C:C))</f>
        <v/>
      </c>
      <c r="N38" s="12" t="str">
        <f t="shared" si="2"/>
        <v/>
      </c>
      <c r="O38" s="12" t="str">
        <f t="shared" si="3"/>
        <v/>
      </c>
    </row>
    <row r="39" spans="12:15" x14ac:dyDescent="0.3">
      <c r="L39" s="2"/>
      <c r="M39" s="2" t="str">
        <f>IF(SUMIF(Despiece!B:B,  Mecanizado!K39,Despiece!C:C)=0,"",SUMIF(Despiece!B:B,  Mecanizado!K39,Despiece!C:C))</f>
        <v/>
      </c>
      <c r="N39" s="12" t="str">
        <f t="shared" si="2"/>
        <v/>
      </c>
      <c r="O39" s="12" t="str">
        <f t="shared" si="3"/>
        <v/>
      </c>
    </row>
    <row r="40" spans="12:15" x14ac:dyDescent="0.3">
      <c r="L40" s="127" t="s">
        <v>29</v>
      </c>
      <c r="M40" s="128"/>
      <c r="N40" s="129"/>
      <c r="O40" s="12">
        <f>SUM(O9:O39)</f>
        <v>0</v>
      </c>
    </row>
  </sheetData>
  <mergeCells count="3">
    <mergeCell ref="A1:F2"/>
    <mergeCell ref="L7:O7"/>
    <mergeCell ref="L40:N4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998F2-56D7-48B6-BE33-3F5B9209159E}">
  <sheetPr codeName="Hoja4"/>
  <dimension ref="A1:G1683"/>
  <sheetViews>
    <sheetView tabSelected="1" topLeftCell="A957" workbookViewId="0">
      <selection activeCell="F594" sqref="F594:F991"/>
    </sheetView>
  </sheetViews>
  <sheetFormatPr baseColWidth="10" defaultColWidth="11.44140625" defaultRowHeight="14.4" x14ac:dyDescent="0.3"/>
  <cols>
    <col min="1" max="1" width="22.88671875" style="93" customWidth="1"/>
    <col min="2" max="2" width="11.44140625" style="93"/>
    <col min="3" max="3" width="34.44140625" style="93" customWidth="1"/>
    <col min="4" max="5" width="11.44140625" style="93"/>
    <col min="6" max="6" width="29.109375" style="17" customWidth="1"/>
    <col min="7" max="7" width="42.77734375" customWidth="1"/>
    <col min="8" max="12" width="67.109375" customWidth="1"/>
    <col min="13" max="14" width="12.33203125" customWidth="1"/>
  </cols>
  <sheetData>
    <row r="1" spans="1:7" ht="15" customHeight="1" x14ac:dyDescent="0.3">
      <c r="A1" s="8" t="s">
        <v>88</v>
      </c>
      <c r="B1" s="8" t="s">
        <v>89</v>
      </c>
      <c r="C1" s="8" t="s">
        <v>90</v>
      </c>
      <c r="D1" s="8" t="s">
        <v>19</v>
      </c>
      <c r="E1" s="8" t="s">
        <v>91</v>
      </c>
      <c r="F1" s="104" t="s">
        <v>92</v>
      </c>
      <c r="G1" s="8" t="s">
        <v>37</v>
      </c>
    </row>
    <row r="2" spans="1:7" ht="15" customHeight="1" x14ac:dyDescent="0.3">
      <c r="A2" s="93" t="s">
        <v>502</v>
      </c>
      <c r="B2" s="93" t="s">
        <v>93</v>
      </c>
      <c r="C2" s="93" t="s">
        <v>94</v>
      </c>
      <c r="D2" s="93" t="s">
        <v>503</v>
      </c>
      <c r="E2" s="93" t="s">
        <v>504</v>
      </c>
      <c r="F2" s="106">
        <v>119432</v>
      </c>
      <c r="G2" s="8" t="s">
        <v>505</v>
      </c>
    </row>
    <row r="3" spans="1:7" ht="15" customHeight="1" x14ac:dyDescent="0.3">
      <c r="A3" s="93" t="s">
        <v>502</v>
      </c>
      <c r="B3" s="93" t="s">
        <v>93</v>
      </c>
      <c r="C3" s="93" t="s">
        <v>94</v>
      </c>
      <c r="D3" s="93" t="s">
        <v>503</v>
      </c>
      <c r="E3" s="93" t="s">
        <v>506</v>
      </c>
      <c r="F3" s="106">
        <v>146677</v>
      </c>
      <c r="G3" s="8" t="s">
        <v>505</v>
      </c>
    </row>
    <row r="4" spans="1:7" ht="15" customHeight="1" x14ac:dyDescent="0.3">
      <c r="A4" s="93" t="s">
        <v>502</v>
      </c>
      <c r="B4" s="93" t="s">
        <v>93</v>
      </c>
      <c r="C4" s="93" t="s">
        <v>94</v>
      </c>
      <c r="D4" s="93" t="s">
        <v>503</v>
      </c>
      <c r="E4" s="93" t="s">
        <v>507</v>
      </c>
      <c r="F4" s="106">
        <v>165192</v>
      </c>
      <c r="G4" s="8" t="s">
        <v>505</v>
      </c>
    </row>
    <row r="5" spans="1:7" ht="15" customHeight="1" x14ac:dyDescent="0.3">
      <c r="A5" s="93" t="s">
        <v>502</v>
      </c>
      <c r="B5" s="93" t="s">
        <v>93</v>
      </c>
      <c r="C5" s="93" t="s">
        <v>94</v>
      </c>
      <c r="D5" s="93" t="s">
        <v>503</v>
      </c>
      <c r="E5" s="93" t="s">
        <v>508</v>
      </c>
      <c r="F5" s="106">
        <v>177677</v>
      </c>
      <c r="G5" s="8" t="s">
        <v>505</v>
      </c>
    </row>
    <row r="6" spans="1:7" ht="15" customHeight="1" x14ac:dyDescent="0.3">
      <c r="A6" s="93" t="s">
        <v>502</v>
      </c>
      <c r="B6" s="93" t="s">
        <v>93</v>
      </c>
      <c r="C6" s="93" t="s">
        <v>94</v>
      </c>
      <c r="D6" s="93" t="s">
        <v>503</v>
      </c>
      <c r="E6" s="93" t="s">
        <v>509</v>
      </c>
      <c r="F6" s="106">
        <v>197966</v>
      </c>
      <c r="G6" s="8" t="s">
        <v>505</v>
      </c>
    </row>
    <row r="7" spans="1:7" ht="15" customHeight="1" x14ac:dyDescent="0.3">
      <c r="A7" s="93" t="s">
        <v>502</v>
      </c>
      <c r="B7" s="93" t="s">
        <v>93</v>
      </c>
      <c r="C7" s="93" t="s">
        <v>94</v>
      </c>
      <c r="D7" s="93" t="s">
        <v>503</v>
      </c>
      <c r="E7" s="93" t="s">
        <v>510</v>
      </c>
      <c r="F7" s="106">
        <v>267320</v>
      </c>
      <c r="G7" s="8" t="s">
        <v>505</v>
      </c>
    </row>
    <row r="8" spans="1:7" ht="15" customHeight="1" x14ac:dyDescent="0.3">
      <c r="A8" s="93" t="s">
        <v>502</v>
      </c>
      <c r="B8" s="93" t="s">
        <v>93</v>
      </c>
      <c r="C8" s="93" t="s">
        <v>94</v>
      </c>
      <c r="D8" s="93" t="s">
        <v>503</v>
      </c>
      <c r="E8" s="93" t="s">
        <v>511</v>
      </c>
      <c r="F8" s="106">
        <v>297784</v>
      </c>
      <c r="G8" s="8" t="s">
        <v>505</v>
      </c>
    </row>
    <row r="9" spans="1:7" ht="15" customHeight="1" x14ac:dyDescent="0.3">
      <c r="A9" s="93" t="s">
        <v>502</v>
      </c>
      <c r="B9" s="93" t="s">
        <v>93</v>
      </c>
      <c r="C9" s="93" t="s">
        <v>94</v>
      </c>
      <c r="D9" s="93" t="s">
        <v>503</v>
      </c>
      <c r="E9" s="93" t="s">
        <v>512</v>
      </c>
      <c r="F9" s="106">
        <v>298320</v>
      </c>
      <c r="G9" s="8" t="s">
        <v>505</v>
      </c>
    </row>
    <row r="10" spans="1:7" ht="15" customHeight="1" x14ac:dyDescent="0.3">
      <c r="A10" s="93" t="s">
        <v>502</v>
      </c>
      <c r="B10" s="93" t="s">
        <v>96</v>
      </c>
      <c r="C10" s="93" t="s">
        <v>94</v>
      </c>
      <c r="D10" s="93" t="s">
        <v>503</v>
      </c>
      <c r="E10" s="93" t="s">
        <v>504</v>
      </c>
      <c r="F10" s="106">
        <v>158348</v>
      </c>
      <c r="G10" s="8" t="s">
        <v>505</v>
      </c>
    </row>
    <row r="11" spans="1:7" ht="15" customHeight="1" x14ac:dyDescent="0.3">
      <c r="A11" s="93" t="s">
        <v>502</v>
      </c>
      <c r="B11" s="93" t="s">
        <v>96</v>
      </c>
      <c r="C11" s="93" t="s">
        <v>94</v>
      </c>
      <c r="D11" s="93" t="s">
        <v>503</v>
      </c>
      <c r="E11" s="93" t="s">
        <v>506</v>
      </c>
      <c r="F11" s="106">
        <v>170405</v>
      </c>
      <c r="G11" s="8" t="s">
        <v>505</v>
      </c>
    </row>
    <row r="12" spans="1:7" ht="15" customHeight="1" x14ac:dyDescent="0.3">
      <c r="A12" s="93" t="s">
        <v>502</v>
      </c>
      <c r="B12" s="93" t="s">
        <v>96</v>
      </c>
      <c r="C12" s="93" t="s">
        <v>94</v>
      </c>
      <c r="D12" s="93" t="s">
        <v>503</v>
      </c>
      <c r="E12" s="93" t="s">
        <v>507</v>
      </c>
      <c r="F12" s="106">
        <v>176745</v>
      </c>
      <c r="G12" s="8" t="s">
        <v>505</v>
      </c>
    </row>
    <row r="13" spans="1:7" ht="15" customHeight="1" x14ac:dyDescent="0.3">
      <c r="A13" s="93" t="s">
        <v>502</v>
      </c>
      <c r="B13" s="93" t="s">
        <v>96</v>
      </c>
      <c r="C13" s="93" t="s">
        <v>94</v>
      </c>
      <c r="D13" s="93" t="s">
        <v>503</v>
      </c>
      <c r="E13" s="93" t="s">
        <v>508</v>
      </c>
      <c r="F13" s="106">
        <v>206322</v>
      </c>
      <c r="G13" s="8" t="s">
        <v>505</v>
      </c>
    </row>
    <row r="14" spans="1:7" ht="15" customHeight="1" x14ac:dyDescent="0.3">
      <c r="A14" s="93" t="s">
        <v>502</v>
      </c>
      <c r="B14" s="93" t="s">
        <v>96</v>
      </c>
      <c r="C14" s="93" t="s">
        <v>94</v>
      </c>
      <c r="D14" s="93" t="s">
        <v>503</v>
      </c>
      <c r="E14" s="93" t="s">
        <v>509</v>
      </c>
      <c r="F14" s="106">
        <v>229909</v>
      </c>
      <c r="G14" s="8" t="s">
        <v>505</v>
      </c>
    </row>
    <row r="15" spans="1:7" ht="15" customHeight="1" x14ac:dyDescent="0.3">
      <c r="A15" s="93" t="s">
        <v>502</v>
      </c>
      <c r="B15" s="93" t="s">
        <v>96</v>
      </c>
      <c r="C15" s="93" t="s">
        <v>94</v>
      </c>
      <c r="D15" s="93" t="s">
        <v>503</v>
      </c>
      <c r="E15" s="93" t="s">
        <v>510</v>
      </c>
      <c r="F15" s="106">
        <v>310425</v>
      </c>
      <c r="G15" s="8" t="s">
        <v>505</v>
      </c>
    </row>
    <row r="16" spans="1:7" ht="15" customHeight="1" x14ac:dyDescent="0.3">
      <c r="A16" s="93" t="s">
        <v>502</v>
      </c>
      <c r="B16" s="93" t="s">
        <v>96</v>
      </c>
      <c r="C16" s="93" t="s">
        <v>94</v>
      </c>
      <c r="D16" s="93" t="s">
        <v>503</v>
      </c>
      <c r="E16" s="93" t="s">
        <v>511</v>
      </c>
      <c r="F16" s="106">
        <v>345901</v>
      </c>
      <c r="G16" s="8" t="s">
        <v>505</v>
      </c>
    </row>
    <row r="17" spans="1:7" ht="15" customHeight="1" x14ac:dyDescent="0.3">
      <c r="A17" s="93" t="s">
        <v>502</v>
      </c>
      <c r="B17" s="93" t="s">
        <v>96</v>
      </c>
      <c r="C17" s="93" t="s">
        <v>94</v>
      </c>
      <c r="D17" s="93" t="s">
        <v>503</v>
      </c>
      <c r="E17" s="93" t="s">
        <v>512</v>
      </c>
      <c r="F17" s="106">
        <v>346526</v>
      </c>
      <c r="G17" s="8" t="s">
        <v>505</v>
      </c>
    </row>
    <row r="18" spans="1:7" ht="15" customHeight="1" x14ac:dyDescent="0.3">
      <c r="A18" s="93" t="s">
        <v>513</v>
      </c>
      <c r="B18" s="93" t="s">
        <v>93</v>
      </c>
      <c r="C18" s="93" t="s">
        <v>94</v>
      </c>
      <c r="D18" s="93" t="s">
        <v>503</v>
      </c>
      <c r="E18" s="93" t="s">
        <v>504</v>
      </c>
      <c r="F18" s="106">
        <v>119432</v>
      </c>
      <c r="G18" s="8" t="s">
        <v>505</v>
      </c>
    </row>
    <row r="19" spans="1:7" ht="15" customHeight="1" x14ac:dyDescent="0.3">
      <c r="A19" s="93" t="s">
        <v>513</v>
      </c>
      <c r="B19" s="93" t="s">
        <v>93</v>
      </c>
      <c r="C19" s="93" t="s">
        <v>94</v>
      </c>
      <c r="D19" s="93" t="s">
        <v>503</v>
      </c>
      <c r="E19" s="93" t="s">
        <v>506</v>
      </c>
      <c r="F19" s="106">
        <v>146677</v>
      </c>
      <c r="G19" s="8" t="s">
        <v>505</v>
      </c>
    </row>
    <row r="20" spans="1:7" ht="15" customHeight="1" x14ac:dyDescent="0.3">
      <c r="A20" s="93" t="s">
        <v>513</v>
      </c>
      <c r="B20" s="93" t="s">
        <v>93</v>
      </c>
      <c r="C20" s="93" t="s">
        <v>94</v>
      </c>
      <c r="D20" s="93" t="s">
        <v>503</v>
      </c>
      <c r="E20" s="93" t="s">
        <v>507</v>
      </c>
      <c r="F20" s="106">
        <v>165192</v>
      </c>
      <c r="G20" s="8" t="s">
        <v>505</v>
      </c>
    </row>
    <row r="21" spans="1:7" ht="15" customHeight="1" x14ac:dyDescent="0.3">
      <c r="A21" s="93" t="s">
        <v>513</v>
      </c>
      <c r="B21" s="93" t="s">
        <v>93</v>
      </c>
      <c r="C21" s="93" t="s">
        <v>94</v>
      </c>
      <c r="D21" s="93" t="s">
        <v>503</v>
      </c>
      <c r="E21" s="93" t="s">
        <v>508</v>
      </c>
      <c r="F21" s="106">
        <v>177677</v>
      </c>
      <c r="G21" s="8" t="s">
        <v>505</v>
      </c>
    </row>
    <row r="22" spans="1:7" ht="15" customHeight="1" x14ac:dyDescent="0.3">
      <c r="A22" s="93" t="s">
        <v>513</v>
      </c>
      <c r="B22" s="93" t="s">
        <v>93</v>
      </c>
      <c r="C22" s="93" t="s">
        <v>94</v>
      </c>
      <c r="D22" s="93" t="s">
        <v>503</v>
      </c>
      <c r="E22" s="93" t="s">
        <v>509</v>
      </c>
      <c r="F22" s="106">
        <v>197966</v>
      </c>
      <c r="G22" s="8" t="s">
        <v>505</v>
      </c>
    </row>
    <row r="23" spans="1:7" ht="15" customHeight="1" x14ac:dyDescent="0.3">
      <c r="A23" s="93" t="s">
        <v>513</v>
      </c>
      <c r="B23" s="93" t="s">
        <v>93</v>
      </c>
      <c r="C23" s="93" t="s">
        <v>94</v>
      </c>
      <c r="D23" s="93" t="s">
        <v>503</v>
      </c>
      <c r="E23" s="93" t="s">
        <v>510</v>
      </c>
      <c r="F23" s="106">
        <v>267320</v>
      </c>
      <c r="G23" s="8" t="s">
        <v>505</v>
      </c>
    </row>
    <row r="24" spans="1:7" ht="15" customHeight="1" x14ac:dyDescent="0.3">
      <c r="A24" s="93" t="s">
        <v>513</v>
      </c>
      <c r="B24" s="93" t="s">
        <v>93</v>
      </c>
      <c r="C24" s="93" t="s">
        <v>94</v>
      </c>
      <c r="D24" s="93" t="s">
        <v>503</v>
      </c>
      <c r="E24" s="93" t="s">
        <v>511</v>
      </c>
      <c r="F24" s="106">
        <v>297784</v>
      </c>
      <c r="G24" s="8" t="s">
        <v>505</v>
      </c>
    </row>
    <row r="25" spans="1:7" ht="15" customHeight="1" x14ac:dyDescent="0.3">
      <c r="A25" s="93" t="s">
        <v>513</v>
      </c>
      <c r="B25" s="93" t="s">
        <v>93</v>
      </c>
      <c r="C25" s="93" t="s">
        <v>94</v>
      </c>
      <c r="D25" s="93" t="s">
        <v>503</v>
      </c>
      <c r="E25" s="93" t="s">
        <v>512</v>
      </c>
      <c r="F25" s="106">
        <v>298320</v>
      </c>
      <c r="G25" s="8" t="s">
        <v>505</v>
      </c>
    </row>
    <row r="26" spans="1:7" ht="15" customHeight="1" x14ac:dyDescent="0.3">
      <c r="A26" s="93" t="s">
        <v>513</v>
      </c>
      <c r="B26" s="93" t="s">
        <v>96</v>
      </c>
      <c r="C26" s="93" t="s">
        <v>94</v>
      </c>
      <c r="D26" s="93" t="s">
        <v>503</v>
      </c>
      <c r="E26" s="93" t="s">
        <v>504</v>
      </c>
      <c r="F26" s="106">
        <v>158348</v>
      </c>
      <c r="G26" s="8" t="s">
        <v>505</v>
      </c>
    </row>
    <row r="27" spans="1:7" ht="15" customHeight="1" x14ac:dyDescent="0.3">
      <c r="A27" s="93" t="s">
        <v>513</v>
      </c>
      <c r="B27" s="93" t="s">
        <v>96</v>
      </c>
      <c r="C27" s="93" t="s">
        <v>94</v>
      </c>
      <c r="D27" s="93" t="s">
        <v>503</v>
      </c>
      <c r="E27" s="93" t="s">
        <v>506</v>
      </c>
      <c r="F27" s="106">
        <v>170405</v>
      </c>
      <c r="G27" s="8" t="s">
        <v>505</v>
      </c>
    </row>
    <row r="28" spans="1:7" ht="15" customHeight="1" x14ac:dyDescent="0.3">
      <c r="A28" s="93" t="s">
        <v>513</v>
      </c>
      <c r="B28" s="93" t="s">
        <v>96</v>
      </c>
      <c r="C28" s="93" t="s">
        <v>94</v>
      </c>
      <c r="D28" s="93" t="s">
        <v>503</v>
      </c>
      <c r="E28" s="93" t="s">
        <v>507</v>
      </c>
      <c r="F28" s="106">
        <v>176745</v>
      </c>
      <c r="G28" s="8" t="s">
        <v>505</v>
      </c>
    </row>
    <row r="29" spans="1:7" ht="15" customHeight="1" x14ac:dyDescent="0.3">
      <c r="A29" s="93" t="s">
        <v>513</v>
      </c>
      <c r="B29" s="93" t="s">
        <v>96</v>
      </c>
      <c r="C29" s="93" t="s">
        <v>94</v>
      </c>
      <c r="D29" s="93" t="s">
        <v>503</v>
      </c>
      <c r="E29" s="93" t="s">
        <v>508</v>
      </c>
      <c r="F29" s="106">
        <v>206322</v>
      </c>
      <c r="G29" s="8" t="s">
        <v>505</v>
      </c>
    </row>
    <row r="30" spans="1:7" ht="15" customHeight="1" x14ac:dyDescent="0.3">
      <c r="A30" s="93" t="s">
        <v>513</v>
      </c>
      <c r="B30" s="93" t="s">
        <v>96</v>
      </c>
      <c r="C30" s="93" t="s">
        <v>94</v>
      </c>
      <c r="D30" s="93" t="s">
        <v>503</v>
      </c>
      <c r="E30" s="93" t="s">
        <v>509</v>
      </c>
      <c r="F30" s="106">
        <v>229909</v>
      </c>
      <c r="G30" s="8" t="s">
        <v>505</v>
      </c>
    </row>
    <row r="31" spans="1:7" ht="15" customHeight="1" x14ac:dyDescent="0.3">
      <c r="A31" s="93" t="s">
        <v>513</v>
      </c>
      <c r="B31" s="93" t="s">
        <v>96</v>
      </c>
      <c r="C31" s="93" t="s">
        <v>94</v>
      </c>
      <c r="D31" s="93" t="s">
        <v>503</v>
      </c>
      <c r="E31" s="93" t="s">
        <v>510</v>
      </c>
      <c r="F31" s="106">
        <v>310425</v>
      </c>
      <c r="G31" s="8" t="s">
        <v>505</v>
      </c>
    </row>
    <row r="32" spans="1:7" ht="15" customHeight="1" x14ac:dyDescent="0.3">
      <c r="A32" s="93" t="s">
        <v>513</v>
      </c>
      <c r="B32" s="93" t="s">
        <v>96</v>
      </c>
      <c r="C32" s="93" t="s">
        <v>94</v>
      </c>
      <c r="D32" s="93" t="s">
        <v>503</v>
      </c>
      <c r="E32" s="93" t="s">
        <v>511</v>
      </c>
      <c r="F32" s="106">
        <v>345901</v>
      </c>
      <c r="G32" s="8" t="s">
        <v>505</v>
      </c>
    </row>
    <row r="33" spans="1:7" ht="15" customHeight="1" x14ac:dyDescent="0.3">
      <c r="A33" s="93" t="s">
        <v>513</v>
      </c>
      <c r="B33" s="93" t="s">
        <v>96</v>
      </c>
      <c r="C33" s="93" t="s">
        <v>94</v>
      </c>
      <c r="D33" s="93" t="s">
        <v>503</v>
      </c>
      <c r="E33" s="93" t="s">
        <v>512</v>
      </c>
      <c r="F33" s="106">
        <v>346526</v>
      </c>
      <c r="G33" s="8" t="s">
        <v>505</v>
      </c>
    </row>
    <row r="34" spans="1:7" ht="15" customHeight="1" x14ac:dyDescent="0.3">
      <c r="A34" s="93" t="s">
        <v>514</v>
      </c>
      <c r="B34" s="93" t="s">
        <v>93</v>
      </c>
      <c r="C34" s="93" t="s">
        <v>94</v>
      </c>
      <c r="D34" s="93" t="s">
        <v>503</v>
      </c>
      <c r="E34" s="93" t="s">
        <v>504</v>
      </c>
      <c r="F34" s="106">
        <v>119432</v>
      </c>
      <c r="G34" s="8" t="s">
        <v>505</v>
      </c>
    </row>
    <row r="35" spans="1:7" ht="15" customHeight="1" x14ac:dyDescent="0.3">
      <c r="A35" s="93" t="s">
        <v>514</v>
      </c>
      <c r="B35" s="93" t="s">
        <v>93</v>
      </c>
      <c r="C35" s="93" t="s">
        <v>94</v>
      </c>
      <c r="D35" s="93" t="s">
        <v>503</v>
      </c>
      <c r="E35" s="93" t="s">
        <v>506</v>
      </c>
      <c r="F35" s="106">
        <v>146677</v>
      </c>
      <c r="G35" s="8" t="s">
        <v>505</v>
      </c>
    </row>
    <row r="36" spans="1:7" ht="15" customHeight="1" x14ac:dyDescent="0.3">
      <c r="A36" s="93" t="s">
        <v>514</v>
      </c>
      <c r="B36" s="93" t="s">
        <v>93</v>
      </c>
      <c r="C36" s="93" t="s">
        <v>94</v>
      </c>
      <c r="D36" s="93" t="s">
        <v>503</v>
      </c>
      <c r="E36" s="93" t="s">
        <v>507</v>
      </c>
      <c r="F36" s="106">
        <v>165192</v>
      </c>
      <c r="G36" s="8" t="s">
        <v>505</v>
      </c>
    </row>
    <row r="37" spans="1:7" ht="15" customHeight="1" x14ac:dyDescent="0.3">
      <c r="A37" s="93" t="s">
        <v>514</v>
      </c>
      <c r="B37" s="93" t="s">
        <v>93</v>
      </c>
      <c r="C37" s="93" t="s">
        <v>94</v>
      </c>
      <c r="D37" s="93" t="s">
        <v>503</v>
      </c>
      <c r="E37" s="93" t="s">
        <v>508</v>
      </c>
      <c r="F37" s="106">
        <v>177677</v>
      </c>
      <c r="G37" s="8" t="s">
        <v>505</v>
      </c>
    </row>
    <row r="38" spans="1:7" ht="15" customHeight="1" x14ac:dyDescent="0.3">
      <c r="A38" s="93" t="s">
        <v>514</v>
      </c>
      <c r="B38" s="93" t="s">
        <v>93</v>
      </c>
      <c r="C38" s="93" t="s">
        <v>94</v>
      </c>
      <c r="D38" s="93" t="s">
        <v>503</v>
      </c>
      <c r="E38" s="93" t="s">
        <v>509</v>
      </c>
      <c r="F38" s="106">
        <v>197966</v>
      </c>
      <c r="G38" s="8" t="s">
        <v>505</v>
      </c>
    </row>
    <row r="39" spans="1:7" ht="15" customHeight="1" x14ac:dyDescent="0.3">
      <c r="A39" s="93" t="s">
        <v>514</v>
      </c>
      <c r="B39" s="93" t="s">
        <v>93</v>
      </c>
      <c r="C39" s="93" t="s">
        <v>94</v>
      </c>
      <c r="D39" s="93" t="s">
        <v>503</v>
      </c>
      <c r="E39" s="93" t="s">
        <v>510</v>
      </c>
      <c r="F39" s="106">
        <v>267320</v>
      </c>
      <c r="G39" s="8" t="s">
        <v>505</v>
      </c>
    </row>
    <row r="40" spans="1:7" ht="15" customHeight="1" x14ac:dyDescent="0.3">
      <c r="A40" s="93" t="s">
        <v>514</v>
      </c>
      <c r="B40" s="93" t="s">
        <v>93</v>
      </c>
      <c r="C40" s="93" t="s">
        <v>94</v>
      </c>
      <c r="D40" s="93" t="s">
        <v>503</v>
      </c>
      <c r="E40" s="93" t="s">
        <v>511</v>
      </c>
      <c r="F40" s="106">
        <v>297784</v>
      </c>
      <c r="G40" s="8" t="s">
        <v>505</v>
      </c>
    </row>
    <row r="41" spans="1:7" ht="15" customHeight="1" x14ac:dyDescent="0.3">
      <c r="A41" s="93" t="s">
        <v>514</v>
      </c>
      <c r="B41" s="93" t="s">
        <v>93</v>
      </c>
      <c r="C41" s="93" t="s">
        <v>94</v>
      </c>
      <c r="D41" s="93" t="s">
        <v>503</v>
      </c>
      <c r="E41" s="93" t="s">
        <v>512</v>
      </c>
      <c r="F41" s="106">
        <v>298320</v>
      </c>
      <c r="G41" s="8" t="s">
        <v>505</v>
      </c>
    </row>
    <row r="42" spans="1:7" ht="15" customHeight="1" x14ac:dyDescent="0.3">
      <c r="A42" s="93" t="s">
        <v>514</v>
      </c>
      <c r="B42" s="93" t="s">
        <v>96</v>
      </c>
      <c r="C42" s="93" t="s">
        <v>94</v>
      </c>
      <c r="D42" s="93" t="s">
        <v>503</v>
      </c>
      <c r="E42" s="93" t="s">
        <v>504</v>
      </c>
      <c r="F42" s="106">
        <v>158348</v>
      </c>
      <c r="G42" s="8" t="s">
        <v>505</v>
      </c>
    </row>
    <row r="43" spans="1:7" ht="15" customHeight="1" x14ac:dyDescent="0.3">
      <c r="A43" s="93" t="s">
        <v>514</v>
      </c>
      <c r="B43" s="93" t="s">
        <v>96</v>
      </c>
      <c r="C43" s="93" t="s">
        <v>94</v>
      </c>
      <c r="D43" s="93" t="s">
        <v>503</v>
      </c>
      <c r="E43" s="93" t="s">
        <v>506</v>
      </c>
      <c r="F43" s="106">
        <v>170405</v>
      </c>
      <c r="G43" s="8" t="s">
        <v>505</v>
      </c>
    </row>
    <row r="44" spans="1:7" ht="15" customHeight="1" x14ac:dyDescent="0.3">
      <c r="A44" s="93" t="s">
        <v>514</v>
      </c>
      <c r="B44" s="93" t="s">
        <v>96</v>
      </c>
      <c r="C44" s="93" t="s">
        <v>94</v>
      </c>
      <c r="D44" s="93" t="s">
        <v>503</v>
      </c>
      <c r="E44" s="93" t="s">
        <v>507</v>
      </c>
      <c r="F44" s="106">
        <v>176745</v>
      </c>
      <c r="G44" s="8" t="s">
        <v>505</v>
      </c>
    </row>
    <row r="45" spans="1:7" ht="15" customHeight="1" x14ac:dyDescent="0.3">
      <c r="A45" s="93" t="s">
        <v>514</v>
      </c>
      <c r="B45" s="93" t="s">
        <v>96</v>
      </c>
      <c r="C45" s="93" t="s">
        <v>94</v>
      </c>
      <c r="D45" s="93" t="s">
        <v>503</v>
      </c>
      <c r="E45" s="93" t="s">
        <v>508</v>
      </c>
      <c r="F45" s="106">
        <v>206322</v>
      </c>
      <c r="G45" s="8" t="s">
        <v>505</v>
      </c>
    </row>
    <row r="46" spans="1:7" ht="15" customHeight="1" x14ac:dyDescent="0.3">
      <c r="A46" s="93" t="s">
        <v>514</v>
      </c>
      <c r="B46" s="93" t="s">
        <v>96</v>
      </c>
      <c r="C46" s="93" t="s">
        <v>94</v>
      </c>
      <c r="D46" s="93" t="s">
        <v>503</v>
      </c>
      <c r="E46" s="93" t="s">
        <v>509</v>
      </c>
      <c r="F46" s="106">
        <v>229909</v>
      </c>
      <c r="G46" s="8" t="s">
        <v>505</v>
      </c>
    </row>
    <row r="47" spans="1:7" ht="15" customHeight="1" x14ac:dyDescent="0.3">
      <c r="A47" s="93" t="s">
        <v>514</v>
      </c>
      <c r="B47" s="93" t="s">
        <v>96</v>
      </c>
      <c r="C47" s="93" t="s">
        <v>94</v>
      </c>
      <c r="D47" s="93" t="s">
        <v>503</v>
      </c>
      <c r="E47" s="93" t="s">
        <v>510</v>
      </c>
      <c r="F47" s="106">
        <v>310425</v>
      </c>
      <c r="G47" s="8" t="s">
        <v>505</v>
      </c>
    </row>
    <row r="48" spans="1:7" ht="15" customHeight="1" x14ac:dyDescent="0.3">
      <c r="A48" s="93" t="s">
        <v>514</v>
      </c>
      <c r="B48" s="93" t="s">
        <v>96</v>
      </c>
      <c r="C48" s="93" t="s">
        <v>94</v>
      </c>
      <c r="D48" s="93" t="s">
        <v>503</v>
      </c>
      <c r="E48" s="93" t="s">
        <v>511</v>
      </c>
      <c r="F48" s="106">
        <v>345901</v>
      </c>
      <c r="G48" s="8" t="s">
        <v>505</v>
      </c>
    </row>
    <row r="49" spans="1:7" ht="15" customHeight="1" x14ac:dyDescent="0.3">
      <c r="A49" s="93" t="s">
        <v>514</v>
      </c>
      <c r="B49" s="93" t="s">
        <v>96</v>
      </c>
      <c r="C49" s="93" t="s">
        <v>94</v>
      </c>
      <c r="D49" s="93" t="s">
        <v>503</v>
      </c>
      <c r="E49" s="93" t="s">
        <v>512</v>
      </c>
      <c r="F49" s="106">
        <v>346526</v>
      </c>
      <c r="G49" s="8" t="s">
        <v>505</v>
      </c>
    </row>
    <row r="50" spans="1:7" ht="15" customHeight="1" x14ac:dyDescent="0.3">
      <c r="A50" s="93" t="s">
        <v>515</v>
      </c>
      <c r="B50" s="93" t="s">
        <v>93</v>
      </c>
      <c r="C50" s="93" t="s">
        <v>94</v>
      </c>
      <c r="D50" s="93" t="s">
        <v>503</v>
      </c>
      <c r="E50" s="93" t="s">
        <v>504</v>
      </c>
      <c r="F50" s="106">
        <v>119432</v>
      </c>
      <c r="G50" s="8" t="s">
        <v>505</v>
      </c>
    </row>
    <row r="51" spans="1:7" ht="15" customHeight="1" x14ac:dyDescent="0.3">
      <c r="A51" s="93" t="s">
        <v>515</v>
      </c>
      <c r="B51" s="93" t="s">
        <v>93</v>
      </c>
      <c r="C51" s="93" t="s">
        <v>94</v>
      </c>
      <c r="D51" s="93" t="s">
        <v>503</v>
      </c>
      <c r="E51" s="93" t="s">
        <v>506</v>
      </c>
      <c r="F51" s="106">
        <v>146677</v>
      </c>
      <c r="G51" s="8" t="s">
        <v>505</v>
      </c>
    </row>
    <row r="52" spans="1:7" ht="15" customHeight="1" x14ac:dyDescent="0.3">
      <c r="A52" s="93" t="s">
        <v>515</v>
      </c>
      <c r="B52" s="93" t="s">
        <v>93</v>
      </c>
      <c r="C52" s="93" t="s">
        <v>94</v>
      </c>
      <c r="D52" s="93" t="s">
        <v>503</v>
      </c>
      <c r="E52" s="93" t="s">
        <v>507</v>
      </c>
      <c r="F52" s="106">
        <v>165192</v>
      </c>
      <c r="G52" s="8" t="s">
        <v>505</v>
      </c>
    </row>
    <row r="53" spans="1:7" ht="15" customHeight="1" x14ac:dyDescent="0.3">
      <c r="A53" s="93" t="s">
        <v>515</v>
      </c>
      <c r="B53" s="93" t="s">
        <v>93</v>
      </c>
      <c r="C53" s="93" t="s">
        <v>94</v>
      </c>
      <c r="D53" s="93" t="s">
        <v>503</v>
      </c>
      <c r="E53" s="93" t="s">
        <v>508</v>
      </c>
      <c r="F53" s="106">
        <v>177677</v>
      </c>
      <c r="G53" s="8" t="s">
        <v>505</v>
      </c>
    </row>
    <row r="54" spans="1:7" ht="15" customHeight="1" x14ac:dyDescent="0.3">
      <c r="A54" s="93" t="s">
        <v>515</v>
      </c>
      <c r="B54" s="93" t="s">
        <v>93</v>
      </c>
      <c r="C54" s="93" t="s">
        <v>94</v>
      </c>
      <c r="D54" s="93" t="s">
        <v>503</v>
      </c>
      <c r="E54" s="93" t="s">
        <v>509</v>
      </c>
      <c r="F54" s="106">
        <v>197966</v>
      </c>
      <c r="G54" s="8" t="s">
        <v>505</v>
      </c>
    </row>
    <row r="55" spans="1:7" ht="15" customHeight="1" x14ac:dyDescent="0.3">
      <c r="A55" s="93" t="s">
        <v>515</v>
      </c>
      <c r="B55" s="93" t="s">
        <v>93</v>
      </c>
      <c r="C55" s="93" t="s">
        <v>94</v>
      </c>
      <c r="D55" s="93" t="s">
        <v>503</v>
      </c>
      <c r="E55" s="93" t="s">
        <v>510</v>
      </c>
      <c r="F55" s="106">
        <v>267320</v>
      </c>
      <c r="G55" s="8" t="s">
        <v>505</v>
      </c>
    </row>
    <row r="56" spans="1:7" ht="15" customHeight="1" x14ac:dyDescent="0.3">
      <c r="A56" s="93" t="s">
        <v>515</v>
      </c>
      <c r="B56" s="93" t="s">
        <v>93</v>
      </c>
      <c r="C56" s="93" t="s">
        <v>94</v>
      </c>
      <c r="D56" s="93" t="s">
        <v>503</v>
      </c>
      <c r="E56" s="93" t="s">
        <v>511</v>
      </c>
      <c r="F56" s="106">
        <v>297784</v>
      </c>
      <c r="G56" s="8" t="s">
        <v>505</v>
      </c>
    </row>
    <row r="57" spans="1:7" ht="15" customHeight="1" x14ac:dyDescent="0.3">
      <c r="A57" s="93" t="s">
        <v>515</v>
      </c>
      <c r="B57" s="93" t="s">
        <v>93</v>
      </c>
      <c r="C57" s="93" t="s">
        <v>94</v>
      </c>
      <c r="D57" s="93" t="s">
        <v>503</v>
      </c>
      <c r="E57" s="93" t="s">
        <v>512</v>
      </c>
      <c r="F57" s="106">
        <v>298320</v>
      </c>
      <c r="G57" s="8" t="s">
        <v>505</v>
      </c>
    </row>
    <row r="58" spans="1:7" ht="15" customHeight="1" x14ac:dyDescent="0.3">
      <c r="A58" s="93" t="s">
        <v>515</v>
      </c>
      <c r="B58" s="93" t="s">
        <v>96</v>
      </c>
      <c r="C58" s="93" t="s">
        <v>94</v>
      </c>
      <c r="D58" s="93" t="s">
        <v>503</v>
      </c>
      <c r="E58" s="93" t="s">
        <v>504</v>
      </c>
      <c r="F58" s="106">
        <v>158348</v>
      </c>
      <c r="G58" s="8" t="s">
        <v>505</v>
      </c>
    </row>
    <row r="59" spans="1:7" ht="15" customHeight="1" x14ac:dyDescent="0.3">
      <c r="A59" s="93" t="s">
        <v>515</v>
      </c>
      <c r="B59" s="93" t="s">
        <v>96</v>
      </c>
      <c r="C59" s="93" t="s">
        <v>94</v>
      </c>
      <c r="D59" s="93" t="s">
        <v>503</v>
      </c>
      <c r="E59" s="93" t="s">
        <v>506</v>
      </c>
      <c r="F59" s="106">
        <v>170405</v>
      </c>
      <c r="G59" s="8" t="s">
        <v>505</v>
      </c>
    </row>
    <row r="60" spans="1:7" ht="15" customHeight="1" x14ac:dyDescent="0.3">
      <c r="A60" s="93" t="s">
        <v>515</v>
      </c>
      <c r="B60" s="93" t="s">
        <v>96</v>
      </c>
      <c r="C60" s="93" t="s">
        <v>94</v>
      </c>
      <c r="D60" s="93" t="s">
        <v>503</v>
      </c>
      <c r="E60" s="93" t="s">
        <v>507</v>
      </c>
      <c r="F60" s="106">
        <v>176745</v>
      </c>
      <c r="G60" s="8" t="s">
        <v>505</v>
      </c>
    </row>
    <row r="61" spans="1:7" ht="15" customHeight="1" x14ac:dyDescent="0.3">
      <c r="A61" s="93" t="s">
        <v>515</v>
      </c>
      <c r="B61" s="93" t="s">
        <v>96</v>
      </c>
      <c r="C61" s="93" t="s">
        <v>94</v>
      </c>
      <c r="D61" s="93" t="s">
        <v>503</v>
      </c>
      <c r="E61" s="93" t="s">
        <v>508</v>
      </c>
      <c r="F61" s="106">
        <v>206322</v>
      </c>
      <c r="G61" s="8" t="s">
        <v>505</v>
      </c>
    </row>
    <row r="62" spans="1:7" ht="15" customHeight="1" x14ac:dyDescent="0.3">
      <c r="A62" s="93" t="s">
        <v>515</v>
      </c>
      <c r="B62" s="93" t="s">
        <v>96</v>
      </c>
      <c r="C62" s="93" t="s">
        <v>94</v>
      </c>
      <c r="D62" s="93" t="s">
        <v>503</v>
      </c>
      <c r="E62" s="93" t="s">
        <v>509</v>
      </c>
      <c r="F62" s="106">
        <v>229909</v>
      </c>
      <c r="G62" s="8" t="s">
        <v>505</v>
      </c>
    </row>
    <row r="63" spans="1:7" ht="15" customHeight="1" x14ac:dyDescent="0.3">
      <c r="A63" s="93" t="s">
        <v>515</v>
      </c>
      <c r="B63" s="93" t="s">
        <v>96</v>
      </c>
      <c r="C63" s="93" t="s">
        <v>94</v>
      </c>
      <c r="D63" s="93" t="s">
        <v>503</v>
      </c>
      <c r="E63" s="93" t="s">
        <v>510</v>
      </c>
      <c r="F63" s="106">
        <v>310425</v>
      </c>
      <c r="G63" s="8" t="s">
        <v>505</v>
      </c>
    </row>
    <row r="64" spans="1:7" ht="15" customHeight="1" x14ac:dyDescent="0.3">
      <c r="A64" s="93" t="s">
        <v>515</v>
      </c>
      <c r="B64" s="93" t="s">
        <v>96</v>
      </c>
      <c r="C64" s="93" t="s">
        <v>94</v>
      </c>
      <c r="D64" s="93" t="s">
        <v>503</v>
      </c>
      <c r="E64" s="93" t="s">
        <v>511</v>
      </c>
      <c r="F64" s="106">
        <v>345901</v>
      </c>
      <c r="G64" s="8" t="s">
        <v>505</v>
      </c>
    </row>
    <row r="65" spans="1:7" ht="15" customHeight="1" x14ac:dyDescent="0.3">
      <c r="A65" s="93" t="s">
        <v>515</v>
      </c>
      <c r="B65" s="93" t="s">
        <v>96</v>
      </c>
      <c r="C65" s="93" t="s">
        <v>94</v>
      </c>
      <c r="D65" s="93" t="s">
        <v>503</v>
      </c>
      <c r="E65" s="93" t="s">
        <v>512</v>
      </c>
      <c r="F65" s="106">
        <v>346526</v>
      </c>
      <c r="G65" s="8" t="s">
        <v>505</v>
      </c>
    </row>
    <row r="66" spans="1:7" ht="15" customHeight="1" x14ac:dyDescent="0.3">
      <c r="A66" s="93" t="s">
        <v>516</v>
      </c>
      <c r="B66" s="93" t="s">
        <v>93</v>
      </c>
      <c r="C66" s="93" t="s">
        <v>94</v>
      </c>
      <c r="D66" s="93" t="s">
        <v>503</v>
      </c>
      <c r="E66" s="93" t="s">
        <v>504</v>
      </c>
      <c r="F66" s="106">
        <v>119432</v>
      </c>
      <c r="G66" s="8" t="s">
        <v>505</v>
      </c>
    </row>
    <row r="67" spans="1:7" ht="15" customHeight="1" x14ac:dyDescent="0.3">
      <c r="A67" s="93" t="s">
        <v>516</v>
      </c>
      <c r="B67" s="93" t="s">
        <v>93</v>
      </c>
      <c r="C67" s="93" t="s">
        <v>94</v>
      </c>
      <c r="D67" s="93" t="s">
        <v>503</v>
      </c>
      <c r="E67" s="93" t="s">
        <v>506</v>
      </c>
      <c r="F67" s="106">
        <v>146677</v>
      </c>
      <c r="G67" s="8" t="s">
        <v>505</v>
      </c>
    </row>
    <row r="68" spans="1:7" ht="15" customHeight="1" x14ac:dyDescent="0.3">
      <c r="A68" s="93" t="s">
        <v>516</v>
      </c>
      <c r="B68" s="93" t="s">
        <v>93</v>
      </c>
      <c r="C68" s="93" t="s">
        <v>94</v>
      </c>
      <c r="D68" s="93" t="s">
        <v>503</v>
      </c>
      <c r="E68" s="93" t="s">
        <v>507</v>
      </c>
      <c r="F68" s="106">
        <v>165192</v>
      </c>
      <c r="G68" s="8" t="s">
        <v>505</v>
      </c>
    </row>
    <row r="69" spans="1:7" ht="15" customHeight="1" x14ac:dyDescent="0.3">
      <c r="A69" s="93" t="s">
        <v>516</v>
      </c>
      <c r="B69" s="93" t="s">
        <v>93</v>
      </c>
      <c r="C69" s="93" t="s">
        <v>94</v>
      </c>
      <c r="D69" s="93" t="s">
        <v>503</v>
      </c>
      <c r="E69" s="93" t="s">
        <v>508</v>
      </c>
      <c r="F69" s="106">
        <v>177677</v>
      </c>
      <c r="G69" s="8" t="s">
        <v>505</v>
      </c>
    </row>
    <row r="70" spans="1:7" ht="15" customHeight="1" x14ac:dyDescent="0.3">
      <c r="A70" s="93" t="s">
        <v>516</v>
      </c>
      <c r="B70" s="93" t="s">
        <v>93</v>
      </c>
      <c r="C70" s="93" t="s">
        <v>94</v>
      </c>
      <c r="D70" s="93" t="s">
        <v>503</v>
      </c>
      <c r="E70" s="93" t="s">
        <v>509</v>
      </c>
      <c r="F70" s="106">
        <v>197966</v>
      </c>
      <c r="G70" s="8" t="s">
        <v>505</v>
      </c>
    </row>
    <row r="71" spans="1:7" ht="15" customHeight="1" x14ac:dyDescent="0.3">
      <c r="A71" s="93" t="s">
        <v>516</v>
      </c>
      <c r="B71" s="93" t="s">
        <v>93</v>
      </c>
      <c r="C71" s="93" t="s">
        <v>94</v>
      </c>
      <c r="D71" s="93" t="s">
        <v>503</v>
      </c>
      <c r="E71" s="93" t="s">
        <v>510</v>
      </c>
      <c r="F71" s="106">
        <v>267320</v>
      </c>
      <c r="G71" s="8" t="s">
        <v>505</v>
      </c>
    </row>
    <row r="72" spans="1:7" ht="15" customHeight="1" x14ac:dyDescent="0.3">
      <c r="A72" s="93" t="s">
        <v>516</v>
      </c>
      <c r="B72" s="93" t="s">
        <v>93</v>
      </c>
      <c r="C72" s="93" t="s">
        <v>94</v>
      </c>
      <c r="D72" s="93" t="s">
        <v>503</v>
      </c>
      <c r="E72" s="93" t="s">
        <v>511</v>
      </c>
      <c r="F72" s="106">
        <v>297784</v>
      </c>
      <c r="G72" s="8" t="s">
        <v>505</v>
      </c>
    </row>
    <row r="73" spans="1:7" ht="15" customHeight="1" x14ac:dyDescent="0.3">
      <c r="A73" s="93" t="s">
        <v>516</v>
      </c>
      <c r="B73" s="93" t="s">
        <v>93</v>
      </c>
      <c r="C73" s="93" t="s">
        <v>94</v>
      </c>
      <c r="D73" s="93" t="s">
        <v>503</v>
      </c>
      <c r="E73" s="93" t="s">
        <v>512</v>
      </c>
      <c r="F73" s="106">
        <v>298320</v>
      </c>
      <c r="G73" s="8" t="s">
        <v>505</v>
      </c>
    </row>
    <row r="74" spans="1:7" ht="15" customHeight="1" x14ac:dyDescent="0.3">
      <c r="A74" s="93" t="s">
        <v>516</v>
      </c>
      <c r="B74" s="93" t="s">
        <v>96</v>
      </c>
      <c r="C74" s="93" t="s">
        <v>94</v>
      </c>
      <c r="D74" s="93" t="s">
        <v>503</v>
      </c>
      <c r="E74" s="93" t="s">
        <v>504</v>
      </c>
      <c r="F74" s="106">
        <v>158348</v>
      </c>
      <c r="G74" s="8" t="s">
        <v>505</v>
      </c>
    </row>
    <row r="75" spans="1:7" ht="15" customHeight="1" x14ac:dyDescent="0.3">
      <c r="A75" s="93" t="s">
        <v>516</v>
      </c>
      <c r="B75" s="93" t="s">
        <v>96</v>
      </c>
      <c r="C75" s="93" t="s">
        <v>94</v>
      </c>
      <c r="D75" s="93" t="s">
        <v>503</v>
      </c>
      <c r="E75" s="93" t="s">
        <v>506</v>
      </c>
      <c r="F75" s="106">
        <v>170405</v>
      </c>
      <c r="G75" s="8" t="s">
        <v>505</v>
      </c>
    </row>
    <row r="76" spans="1:7" ht="15" customHeight="1" x14ac:dyDescent="0.3">
      <c r="A76" s="93" t="s">
        <v>516</v>
      </c>
      <c r="B76" s="93" t="s">
        <v>96</v>
      </c>
      <c r="C76" s="93" t="s">
        <v>94</v>
      </c>
      <c r="D76" s="93" t="s">
        <v>503</v>
      </c>
      <c r="E76" s="93" t="s">
        <v>507</v>
      </c>
      <c r="F76" s="106">
        <v>176745</v>
      </c>
      <c r="G76" s="8" t="s">
        <v>505</v>
      </c>
    </row>
    <row r="77" spans="1:7" ht="15" customHeight="1" x14ac:dyDescent="0.3">
      <c r="A77" s="93" t="s">
        <v>516</v>
      </c>
      <c r="B77" s="93" t="s">
        <v>96</v>
      </c>
      <c r="C77" s="93" t="s">
        <v>94</v>
      </c>
      <c r="D77" s="93" t="s">
        <v>503</v>
      </c>
      <c r="E77" s="93" t="s">
        <v>508</v>
      </c>
      <c r="F77" s="106">
        <v>206322</v>
      </c>
      <c r="G77" s="8" t="s">
        <v>505</v>
      </c>
    </row>
    <row r="78" spans="1:7" ht="15" customHeight="1" x14ac:dyDescent="0.3">
      <c r="A78" s="93" t="s">
        <v>516</v>
      </c>
      <c r="B78" s="93" t="s">
        <v>96</v>
      </c>
      <c r="C78" s="93" t="s">
        <v>94</v>
      </c>
      <c r="D78" s="93" t="s">
        <v>503</v>
      </c>
      <c r="E78" s="93" t="s">
        <v>509</v>
      </c>
      <c r="F78" s="106">
        <v>229909</v>
      </c>
      <c r="G78" s="8" t="s">
        <v>505</v>
      </c>
    </row>
    <row r="79" spans="1:7" ht="15" customHeight="1" x14ac:dyDescent="0.3">
      <c r="A79" s="93" t="s">
        <v>516</v>
      </c>
      <c r="B79" s="93" t="s">
        <v>96</v>
      </c>
      <c r="C79" s="93" t="s">
        <v>94</v>
      </c>
      <c r="D79" s="93" t="s">
        <v>503</v>
      </c>
      <c r="E79" s="93" t="s">
        <v>510</v>
      </c>
      <c r="F79" s="106">
        <v>310425</v>
      </c>
      <c r="G79" s="8" t="s">
        <v>505</v>
      </c>
    </row>
    <row r="80" spans="1:7" ht="15" customHeight="1" x14ac:dyDescent="0.3">
      <c r="A80" s="93" t="s">
        <v>516</v>
      </c>
      <c r="B80" s="93" t="s">
        <v>96</v>
      </c>
      <c r="C80" s="93" t="s">
        <v>94</v>
      </c>
      <c r="D80" s="93" t="s">
        <v>503</v>
      </c>
      <c r="E80" s="93" t="s">
        <v>511</v>
      </c>
      <c r="F80" s="106">
        <v>345901</v>
      </c>
      <c r="G80" s="8" t="s">
        <v>505</v>
      </c>
    </row>
    <row r="81" spans="1:7" ht="15" customHeight="1" x14ac:dyDescent="0.3">
      <c r="A81" s="93" t="s">
        <v>516</v>
      </c>
      <c r="B81" s="93" t="s">
        <v>96</v>
      </c>
      <c r="C81" s="93" t="s">
        <v>94</v>
      </c>
      <c r="D81" s="93" t="s">
        <v>503</v>
      </c>
      <c r="E81" s="93" t="s">
        <v>512</v>
      </c>
      <c r="F81" s="106">
        <v>346526</v>
      </c>
      <c r="G81" s="8" t="s">
        <v>505</v>
      </c>
    </row>
    <row r="82" spans="1:7" ht="15" customHeight="1" x14ac:dyDescent="0.3">
      <c r="A82" s="93" t="s">
        <v>517</v>
      </c>
      <c r="B82" s="93" t="s">
        <v>93</v>
      </c>
      <c r="C82" s="93" t="s">
        <v>94</v>
      </c>
      <c r="D82" s="93" t="s">
        <v>503</v>
      </c>
      <c r="E82" s="93" t="s">
        <v>504</v>
      </c>
      <c r="F82" s="106">
        <v>119432</v>
      </c>
      <c r="G82" s="8" t="s">
        <v>505</v>
      </c>
    </row>
    <row r="83" spans="1:7" ht="15" customHeight="1" x14ac:dyDescent="0.3">
      <c r="A83" s="93" t="s">
        <v>517</v>
      </c>
      <c r="B83" s="93" t="s">
        <v>93</v>
      </c>
      <c r="C83" s="93" t="s">
        <v>94</v>
      </c>
      <c r="D83" s="93" t="s">
        <v>503</v>
      </c>
      <c r="E83" s="93" t="s">
        <v>506</v>
      </c>
      <c r="F83" s="106">
        <v>146677</v>
      </c>
      <c r="G83" s="8" t="s">
        <v>505</v>
      </c>
    </row>
    <row r="84" spans="1:7" ht="15" customHeight="1" x14ac:dyDescent="0.3">
      <c r="A84" s="93" t="s">
        <v>517</v>
      </c>
      <c r="B84" s="93" t="s">
        <v>93</v>
      </c>
      <c r="C84" s="93" t="s">
        <v>94</v>
      </c>
      <c r="D84" s="93" t="s">
        <v>503</v>
      </c>
      <c r="E84" s="93" t="s">
        <v>507</v>
      </c>
      <c r="F84" s="106">
        <v>165192</v>
      </c>
      <c r="G84" s="8" t="s">
        <v>505</v>
      </c>
    </row>
    <row r="85" spans="1:7" ht="15" customHeight="1" x14ac:dyDescent="0.3">
      <c r="A85" s="93" t="s">
        <v>517</v>
      </c>
      <c r="B85" s="93" t="s">
        <v>93</v>
      </c>
      <c r="C85" s="93" t="s">
        <v>94</v>
      </c>
      <c r="D85" s="93" t="s">
        <v>503</v>
      </c>
      <c r="E85" s="93" t="s">
        <v>508</v>
      </c>
      <c r="F85" s="106">
        <v>177677</v>
      </c>
      <c r="G85" s="8" t="s">
        <v>505</v>
      </c>
    </row>
    <row r="86" spans="1:7" ht="15" customHeight="1" x14ac:dyDescent="0.3">
      <c r="A86" s="93" t="s">
        <v>517</v>
      </c>
      <c r="B86" s="93" t="s">
        <v>93</v>
      </c>
      <c r="C86" s="93" t="s">
        <v>94</v>
      </c>
      <c r="D86" s="93" t="s">
        <v>503</v>
      </c>
      <c r="E86" s="93" t="s">
        <v>509</v>
      </c>
      <c r="F86" s="106">
        <v>197966</v>
      </c>
      <c r="G86" s="8" t="s">
        <v>505</v>
      </c>
    </row>
    <row r="87" spans="1:7" ht="15" customHeight="1" x14ac:dyDescent="0.3">
      <c r="A87" s="93" t="s">
        <v>517</v>
      </c>
      <c r="B87" s="93" t="s">
        <v>93</v>
      </c>
      <c r="C87" s="93" t="s">
        <v>94</v>
      </c>
      <c r="D87" s="93" t="s">
        <v>503</v>
      </c>
      <c r="E87" s="93" t="s">
        <v>510</v>
      </c>
      <c r="F87" s="106">
        <v>267320</v>
      </c>
      <c r="G87" s="8" t="s">
        <v>505</v>
      </c>
    </row>
    <row r="88" spans="1:7" ht="15" customHeight="1" x14ac:dyDescent="0.3">
      <c r="A88" s="93" t="s">
        <v>517</v>
      </c>
      <c r="B88" s="93" t="s">
        <v>93</v>
      </c>
      <c r="C88" s="93" t="s">
        <v>94</v>
      </c>
      <c r="D88" s="93" t="s">
        <v>503</v>
      </c>
      <c r="E88" s="93" t="s">
        <v>511</v>
      </c>
      <c r="F88" s="106">
        <v>297784</v>
      </c>
      <c r="G88" s="8" t="s">
        <v>505</v>
      </c>
    </row>
    <row r="89" spans="1:7" ht="15" customHeight="1" x14ac:dyDescent="0.3">
      <c r="A89" s="93" t="s">
        <v>517</v>
      </c>
      <c r="B89" s="93" t="s">
        <v>93</v>
      </c>
      <c r="C89" s="93" t="s">
        <v>94</v>
      </c>
      <c r="D89" s="93" t="s">
        <v>503</v>
      </c>
      <c r="E89" s="93" t="s">
        <v>512</v>
      </c>
      <c r="F89" s="106">
        <v>298320</v>
      </c>
      <c r="G89" s="8" t="s">
        <v>505</v>
      </c>
    </row>
    <row r="90" spans="1:7" ht="15" customHeight="1" x14ac:dyDescent="0.3">
      <c r="A90" s="93" t="s">
        <v>517</v>
      </c>
      <c r="B90" s="93" t="s">
        <v>96</v>
      </c>
      <c r="C90" s="93" t="s">
        <v>94</v>
      </c>
      <c r="D90" s="93" t="s">
        <v>503</v>
      </c>
      <c r="E90" s="93" t="s">
        <v>504</v>
      </c>
      <c r="F90" s="106">
        <v>158348</v>
      </c>
      <c r="G90" s="8" t="s">
        <v>505</v>
      </c>
    </row>
    <row r="91" spans="1:7" ht="15" customHeight="1" x14ac:dyDescent="0.3">
      <c r="A91" s="93" t="s">
        <v>517</v>
      </c>
      <c r="B91" s="93" t="s">
        <v>96</v>
      </c>
      <c r="C91" s="93" t="s">
        <v>94</v>
      </c>
      <c r="D91" s="93" t="s">
        <v>503</v>
      </c>
      <c r="E91" s="93" t="s">
        <v>506</v>
      </c>
      <c r="F91" s="106">
        <v>170405</v>
      </c>
      <c r="G91" s="8" t="s">
        <v>505</v>
      </c>
    </row>
    <row r="92" spans="1:7" ht="15" customHeight="1" x14ac:dyDescent="0.3">
      <c r="A92" s="93" t="s">
        <v>517</v>
      </c>
      <c r="B92" s="93" t="s">
        <v>96</v>
      </c>
      <c r="C92" s="93" t="s">
        <v>94</v>
      </c>
      <c r="D92" s="93" t="s">
        <v>503</v>
      </c>
      <c r="E92" s="93" t="s">
        <v>507</v>
      </c>
      <c r="F92" s="106">
        <v>176745</v>
      </c>
      <c r="G92" s="8" t="s">
        <v>505</v>
      </c>
    </row>
    <row r="93" spans="1:7" ht="15" customHeight="1" x14ac:dyDescent="0.3">
      <c r="A93" s="93" t="s">
        <v>517</v>
      </c>
      <c r="B93" s="93" t="s">
        <v>96</v>
      </c>
      <c r="C93" s="93" t="s">
        <v>94</v>
      </c>
      <c r="D93" s="93" t="s">
        <v>503</v>
      </c>
      <c r="E93" s="93" t="s">
        <v>508</v>
      </c>
      <c r="F93" s="106">
        <v>206322</v>
      </c>
      <c r="G93" s="8" t="s">
        <v>505</v>
      </c>
    </row>
    <row r="94" spans="1:7" ht="15" customHeight="1" x14ac:dyDescent="0.3">
      <c r="A94" s="93" t="s">
        <v>517</v>
      </c>
      <c r="B94" s="93" t="s">
        <v>96</v>
      </c>
      <c r="C94" s="93" t="s">
        <v>94</v>
      </c>
      <c r="D94" s="93" t="s">
        <v>503</v>
      </c>
      <c r="E94" s="93" t="s">
        <v>509</v>
      </c>
      <c r="F94" s="106">
        <v>229909</v>
      </c>
      <c r="G94" s="8" t="s">
        <v>505</v>
      </c>
    </row>
    <row r="95" spans="1:7" ht="15" customHeight="1" x14ac:dyDescent="0.3">
      <c r="A95" s="93" t="s">
        <v>517</v>
      </c>
      <c r="B95" s="93" t="s">
        <v>96</v>
      </c>
      <c r="C95" s="93" t="s">
        <v>94</v>
      </c>
      <c r="D95" s="93" t="s">
        <v>503</v>
      </c>
      <c r="E95" s="93" t="s">
        <v>510</v>
      </c>
      <c r="F95" s="106">
        <v>310425</v>
      </c>
      <c r="G95" s="8" t="s">
        <v>505</v>
      </c>
    </row>
    <row r="96" spans="1:7" ht="15" customHeight="1" x14ac:dyDescent="0.3">
      <c r="A96" s="93" t="s">
        <v>517</v>
      </c>
      <c r="B96" s="93" t="s">
        <v>96</v>
      </c>
      <c r="C96" s="93" t="s">
        <v>94</v>
      </c>
      <c r="D96" s="93" t="s">
        <v>503</v>
      </c>
      <c r="E96" s="93" t="s">
        <v>511</v>
      </c>
      <c r="F96" s="106">
        <v>345901</v>
      </c>
      <c r="G96" s="8" t="s">
        <v>505</v>
      </c>
    </row>
    <row r="97" spans="1:7" ht="15" customHeight="1" x14ac:dyDescent="0.3">
      <c r="A97" s="93" t="s">
        <v>517</v>
      </c>
      <c r="B97" s="93" t="s">
        <v>96</v>
      </c>
      <c r="C97" s="93" t="s">
        <v>94</v>
      </c>
      <c r="D97" s="93" t="s">
        <v>503</v>
      </c>
      <c r="E97" s="93" t="s">
        <v>512</v>
      </c>
      <c r="F97" s="106">
        <v>346526</v>
      </c>
      <c r="G97" s="8" t="s">
        <v>505</v>
      </c>
    </row>
    <row r="98" spans="1:7" ht="15" customHeight="1" x14ac:dyDescent="0.3">
      <c r="A98" s="93" t="s">
        <v>518</v>
      </c>
      <c r="B98" s="93" t="s">
        <v>93</v>
      </c>
      <c r="C98" s="93" t="s">
        <v>94</v>
      </c>
      <c r="D98" s="93" t="s">
        <v>503</v>
      </c>
      <c r="E98" s="93" t="s">
        <v>504</v>
      </c>
      <c r="F98" s="106">
        <v>119432</v>
      </c>
      <c r="G98" s="8" t="s">
        <v>505</v>
      </c>
    </row>
    <row r="99" spans="1:7" ht="15" customHeight="1" x14ac:dyDescent="0.3">
      <c r="A99" s="93" t="s">
        <v>518</v>
      </c>
      <c r="B99" s="93" t="s">
        <v>93</v>
      </c>
      <c r="C99" s="93" t="s">
        <v>94</v>
      </c>
      <c r="D99" s="93" t="s">
        <v>503</v>
      </c>
      <c r="E99" s="93" t="s">
        <v>506</v>
      </c>
      <c r="F99" s="106">
        <v>146677</v>
      </c>
      <c r="G99" s="8" t="s">
        <v>505</v>
      </c>
    </row>
    <row r="100" spans="1:7" ht="15" customHeight="1" x14ac:dyDescent="0.3">
      <c r="A100" s="93" t="s">
        <v>518</v>
      </c>
      <c r="B100" s="93" t="s">
        <v>93</v>
      </c>
      <c r="C100" s="93" t="s">
        <v>94</v>
      </c>
      <c r="D100" s="93" t="s">
        <v>503</v>
      </c>
      <c r="E100" s="93" t="s">
        <v>507</v>
      </c>
      <c r="F100" s="106">
        <v>165192</v>
      </c>
      <c r="G100" s="8" t="s">
        <v>505</v>
      </c>
    </row>
    <row r="101" spans="1:7" ht="15" customHeight="1" x14ac:dyDescent="0.3">
      <c r="A101" s="93" t="s">
        <v>518</v>
      </c>
      <c r="B101" s="93" t="s">
        <v>93</v>
      </c>
      <c r="C101" s="93" t="s">
        <v>94</v>
      </c>
      <c r="D101" s="93" t="s">
        <v>503</v>
      </c>
      <c r="E101" s="93" t="s">
        <v>508</v>
      </c>
      <c r="F101" s="106">
        <v>177677</v>
      </c>
      <c r="G101" s="8" t="s">
        <v>505</v>
      </c>
    </row>
    <row r="102" spans="1:7" ht="15" customHeight="1" x14ac:dyDescent="0.3">
      <c r="A102" s="93" t="s">
        <v>518</v>
      </c>
      <c r="B102" s="93" t="s">
        <v>93</v>
      </c>
      <c r="C102" s="93" t="s">
        <v>94</v>
      </c>
      <c r="D102" s="93" t="s">
        <v>503</v>
      </c>
      <c r="E102" s="93" t="s">
        <v>509</v>
      </c>
      <c r="F102" s="106">
        <v>197966</v>
      </c>
      <c r="G102" s="8" t="s">
        <v>505</v>
      </c>
    </row>
    <row r="103" spans="1:7" ht="15" customHeight="1" x14ac:dyDescent="0.3">
      <c r="A103" s="93" t="s">
        <v>518</v>
      </c>
      <c r="B103" s="93" t="s">
        <v>93</v>
      </c>
      <c r="C103" s="93" t="s">
        <v>94</v>
      </c>
      <c r="D103" s="93" t="s">
        <v>503</v>
      </c>
      <c r="E103" s="93" t="s">
        <v>510</v>
      </c>
      <c r="F103" s="106">
        <v>267320</v>
      </c>
      <c r="G103" s="8" t="s">
        <v>505</v>
      </c>
    </row>
    <row r="104" spans="1:7" ht="15" customHeight="1" x14ac:dyDescent="0.3">
      <c r="A104" s="93" t="s">
        <v>518</v>
      </c>
      <c r="B104" s="93" t="s">
        <v>93</v>
      </c>
      <c r="C104" s="93" t="s">
        <v>94</v>
      </c>
      <c r="D104" s="93" t="s">
        <v>503</v>
      </c>
      <c r="E104" s="93" t="s">
        <v>511</v>
      </c>
      <c r="F104" s="106">
        <v>297784</v>
      </c>
      <c r="G104" s="8" t="s">
        <v>505</v>
      </c>
    </row>
    <row r="105" spans="1:7" ht="15" customHeight="1" x14ac:dyDescent="0.3">
      <c r="A105" s="93" t="s">
        <v>518</v>
      </c>
      <c r="B105" s="93" t="s">
        <v>93</v>
      </c>
      <c r="C105" s="93" t="s">
        <v>94</v>
      </c>
      <c r="D105" s="93" t="s">
        <v>503</v>
      </c>
      <c r="E105" s="93" t="s">
        <v>512</v>
      </c>
      <c r="F105" s="106">
        <v>298320</v>
      </c>
      <c r="G105" s="8" t="s">
        <v>505</v>
      </c>
    </row>
    <row r="106" spans="1:7" ht="15" customHeight="1" x14ac:dyDescent="0.3">
      <c r="A106" s="93" t="s">
        <v>518</v>
      </c>
      <c r="B106" s="93" t="s">
        <v>96</v>
      </c>
      <c r="C106" s="93" t="s">
        <v>94</v>
      </c>
      <c r="D106" s="93" t="s">
        <v>503</v>
      </c>
      <c r="E106" s="93" t="s">
        <v>504</v>
      </c>
      <c r="F106" s="106">
        <v>158348</v>
      </c>
      <c r="G106" s="8" t="s">
        <v>505</v>
      </c>
    </row>
    <row r="107" spans="1:7" ht="15" customHeight="1" x14ac:dyDescent="0.3">
      <c r="A107" s="93" t="s">
        <v>518</v>
      </c>
      <c r="B107" s="93" t="s">
        <v>96</v>
      </c>
      <c r="C107" s="93" t="s">
        <v>94</v>
      </c>
      <c r="D107" s="93" t="s">
        <v>503</v>
      </c>
      <c r="E107" s="93" t="s">
        <v>506</v>
      </c>
      <c r="F107" s="106">
        <v>170405</v>
      </c>
      <c r="G107" s="8" t="s">
        <v>505</v>
      </c>
    </row>
    <row r="108" spans="1:7" ht="15" customHeight="1" x14ac:dyDescent="0.3">
      <c r="A108" s="93" t="s">
        <v>518</v>
      </c>
      <c r="B108" s="93" t="s">
        <v>96</v>
      </c>
      <c r="C108" s="93" t="s">
        <v>94</v>
      </c>
      <c r="D108" s="93" t="s">
        <v>503</v>
      </c>
      <c r="E108" s="93" t="s">
        <v>507</v>
      </c>
      <c r="F108" s="106">
        <v>176745</v>
      </c>
      <c r="G108" s="8" t="s">
        <v>505</v>
      </c>
    </row>
    <row r="109" spans="1:7" ht="15" customHeight="1" x14ac:dyDescent="0.3">
      <c r="A109" s="93" t="s">
        <v>518</v>
      </c>
      <c r="B109" s="93" t="s">
        <v>96</v>
      </c>
      <c r="C109" s="93" t="s">
        <v>94</v>
      </c>
      <c r="D109" s="93" t="s">
        <v>503</v>
      </c>
      <c r="E109" s="93" t="s">
        <v>508</v>
      </c>
      <c r="F109" s="106">
        <v>206322</v>
      </c>
      <c r="G109" s="8" t="s">
        <v>505</v>
      </c>
    </row>
    <row r="110" spans="1:7" ht="15" customHeight="1" x14ac:dyDescent="0.3">
      <c r="A110" s="93" t="s">
        <v>518</v>
      </c>
      <c r="B110" s="93" t="s">
        <v>96</v>
      </c>
      <c r="C110" s="93" t="s">
        <v>94</v>
      </c>
      <c r="D110" s="93" t="s">
        <v>503</v>
      </c>
      <c r="E110" s="93" t="s">
        <v>509</v>
      </c>
      <c r="F110" s="106">
        <v>229909</v>
      </c>
      <c r="G110" s="8" t="s">
        <v>505</v>
      </c>
    </row>
    <row r="111" spans="1:7" ht="15" customHeight="1" x14ac:dyDescent="0.3">
      <c r="A111" s="93" t="s">
        <v>518</v>
      </c>
      <c r="B111" s="93" t="s">
        <v>96</v>
      </c>
      <c r="C111" s="93" t="s">
        <v>94</v>
      </c>
      <c r="D111" s="93" t="s">
        <v>503</v>
      </c>
      <c r="E111" s="93" t="s">
        <v>510</v>
      </c>
      <c r="F111" s="106">
        <v>310425</v>
      </c>
      <c r="G111" s="8" t="s">
        <v>505</v>
      </c>
    </row>
    <row r="112" spans="1:7" ht="15" customHeight="1" x14ac:dyDescent="0.3">
      <c r="A112" s="93" t="s">
        <v>518</v>
      </c>
      <c r="B112" s="93" t="s">
        <v>96</v>
      </c>
      <c r="C112" s="93" t="s">
        <v>94</v>
      </c>
      <c r="D112" s="93" t="s">
        <v>503</v>
      </c>
      <c r="E112" s="93" t="s">
        <v>511</v>
      </c>
      <c r="F112" s="106">
        <v>345901</v>
      </c>
      <c r="G112" s="8" t="s">
        <v>505</v>
      </c>
    </row>
    <row r="113" spans="1:7" ht="15" customHeight="1" x14ac:dyDescent="0.3">
      <c r="A113" s="93" t="s">
        <v>518</v>
      </c>
      <c r="B113" s="93" t="s">
        <v>96</v>
      </c>
      <c r="C113" s="93" t="s">
        <v>94</v>
      </c>
      <c r="D113" s="93" t="s">
        <v>503</v>
      </c>
      <c r="E113" s="93" t="s">
        <v>512</v>
      </c>
      <c r="F113" s="106">
        <v>346526</v>
      </c>
      <c r="G113" s="8" t="s">
        <v>505</v>
      </c>
    </row>
    <row r="114" spans="1:7" ht="15" customHeight="1" x14ac:dyDescent="0.3">
      <c r="A114" s="93" t="s">
        <v>519</v>
      </c>
      <c r="B114" s="93" t="s">
        <v>93</v>
      </c>
      <c r="C114" s="93" t="s">
        <v>94</v>
      </c>
      <c r="D114" s="93" t="s">
        <v>503</v>
      </c>
      <c r="E114" s="93" t="s">
        <v>504</v>
      </c>
      <c r="F114" s="106">
        <v>119432</v>
      </c>
      <c r="G114" s="8" t="s">
        <v>505</v>
      </c>
    </row>
    <row r="115" spans="1:7" ht="15" customHeight="1" x14ac:dyDescent="0.3">
      <c r="A115" s="93" t="s">
        <v>519</v>
      </c>
      <c r="B115" s="93" t="s">
        <v>93</v>
      </c>
      <c r="C115" s="93" t="s">
        <v>94</v>
      </c>
      <c r="D115" s="93" t="s">
        <v>503</v>
      </c>
      <c r="E115" s="93" t="s">
        <v>506</v>
      </c>
      <c r="F115" s="106">
        <v>146677</v>
      </c>
      <c r="G115" s="8" t="s">
        <v>505</v>
      </c>
    </row>
    <row r="116" spans="1:7" ht="15" customHeight="1" x14ac:dyDescent="0.3">
      <c r="A116" s="93" t="s">
        <v>519</v>
      </c>
      <c r="B116" s="93" t="s">
        <v>93</v>
      </c>
      <c r="C116" s="93" t="s">
        <v>94</v>
      </c>
      <c r="D116" s="93" t="s">
        <v>503</v>
      </c>
      <c r="E116" s="93" t="s">
        <v>507</v>
      </c>
      <c r="F116" s="106">
        <v>165192</v>
      </c>
      <c r="G116" s="8" t="s">
        <v>505</v>
      </c>
    </row>
    <row r="117" spans="1:7" ht="15" customHeight="1" x14ac:dyDescent="0.3">
      <c r="A117" s="93" t="s">
        <v>519</v>
      </c>
      <c r="B117" s="93" t="s">
        <v>93</v>
      </c>
      <c r="C117" s="93" t="s">
        <v>94</v>
      </c>
      <c r="D117" s="93" t="s">
        <v>503</v>
      </c>
      <c r="E117" s="93" t="s">
        <v>508</v>
      </c>
      <c r="F117" s="106">
        <v>177677</v>
      </c>
      <c r="G117" s="8" t="s">
        <v>505</v>
      </c>
    </row>
    <row r="118" spans="1:7" ht="15" customHeight="1" x14ac:dyDescent="0.3">
      <c r="A118" s="93" t="s">
        <v>519</v>
      </c>
      <c r="B118" s="93" t="s">
        <v>93</v>
      </c>
      <c r="C118" s="93" t="s">
        <v>94</v>
      </c>
      <c r="D118" s="93" t="s">
        <v>503</v>
      </c>
      <c r="E118" s="93" t="s">
        <v>509</v>
      </c>
      <c r="F118" s="106">
        <v>197966</v>
      </c>
      <c r="G118" s="8" t="s">
        <v>505</v>
      </c>
    </row>
    <row r="119" spans="1:7" ht="15" customHeight="1" x14ac:dyDescent="0.3">
      <c r="A119" s="93" t="s">
        <v>519</v>
      </c>
      <c r="B119" s="93" t="s">
        <v>93</v>
      </c>
      <c r="C119" s="93" t="s">
        <v>94</v>
      </c>
      <c r="D119" s="93" t="s">
        <v>503</v>
      </c>
      <c r="E119" s="93" t="s">
        <v>510</v>
      </c>
      <c r="F119" s="106">
        <v>267320</v>
      </c>
      <c r="G119" s="8" t="s">
        <v>505</v>
      </c>
    </row>
    <row r="120" spans="1:7" ht="15" customHeight="1" x14ac:dyDescent="0.3">
      <c r="A120" s="93" t="s">
        <v>519</v>
      </c>
      <c r="B120" s="93" t="s">
        <v>93</v>
      </c>
      <c r="C120" s="93" t="s">
        <v>94</v>
      </c>
      <c r="D120" s="93" t="s">
        <v>503</v>
      </c>
      <c r="E120" s="93" t="s">
        <v>511</v>
      </c>
      <c r="F120" s="106">
        <v>297784</v>
      </c>
      <c r="G120" s="8" t="s">
        <v>505</v>
      </c>
    </row>
    <row r="121" spans="1:7" ht="15" customHeight="1" x14ac:dyDescent="0.3">
      <c r="A121" s="93" t="s">
        <v>519</v>
      </c>
      <c r="B121" s="93" t="s">
        <v>93</v>
      </c>
      <c r="C121" s="93" t="s">
        <v>94</v>
      </c>
      <c r="D121" s="93" t="s">
        <v>503</v>
      </c>
      <c r="E121" s="93" t="s">
        <v>512</v>
      </c>
      <c r="F121" s="106">
        <v>298320</v>
      </c>
      <c r="G121" s="8" t="s">
        <v>505</v>
      </c>
    </row>
    <row r="122" spans="1:7" ht="15" customHeight="1" x14ac:dyDescent="0.3">
      <c r="A122" s="93" t="s">
        <v>519</v>
      </c>
      <c r="B122" s="93" t="s">
        <v>96</v>
      </c>
      <c r="C122" s="93" t="s">
        <v>94</v>
      </c>
      <c r="D122" s="93" t="s">
        <v>503</v>
      </c>
      <c r="E122" s="93" t="s">
        <v>504</v>
      </c>
      <c r="F122" s="106">
        <v>158348</v>
      </c>
      <c r="G122" s="8" t="s">
        <v>505</v>
      </c>
    </row>
    <row r="123" spans="1:7" ht="15" customHeight="1" x14ac:dyDescent="0.3">
      <c r="A123" s="93" t="s">
        <v>519</v>
      </c>
      <c r="B123" s="93" t="s">
        <v>96</v>
      </c>
      <c r="C123" s="93" t="s">
        <v>94</v>
      </c>
      <c r="D123" s="93" t="s">
        <v>503</v>
      </c>
      <c r="E123" s="93" t="s">
        <v>506</v>
      </c>
      <c r="F123" s="106">
        <v>170405</v>
      </c>
      <c r="G123" s="8" t="s">
        <v>505</v>
      </c>
    </row>
    <row r="124" spans="1:7" ht="15" customHeight="1" x14ac:dyDescent="0.3">
      <c r="A124" s="93" t="s">
        <v>519</v>
      </c>
      <c r="B124" s="93" t="s">
        <v>96</v>
      </c>
      <c r="C124" s="93" t="s">
        <v>94</v>
      </c>
      <c r="D124" s="93" t="s">
        <v>503</v>
      </c>
      <c r="E124" s="93" t="s">
        <v>507</v>
      </c>
      <c r="F124" s="106">
        <v>176745</v>
      </c>
      <c r="G124" s="8" t="s">
        <v>505</v>
      </c>
    </row>
    <row r="125" spans="1:7" ht="15" customHeight="1" x14ac:dyDescent="0.3">
      <c r="A125" s="93" t="s">
        <v>519</v>
      </c>
      <c r="B125" s="93" t="s">
        <v>96</v>
      </c>
      <c r="C125" s="93" t="s">
        <v>94</v>
      </c>
      <c r="D125" s="93" t="s">
        <v>503</v>
      </c>
      <c r="E125" s="93" t="s">
        <v>508</v>
      </c>
      <c r="F125" s="106">
        <v>206322</v>
      </c>
      <c r="G125" s="8" t="s">
        <v>505</v>
      </c>
    </row>
    <row r="126" spans="1:7" ht="15" customHeight="1" x14ac:dyDescent="0.3">
      <c r="A126" s="93" t="s">
        <v>519</v>
      </c>
      <c r="B126" s="93" t="s">
        <v>96</v>
      </c>
      <c r="C126" s="93" t="s">
        <v>94</v>
      </c>
      <c r="D126" s="93" t="s">
        <v>503</v>
      </c>
      <c r="E126" s="93" t="s">
        <v>509</v>
      </c>
      <c r="F126" s="106">
        <v>229909</v>
      </c>
      <c r="G126" s="8" t="s">
        <v>505</v>
      </c>
    </row>
    <row r="127" spans="1:7" ht="15" customHeight="1" x14ac:dyDescent="0.3">
      <c r="A127" s="93" t="s">
        <v>519</v>
      </c>
      <c r="B127" s="93" t="s">
        <v>96</v>
      </c>
      <c r="C127" s="93" t="s">
        <v>94</v>
      </c>
      <c r="D127" s="93" t="s">
        <v>503</v>
      </c>
      <c r="E127" s="93" t="s">
        <v>510</v>
      </c>
      <c r="F127" s="106">
        <v>310425</v>
      </c>
      <c r="G127" s="8" t="s">
        <v>505</v>
      </c>
    </row>
    <row r="128" spans="1:7" ht="15" customHeight="1" x14ac:dyDescent="0.3">
      <c r="A128" s="93" t="s">
        <v>519</v>
      </c>
      <c r="B128" s="93" t="s">
        <v>96</v>
      </c>
      <c r="C128" s="93" t="s">
        <v>94</v>
      </c>
      <c r="D128" s="93" t="s">
        <v>503</v>
      </c>
      <c r="E128" s="93" t="s">
        <v>511</v>
      </c>
      <c r="F128" s="106">
        <v>345901</v>
      </c>
      <c r="G128" s="8" t="s">
        <v>505</v>
      </c>
    </row>
    <row r="129" spans="1:7" ht="15" customHeight="1" x14ac:dyDescent="0.3">
      <c r="A129" s="93" t="s">
        <v>519</v>
      </c>
      <c r="B129" s="93" t="s">
        <v>96</v>
      </c>
      <c r="C129" s="93" t="s">
        <v>94</v>
      </c>
      <c r="D129" s="93" t="s">
        <v>503</v>
      </c>
      <c r="E129" s="93" t="s">
        <v>512</v>
      </c>
      <c r="F129" s="106">
        <v>346526</v>
      </c>
      <c r="G129" s="8" t="s">
        <v>505</v>
      </c>
    </row>
    <row r="130" spans="1:7" ht="15" customHeight="1" x14ac:dyDescent="0.3">
      <c r="A130" s="93" t="s">
        <v>520</v>
      </c>
      <c r="B130" s="93" t="s">
        <v>93</v>
      </c>
      <c r="C130" s="93" t="s">
        <v>94</v>
      </c>
      <c r="D130" s="93" t="s">
        <v>503</v>
      </c>
      <c r="E130" s="93" t="s">
        <v>504</v>
      </c>
      <c r="F130" s="106">
        <v>119432</v>
      </c>
      <c r="G130" s="8" t="s">
        <v>505</v>
      </c>
    </row>
    <row r="131" spans="1:7" ht="15" customHeight="1" x14ac:dyDescent="0.3">
      <c r="A131" s="93" t="s">
        <v>520</v>
      </c>
      <c r="B131" s="93" t="s">
        <v>93</v>
      </c>
      <c r="C131" s="93" t="s">
        <v>94</v>
      </c>
      <c r="D131" s="93" t="s">
        <v>503</v>
      </c>
      <c r="E131" s="93" t="s">
        <v>506</v>
      </c>
      <c r="F131" s="106">
        <v>146677</v>
      </c>
      <c r="G131" s="8" t="s">
        <v>505</v>
      </c>
    </row>
    <row r="132" spans="1:7" ht="15" customHeight="1" x14ac:dyDescent="0.3">
      <c r="A132" s="93" t="s">
        <v>520</v>
      </c>
      <c r="B132" s="93" t="s">
        <v>93</v>
      </c>
      <c r="C132" s="93" t="s">
        <v>94</v>
      </c>
      <c r="D132" s="93" t="s">
        <v>503</v>
      </c>
      <c r="E132" s="93" t="s">
        <v>507</v>
      </c>
      <c r="F132" s="106">
        <v>165192</v>
      </c>
      <c r="G132" s="8" t="s">
        <v>505</v>
      </c>
    </row>
    <row r="133" spans="1:7" ht="15" customHeight="1" x14ac:dyDescent="0.3">
      <c r="A133" s="93" t="s">
        <v>520</v>
      </c>
      <c r="B133" s="93" t="s">
        <v>93</v>
      </c>
      <c r="C133" s="93" t="s">
        <v>94</v>
      </c>
      <c r="D133" s="93" t="s">
        <v>503</v>
      </c>
      <c r="E133" s="93" t="s">
        <v>508</v>
      </c>
      <c r="F133" s="106">
        <v>177677</v>
      </c>
      <c r="G133" s="8" t="s">
        <v>505</v>
      </c>
    </row>
    <row r="134" spans="1:7" ht="15" customHeight="1" x14ac:dyDescent="0.3">
      <c r="A134" s="93" t="s">
        <v>520</v>
      </c>
      <c r="B134" s="93" t="s">
        <v>93</v>
      </c>
      <c r="C134" s="93" t="s">
        <v>94</v>
      </c>
      <c r="D134" s="93" t="s">
        <v>503</v>
      </c>
      <c r="E134" s="93" t="s">
        <v>509</v>
      </c>
      <c r="F134" s="106">
        <v>197966</v>
      </c>
      <c r="G134" s="8" t="s">
        <v>505</v>
      </c>
    </row>
    <row r="135" spans="1:7" ht="15" customHeight="1" x14ac:dyDescent="0.3">
      <c r="A135" s="93" t="s">
        <v>520</v>
      </c>
      <c r="B135" s="93" t="s">
        <v>93</v>
      </c>
      <c r="C135" s="93" t="s">
        <v>94</v>
      </c>
      <c r="D135" s="93" t="s">
        <v>503</v>
      </c>
      <c r="E135" s="93" t="s">
        <v>510</v>
      </c>
      <c r="F135" s="106">
        <v>267320</v>
      </c>
      <c r="G135" s="8" t="s">
        <v>505</v>
      </c>
    </row>
    <row r="136" spans="1:7" ht="15" customHeight="1" x14ac:dyDescent="0.3">
      <c r="A136" s="93" t="s">
        <v>520</v>
      </c>
      <c r="B136" s="93" t="s">
        <v>93</v>
      </c>
      <c r="C136" s="93" t="s">
        <v>94</v>
      </c>
      <c r="D136" s="93" t="s">
        <v>503</v>
      </c>
      <c r="E136" s="93" t="s">
        <v>511</v>
      </c>
      <c r="F136" s="106">
        <v>297784</v>
      </c>
      <c r="G136" s="8" t="s">
        <v>505</v>
      </c>
    </row>
    <row r="137" spans="1:7" ht="15" customHeight="1" x14ac:dyDescent="0.3">
      <c r="A137" s="93" t="s">
        <v>520</v>
      </c>
      <c r="B137" s="93" t="s">
        <v>93</v>
      </c>
      <c r="C137" s="93" t="s">
        <v>94</v>
      </c>
      <c r="D137" s="93" t="s">
        <v>503</v>
      </c>
      <c r="E137" s="93" t="s">
        <v>512</v>
      </c>
      <c r="F137" s="106">
        <v>298320</v>
      </c>
      <c r="G137" s="8" t="s">
        <v>505</v>
      </c>
    </row>
    <row r="138" spans="1:7" ht="15" customHeight="1" x14ac:dyDescent="0.3">
      <c r="A138" s="93" t="s">
        <v>520</v>
      </c>
      <c r="B138" s="93" t="s">
        <v>96</v>
      </c>
      <c r="C138" s="93" t="s">
        <v>94</v>
      </c>
      <c r="D138" s="93" t="s">
        <v>503</v>
      </c>
      <c r="E138" s="93" t="s">
        <v>504</v>
      </c>
      <c r="F138" s="106">
        <v>158348</v>
      </c>
      <c r="G138" s="8" t="s">
        <v>505</v>
      </c>
    </row>
    <row r="139" spans="1:7" ht="15" customHeight="1" x14ac:dyDescent="0.3">
      <c r="A139" s="93" t="s">
        <v>520</v>
      </c>
      <c r="B139" s="93" t="s">
        <v>96</v>
      </c>
      <c r="C139" s="93" t="s">
        <v>94</v>
      </c>
      <c r="D139" s="93" t="s">
        <v>503</v>
      </c>
      <c r="E139" s="93" t="s">
        <v>506</v>
      </c>
      <c r="F139" s="106">
        <v>170405</v>
      </c>
      <c r="G139" s="8" t="s">
        <v>505</v>
      </c>
    </row>
    <row r="140" spans="1:7" ht="15" customHeight="1" x14ac:dyDescent="0.3">
      <c r="A140" s="93" t="s">
        <v>520</v>
      </c>
      <c r="B140" s="93" t="s">
        <v>96</v>
      </c>
      <c r="C140" s="93" t="s">
        <v>94</v>
      </c>
      <c r="D140" s="93" t="s">
        <v>503</v>
      </c>
      <c r="E140" s="93" t="s">
        <v>507</v>
      </c>
      <c r="F140" s="106">
        <v>176745</v>
      </c>
      <c r="G140" s="8" t="s">
        <v>505</v>
      </c>
    </row>
    <row r="141" spans="1:7" ht="15" customHeight="1" x14ac:dyDescent="0.3">
      <c r="A141" s="93" t="s">
        <v>520</v>
      </c>
      <c r="B141" s="93" t="s">
        <v>96</v>
      </c>
      <c r="C141" s="93" t="s">
        <v>94</v>
      </c>
      <c r="D141" s="93" t="s">
        <v>503</v>
      </c>
      <c r="E141" s="93" t="s">
        <v>508</v>
      </c>
      <c r="F141" s="106">
        <v>206322</v>
      </c>
      <c r="G141" s="8" t="s">
        <v>505</v>
      </c>
    </row>
    <row r="142" spans="1:7" ht="15" customHeight="1" x14ac:dyDescent="0.3">
      <c r="A142" s="93" t="s">
        <v>520</v>
      </c>
      <c r="B142" s="93" t="s">
        <v>96</v>
      </c>
      <c r="C142" s="93" t="s">
        <v>94</v>
      </c>
      <c r="D142" s="93" t="s">
        <v>503</v>
      </c>
      <c r="E142" s="93" t="s">
        <v>509</v>
      </c>
      <c r="F142" s="106">
        <v>229909</v>
      </c>
      <c r="G142" s="8" t="s">
        <v>505</v>
      </c>
    </row>
    <row r="143" spans="1:7" ht="15" customHeight="1" x14ac:dyDescent="0.3">
      <c r="A143" s="93" t="s">
        <v>520</v>
      </c>
      <c r="B143" s="93" t="s">
        <v>96</v>
      </c>
      <c r="C143" s="93" t="s">
        <v>94</v>
      </c>
      <c r="D143" s="93" t="s">
        <v>503</v>
      </c>
      <c r="E143" s="93" t="s">
        <v>510</v>
      </c>
      <c r="F143" s="106">
        <v>310425</v>
      </c>
      <c r="G143" s="8" t="s">
        <v>505</v>
      </c>
    </row>
    <row r="144" spans="1:7" ht="15" customHeight="1" x14ac:dyDescent="0.3">
      <c r="A144" s="93" t="s">
        <v>520</v>
      </c>
      <c r="B144" s="93" t="s">
        <v>96</v>
      </c>
      <c r="C144" s="93" t="s">
        <v>94</v>
      </c>
      <c r="D144" s="93" t="s">
        <v>503</v>
      </c>
      <c r="E144" s="93" t="s">
        <v>511</v>
      </c>
      <c r="F144" s="106">
        <v>345901</v>
      </c>
      <c r="G144" s="8" t="s">
        <v>505</v>
      </c>
    </row>
    <row r="145" spans="1:7" ht="15" customHeight="1" x14ac:dyDescent="0.3">
      <c r="A145" s="93" t="s">
        <v>520</v>
      </c>
      <c r="B145" s="93" t="s">
        <v>96</v>
      </c>
      <c r="C145" s="93" t="s">
        <v>94</v>
      </c>
      <c r="D145" s="93" t="s">
        <v>503</v>
      </c>
      <c r="E145" s="93" t="s">
        <v>512</v>
      </c>
      <c r="F145" s="106">
        <v>346526</v>
      </c>
      <c r="G145" s="8" t="s">
        <v>505</v>
      </c>
    </row>
    <row r="146" spans="1:7" ht="15" customHeight="1" x14ac:dyDescent="0.3">
      <c r="A146" s="93" t="s">
        <v>521</v>
      </c>
      <c r="B146" s="93" t="s">
        <v>93</v>
      </c>
      <c r="C146" s="93" t="s">
        <v>94</v>
      </c>
      <c r="D146" s="93" t="s">
        <v>503</v>
      </c>
      <c r="E146" s="93" t="s">
        <v>504</v>
      </c>
      <c r="F146" s="106">
        <v>117801</v>
      </c>
      <c r="G146" s="8" t="s">
        <v>505</v>
      </c>
    </row>
    <row r="147" spans="1:7" ht="15" customHeight="1" x14ac:dyDescent="0.3">
      <c r="A147" s="93" t="s">
        <v>521</v>
      </c>
      <c r="B147" s="93" t="s">
        <v>93</v>
      </c>
      <c r="C147" s="93" t="s">
        <v>94</v>
      </c>
      <c r="D147" s="93" t="s">
        <v>503</v>
      </c>
      <c r="E147" s="93" t="s">
        <v>506</v>
      </c>
      <c r="F147" s="106">
        <v>139932</v>
      </c>
      <c r="G147" s="8" t="s">
        <v>505</v>
      </c>
    </row>
    <row r="148" spans="1:7" ht="15" customHeight="1" x14ac:dyDescent="0.3">
      <c r="A148" s="93" t="s">
        <v>521</v>
      </c>
      <c r="B148" s="93" t="s">
        <v>93</v>
      </c>
      <c r="C148" s="93" t="s">
        <v>94</v>
      </c>
      <c r="D148" s="93" t="s">
        <v>503</v>
      </c>
      <c r="E148" s="93" t="s">
        <v>507</v>
      </c>
      <c r="F148" s="106">
        <v>157343</v>
      </c>
      <c r="G148" s="8" t="s">
        <v>505</v>
      </c>
    </row>
    <row r="149" spans="1:7" ht="15" customHeight="1" x14ac:dyDescent="0.3">
      <c r="A149" s="93" t="s">
        <v>521</v>
      </c>
      <c r="B149" s="93" t="s">
        <v>93</v>
      </c>
      <c r="C149" s="93" t="s">
        <v>94</v>
      </c>
      <c r="D149" s="93" t="s">
        <v>503</v>
      </c>
      <c r="E149" s="93" t="s">
        <v>508</v>
      </c>
      <c r="F149" s="106">
        <v>170499</v>
      </c>
      <c r="G149" s="8" t="s">
        <v>505</v>
      </c>
    </row>
    <row r="150" spans="1:7" ht="15" customHeight="1" x14ac:dyDescent="0.3">
      <c r="A150" s="93" t="s">
        <v>521</v>
      </c>
      <c r="B150" s="93" t="s">
        <v>93</v>
      </c>
      <c r="C150" s="93" t="s">
        <v>94</v>
      </c>
      <c r="D150" s="93" t="s">
        <v>503</v>
      </c>
      <c r="E150" s="93" t="s">
        <v>509</v>
      </c>
      <c r="F150" s="106">
        <v>188679</v>
      </c>
      <c r="G150" s="8" t="s">
        <v>505</v>
      </c>
    </row>
    <row r="151" spans="1:7" ht="15" customHeight="1" x14ac:dyDescent="0.3">
      <c r="A151" s="93" t="s">
        <v>521</v>
      </c>
      <c r="B151" s="93" t="s">
        <v>93</v>
      </c>
      <c r="C151" s="93" t="s">
        <v>94</v>
      </c>
      <c r="D151" s="93" t="s">
        <v>503</v>
      </c>
      <c r="E151" s="93" t="s">
        <v>510</v>
      </c>
      <c r="F151" s="106">
        <v>254638</v>
      </c>
      <c r="G151" s="8" t="s">
        <v>505</v>
      </c>
    </row>
    <row r="152" spans="1:7" ht="15" customHeight="1" x14ac:dyDescent="0.3">
      <c r="A152" s="93" t="s">
        <v>521</v>
      </c>
      <c r="B152" s="93" t="s">
        <v>93</v>
      </c>
      <c r="C152" s="93" t="s">
        <v>94</v>
      </c>
      <c r="D152" s="93" t="s">
        <v>503</v>
      </c>
      <c r="E152" s="93" t="s">
        <v>511</v>
      </c>
      <c r="F152" s="106">
        <v>283862</v>
      </c>
      <c r="G152" s="8" t="s">
        <v>505</v>
      </c>
    </row>
    <row r="153" spans="1:7" ht="15" customHeight="1" x14ac:dyDescent="0.3">
      <c r="A153" s="93" t="s">
        <v>521</v>
      </c>
      <c r="B153" s="93" t="s">
        <v>93</v>
      </c>
      <c r="C153" s="93" t="s">
        <v>94</v>
      </c>
      <c r="D153" s="93" t="s">
        <v>503</v>
      </c>
      <c r="E153" s="93" t="s">
        <v>512</v>
      </c>
      <c r="F153" s="106">
        <v>284188</v>
      </c>
      <c r="G153" s="8" t="s">
        <v>505</v>
      </c>
    </row>
    <row r="154" spans="1:7" ht="15" customHeight="1" x14ac:dyDescent="0.3">
      <c r="A154" s="93" t="s">
        <v>521</v>
      </c>
      <c r="B154" s="93" t="s">
        <v>96</v>
      </c>
      <c r="C154" s="93" t="s">
        <v>94</v>
      </c>
      <c r="D154" s="93" t="s">
        <v>503</v>
      </c>
      <c r="E154" s="93" t="s">
        <v>504</v>
      </c>
      <c r="F154" s="106">
        <v>146813</v>
      </c>
      <c r="G154" s="8" t="s">
        <v>505</v>
      </c>
    </row>
    <row r="155" spans="1:7" ht="15" customHeight="1" x14ac:dyDescent="0.3">
      <c r="A155" s="93" t="s">
        <v>521</v>
      </c>
      <c r="B155" s="93" t="s">
        <v>96</v>
      </c>
      <c r="C155" s="93" t="s">
        <v>94</v>
      </c>
      <c r="D155" s="93" t="s">
        <v>503</v>
      </c>
      <c r="E155" s="93" t="s">
        <v>506</v>
      </c>
      <c r="F155" s="106">
        <v>161142</v>
      </c>
      <c r="G155" s="8" t="s">
        <v>505</v>
      </c>
    </row>
    <row r="156" spans="1:7" ht="15" customHeight="1" x14ac:dyDescent="0.3">
      <c r="A156" s="93" t="s">
        <v>521</v>
      </c>
      <c r="B156" s="93" t="s">
        <v>96</v>
      </c>
      <c r="C156" s="93" t="s">
        <v>94</v>
      </c>
      <c r="D156" s="93" t="s">
        <v>503</v>
      </c>
      <c r="E156" s="93" t="s">
        <v>507</v>
      </c>
      <c r="F156" s="106">
        <v>167045</v>
      </c>
      <c r="G156" s="8" t="s">
        <v>505</v>
      </c>
    </row>
    <row r="157" spans="1:7" ht="15" customHeight="1" x14ac:dyDescent="0.3">
      <c r="A157" s="93" t="s">
        <v>521</v>
      </c>
      <c r="B157" s="93" t="s">
        <v>96</v>
      </c>
      <c r="C157" s="93" t="s">
        <v>94</v>
      </c>
      <c r="D157" s="93" t="s">
        <v>503</v>
      </c>
      <c r="E157" s="93" t="s">
        <v>508</v>
      </c>
      <c r="F157" s="106">
        <v>196081</v>
      </c>
      <c r="G157" s="8" t="s">
        <v>505</v>
      </c>
    </row>
    <row r="158" spans="1:7" ht="15" customHeight="1" x14ac:dyDescent="0.3">
      <c r="A158" s="93" t="s">
        <v>521</v>
      </c>
      <c r="B158" s="93" t="s">
        <v>96</v>
      </c>
      <c r="C158" s="93" t="s">
        <v>94</v>
      </c>
      <c r="D158" s="93" t="s">
        <v>503</v>
      </c>
      <c r="E158" s="93" t="s">
        <v>509</v>
      </c>
      <c r="F158" s="106">
        <v>217390</v>
      </c>
      <c r="G158" s="8" t="s">
        <v>505</v>
      </c>
    </row>
    <row r="159" spans="1:7" ht="15" customHeight="1" x14ac:dyDescent="0.3">
      <c r="A159" s="93" t="s">
        <v>521</v>
      </c>
      <c r="B159" s="93" t="s">
        <v>96</v>
      </c>
      <c r="C159" s="93" t="s">
        <v>94</v>
      </c>
      <c r="D159" s="93" t="s">
        <v>503</v>
      </c>
      <c r="E159" s="93" t="s">
        <v>510</v>
      </c>
      <c r="F159" s="106">
        <v>293258</v>
      </c>
      <c r="G159" s="8" t="s">
        <v>505</v>
      </c>
    </row>
    <row r="160" spans="1:7" ht="15" customHeight="1" x14ac:dyDescent="0.3">
      <c r="A160" s="93" t="s">
        <v>521</v>
      </c>
      <c r="B160" s="93" t="s">
        <v>96</v>
      </c>
      <c r="C160" s="93" t="s">
        <v>94</v>
      </c>
      <c r="D160" s="93" t="s">
        <v>503</v>
      </c>
      <c r="E160" s="93" t="s">
        <v>511</v>
      </c>
      <c r="F160" s="106">
        <v>326815</v>
      </c>
      <c r="G160" s="8" t="s">
        <v>505</v>
      </c>
    </row>
    <row r="161" spans="1:7" ht="15" customHeight="1" x14ac:dyDescent="0.3">
      <c r="A161" s="93" t="s">
        <v>521</v>
      </c>
      <c r="B161" s="93" t="s">
        <v>96</v>
      </c>
      <c r="C161" s="93" t="s">
        <v>94</v>
      </c>
      <c r="D161" s="93" t="s">
        <v>503</v>
      </c>
      <c r="E161" s="93" t="s">
        <v>512</v>
      </c>
      <c r="F161" s="106">
        <v>327446</v>
      </c>
      <c r="G161" s="8" t="s">
        <v>505</v>
      </c>
    </row>
    <row r="162" spans="1:7" ht="15" customHeight="1" x14ac:dyDescent="0.3">
      <c r="A162" s="93" t="s">
        <v>522</v>
      </c>
      <c r="B162" s="93" t="s">
        <v>93</v>
      </c>
      <c r="C162" s="93" t="s">
        <v>94</v>
      </c>
      <c r="D162" s="93" t="s">
        <v>503</v>
      </c>
      <c r="E162" s="93" t="s">
        <v>504</v>
      </c>
      <c r="F162" s="106">
        <v>119432</v>
      </c>
      <c r="G162" s="8" t="s">
        <v>505</v>
      </c>
    </row>
    <row r="163" spans="1:7" ht="15" customHeight="1" x14ac:dyDescent="0.3">
      <c r="A163" s="93" t="s">
        <v>522</v>
      </c>
      <c r="B163" s="93" t="s">
        <v>93</v>
      </c>
      <c r="C163" s="93" t="s">
        <v>94</v>
      </c>
      <c r="D163" s="93" t="s">
        <v>503</v>
      </c>
      <c r="E163" s="93" t="s">
        <v>506</v>
      </c>
      <c r="F163" s="106">
        <v>146677</v>
      </c>
      <c r="G163" s="8" t="s">
        <v>505</v>
      </c>
    </row>
    <row r="164" spans="1:7" ht="15" customHeight="1" x14ac:dyDescent="0.3">
      <c r="A164" s="93" t="s">
        <v>522</v>
      </c>
      <c r="B164" s="93" t="s">
        <v>93</v>
      </c>
      <c r="C164" s="93" t="s">
        <v>94</v>
      </c>
      <c r="D164" s="93" t="s">
        <v>503</v>
      </c>
      <c r="E164" s="93" t="s">
        <v>507</v>
      </c>
      <c r="F164" s="106">
        <v>165192</v>
      </c>
      <c r="G164" s="8" t="s">
        <v>505</v>
      </c>
    </row>
    <row r="165" spans="1:7" ht="15" customHeight="1" x14ac:dyDescent="0.3">
      <c r="A165" s="93" t="s">
        <v>522</v>
      </c>
      <c r="B165" s="93" t="s">
        <v>93</v>
      </c>
      <c r="C165" s="93" t="s">
        <v>94</v>
      </c>
      <c r="D165" s="93" t="s">
        <v>503</v>
      </c>
      <c r="E165" s="93" t="s">
        <v>508</v>
      </c>
      <c r="F165" s="106">
        <v>177677</v>
      </c>
      <c r="G165" s="8" t="s">
        <v>505</v>
      </c>
    </row>
    <row r="166" spans="1:7" ht="15" customHeight="1" x14ac:dyDescent="0.3">
      <c r="A166" s="93" t="s">
        <v>522</v>
      </c>
      <c r="B166" s="93" t="s">
        <v>93</v>
      </c>
      <c r="C166" s="93" t="s">
        <v>94</v>
      </c>
      <c r="D166" s="93" t="s">
        <v>503</v>
      </c>
      <c r="E166" s="93" t="s">
        <v>509</v>
      </c>
      <c r="F166" s="106">
        <v>197966</v>
      </c>
      <c r="G166" s="8" t="s">
        <v>505</v>
      </c>
    </row>
    <row r="167" spans="1:7" ht="15" customHeight="1" x14ac:dyDescent="0.3">
      <c r="A167" s="93" t="s">
        <v>522</v>
      </c>
      <c r="B167" s="93" t="s">
        <v>93</v>
      </c>
      <c r="C167" s="93" t="s">
        <v>94</v>
      </c>
      <c r="D167" s="93" t="s">
        <v>503</v>
      </c>
      <c r="E167" s="93" t="s">
        <v>510</v>
      </c>
      <c r="F167" s="106">
        <v>267320</v>
      </c>
      <c r="G167" s="8" t="s">
        <v>505</v>
      </c>
    </row>
    <row r="168" spans="1:7" ht="15" customHeight="1" x14ac:dyDescent="0.3">
      <c r="A168" s="93" t="s">
        <v>522</v>
      </c>
      <c r="B168" s="93" t="s">
        <v>93</v>
      </c>
      <c r="C168" s="93" t="s">
        <v>94</v>
      </c>
      <c r="D168" s="93" t="s">
        <v>503</v>
      </c>
      <c r="E168" s="93" t="s">
        <v>511</v>
      </c>
      <c r="F168" s="106">
        <v>297784</v>
      </c>
      <c r="G168" s="8" t="s">
        <v>505</v>
      </c>
    </row>
    <row r="169" spans="1:7" ht="15" customHeight="1" x14ac:dyDescent="0.3">
      <c r="A169" s="93" t="s">
        <v>522</v>
      </c>
      <c r="B169" s="93" t="s">
        <v>93</v>
      </c>
      <c r="C169" s="93" t="s">
        <v>94</v>
      </c>
      <c r="D169" s="93" t="s">
        <v>503</v>
      </c>
      <c r="E169" s="93" t="s">
        <v>512</v>
      </c>
      <c r="F169" s="106">
        <v>298320</v>
      </c>
      <c r="G169" s="8" t="s">
        <v>505</v>
      </c>
    </row>
    <row r="170" spans="1:7" ht="15" customHeight="1" x14ac:dyDescent="0.3">
      <c r="A170" s="93" t="s">
        <v>522</v>
      </c>
      <c r="B170" s="93" t="s">
        <v>96</v>
      </c>
      <c r="C170" s="93" t="s">
        <v>94</v>
      </c>
      <c r="D170" s="93" t="s">
        <v>503</v>
      </c>
      <c r="E170" s="93" t="s">
        <v>504</v>
      </c>
      <c r="F170" s="106">
        <v>158348</v>
      </c>
      <c r="G170" s="8" t="s">
        <v>505</v>
      </c>
    </row>
    <row r="171" spans="1:7" ht="15" customHeight="1" x14ac:dyDescent="0.3">
      <c r="A171" s="93" t="s">
        <v>522</v>
      </c>
      <c r="B171" s="93" t="s">
        <v>96</v>
      </c>
      <c r="C171" s="93" t="s">
        <v>94</v>
      </c>
      <c r="D171" s="93" t="s">
        <v>503</v>
      </c>
      <c r="E171" s="93" t="s">
        <v>506</v>
      </c>
      <c r="F171" s="106">
        <v>170405</v>
      </c>
      <c r="G171" s="8" t="s">
        <v>505</v>
      </c>
    </row>
    <row r="172" spans="1:7" ht="15" customHeight="1" x14ac:dyDescent="0.3">
      <c r="A172" s="93" t="s">
        <v>522</v>
      </c>
      <c r="B172" s="93" t="s">
        <v>96</v>
      </c>
      <c r="C172" s="93" t="s">
        <v>94</v>
      </c>
      <c r="D172" s="93" t="s">
        <v>503</v>
      </c>
      <c r="E172" s="93" t="s">
        <v>507</v>
      </c>
      <c r="F172" s="106">
        <v>176745</v>
      </c>
      <c r="G172" s="8" t="s">
        <v>505</v>
      </c>
    </row>
    <row r="173" spans="1:7" ht="15" customHeight="1" x14ac:dyDescent="0.3">
      <c r="A173" s="93" t="s">
        <v>522</v>
      </c>
      <c r="B173" s="93" t="s">
        <v>96</v>
      </c>
      <c r="C173" s="93" t="s">
        <v>94</v>
      </c>
      <c r="D173" s="93" t="s">
        <v>503</v>
      </c>
      <c r="E173" s="93" t="s">
        <v>508</v>
      </c>
      <c r="F173" s="106">
        <v>206322</v>
      </c>
      <c r="G173" s="8" t="s">
        <v>505</v>
      </c>
    </row>
    <row r="174" spans="1:7" ht="15" customHeight="1" x14ac:dyDescent="0.3">
      <c r="A174" s="93" t="s">
        <v>522</v>
      </c>
      <c r="B174" s="93" t="s">
        <v>96</v>
      </c>
      <c r="C174" s="93" t="s">
        <v>94</v>
      </c>
      <c r="D174" s="93" t="s">
        <v>503</v>
      </c>
      <c r="E174" s="93" t="s">
        <v>509</v>
      </c>
      <c r="F174" s="106">
        <v>229909</v>
      </c>
      <c r="G174" s="8" t="s">
        <v>505</v>
      </c>
    </row>
    <row r="175" spans="1:7" ht="15" customHeight="1" x14ac:dyDescent="0.3">
      <c r="A175" s="93" t="s">
        <v>522</v>
      </c>
      <c r="B175" s="93" t="s">
        <v>96</v>
      </c>
      <c r="C175" s="93" t="s">
        <v>94</v>
      </c>
      <c r="D175" s="93" t="s">
        <v>503</v>
      </c>
      <c r="E175" s="93" t="s">
        <v>510</v>
      </c>
      <c r="F175" s="106">
        <v>310425</v>
      </c>
      <c r="G175" s="8" t="s">
        <v>505</v>
      </c>
    </row>
    <row r="176" spans="1:7" ht="15" customHeight="1" x14ac:dyDescent="0.3">
      <c r="A176" s="93" t="s">
        <v>522</v>
      </c>
      <c r="B176" s="93" t="s">
        <v>96</v>
      </c>
      <c r="C176" s="93" t="s">
        <v>94</v>
      </c>
      <c r="D176" s="93" t="s">
        <v>503</v>
      </c>
      <c r="E176" s="93" t="s">
        <v>511</v>
      </c>
      <c r="F176" s="106">
        <v>345901</v>
      </c>
      <c r="G176" s="8" t="s">
        <v>505</v>
      </c>
    </row>
    <row r="177" spans="1:7" ht="15" customHeight="1" x14ac:dyDescent="0.3">
      <c r="A177" s="93" t="s">
        <v>522</v>
      </c>
      <c r="B177" s="93" t="s">
        <v>96</v>
      </c>
      <c r="C177" s="93" t="s">
        <v>94</v>
      </c>
      <c r="D177" s="93" t="s">
        <v>503</v>
      </c>
      <c r="E177" s="93" t="s">
        <v>512</v>
      </c>
      <c r="F177" s="106">
        <v>346526</v>
      </c>
      <c r="G177" s="8" t="s">
        <v>505</v>
      </c>
    </row>
    <row r="178" spans="1:7" ht="15" customHeight="1" x14ac:dyDescent="0.3">
      <c r="A178" s="93" t="s">
        <v>523</v>
      </c>
      <c r="B178" s="93" t="s">
        <v>93</v>
      </c>
      <c r="C178" s="93" t="s">
        <v>94</v>
      </c>
      <c r="D178" s="93" t="s">
        <v>503</v>
      </c>
      <c r="E178" s="93" t="s">
        <v>504</v>
      </c>
      <c r="F178" s="106">
        <v>119432</v>
      </c>
      <c r="G178" s="8" t="s">
        <v>505</v>
      </c>
    </row>
    <row r="179" spans="1:7" ht="15" customHeight="1" x14ac:dyDescent="0.3">
      <c r="A179" s="93" t="s">
        <v>523</v>
      </c>
      <c r="B179" s="93" t="s">
        <v>93</v>
      </c>
      <c r="C179" s="93" t="s">
        <v>94</v>
      </c>
      <c r="D179" s="93" t="s">
        <v>503</v>
      </c>
      <c r="E179" s="93" t="s">
        <v>506</v>
      </c>
      <c r="F179" s="106">
        <v>146677</v>
      </c>
      <c r="G179" s="8" t="s">
        <v>505</v>
      </c>
    </row>
    <row r="180" spans="1:7" ht="15" customHeight="1" x14ac:dyDescent="0.3">
      <c r="A180" s="93" t="s">
        <v>523</v>
      </c>
      <c r="B180" s="93" t="s">
        <v>93</v>
      </c>
      <c r="C180" s="93" t="s">
        <v>94</v>
      </c>
      <c r="D180" s="93" t="s">
        <v>503</v>
      </c>
      <c r="E180" s="93" t="s">
        <v>507</v>
      </c>
      <c r="F180" s="106">
        <v>165192</v>
      </c>
      <c r="G180" s="8" t="s">
        <v>505</v>
      </c>
    </row>
    <row r="181" spans="1:7" ht="15" customHeight="1" x14ac:dyDescent="0.3">
      <c r="A181" s="93" t="s">
        <v>523</v>
      </c>
      <c r="B181" s="93" t="s">
        <v>93</v>
      </c>
      <c r="C181" s="93" t="s">
        <v>94</v>
      </c>
      <c r="D181" s="93" t="s">
        <v>503</v>
      </c>
      <c r="E181" s="93" t="s">
        <v>508</v>
      </c>
      <c r="F181" s="106">
        <v>177677</v>
      </c>
      <c r="G181" s="8" t="s">
        <v>505</v>
      </c>
    </row>
    <row r="182" spans="1:7" ht="15" customHeight="1" x14ac:dyDescent="0.3">
      <c r="A182" s="93" t="s">
        <v>523</v>
      </c>
      <c r="B182" s="93" t="s">
        <v>93</v>
      </c>
      <c r="C182" s="93" t="s">
        <v>94</v>
      </c>
      <c r="D182" s="93" t="s">
        <v>503</v>
      </c>
      <c r="E182" s="93" t="s">
        <v>509</v>
      </c>
      <c r="F182" s="106">
        <v>197966</v>
      </c>
      <c r="G182" s="8" t="s">
        <v>505</v>
      </c>
    </row>
    <row r="183" spans="1:7" ht="15" customHeight="1" x14ac:dyDescent="0.3">
      <c r="A183" s="93" t="s">
        <v>523</v>
      </c>
      <c r="B183" s="93" t="s">
        <v>93</v>
      </c>
      <c r="C183" s="93" t="s">
        <v>94</v>
      </c>
      <c r="D183" s="93" t="s">
        <v>503</v>
      </c>
      <c r="E183" s="93" t="s">
        <v>510</v>
      </c>
      <c r="F183" s="106">
        <v>267320</v>
      </c>
      <c r="G183" s="8" t="s">
        <v>505</v>
      </c>
    </row>
    <row r="184" spans="1:7" ht="15" customHeight="1" x14ac:dyDescent="0.3">
      <c r="A184" s="93" t="s">
        <v>523</v>
      </c>
      <c r="B184" s="93" t="s">
        <v>93</v>
      </c>
      <c r="C184" s="93" t="s">
        <v>94</v>
      </c>
      <c r="D184" s="93" t="s">
        <v>503</v>
      </c>
      <c r="E184" s="93" t="s">
        <v>511</v>
      </c>
      <c r="F184" s="106">
        <v>297784</v>
      </c>
      <c r="G184" s="8" t="s">
        <v>505</v>
      </c>
    </row>
    <row r="185" spans="1:7" ht="15" customHeight="1" x14ac:dyDescent="0.3">
      <c r="A185" s="93" t="s">
        <v>523</v>
      </c>
      <c r="B185" s="93" t="s">
        <v>93</v>
      </c>
      <c r="C185" s="93" t="s">
        <v>94</v>
      </c>
      <c r="D185" s="93" t="s">
        <v>503</v>
      </c>
      <c r="E185" s="93" t="s">
        <v>512</v>
      </c>
      <c r="F185" s="106">
        <v>298320</v>
      </c>
      <c r="G185" s="8" t="s">
        <v>505</v>
      </c>
    </row>
    <row r="186" spans="1:7" ht="15" customHeight="1" x14ac:dyDescent="0.3">
      <c r="A186" s="93" t="s">
        <v>523</v>
      </c>
      <c r="B186" s="93" t="s">
        <v>96</v>
      </c>
      <c r="C186" s="93" t="s">
        <v>94</v>
      </c>
      <c r="D186" s="93" t="s">
        <v>503</v>
      </c>
      <c r="E186" s="93" t="s">
        <v>504</v>
      </c>
      <c r="F186" s="106">
        <v>158348</v>
      </c>
      <c r="G186" s="8" t="s">
        <v>505</v>
      </c>
    </row>
    <row r="187" spans="1:7" ht="15" customHeight="1" x14ac:dyDescent="0.3">
      <c r="A187" s="93" t="s">
        <v>523</v>
      </c>
      <c r="B187" s="93" t="s">
        <v>96</v>
      </c>
      <c r="C187" s="93" t="s">
        <v>94</v>
      </c>
      <c r="D187" s="93" t="s">
        <v>503</v>
      </c>
      <c r="E187" s="93" t="s">
        <v>506</v>
      </c>
      <c r="F187" s="106">
        <v>170405</v>
      </c>
      <c r="G187" s="8" t="s">
        <v>505</v>
      </c>
    </row>
    <row r="188" spans="1:7" ht="15" customHeight="1" x14ac:dyDescent="0.3">
      <c r="A188" s="93" t="s">
        <v>523</v>
      </c>
      <c r="B188" s="93" t="s">
        <v>96</v>
      </c>
      <c r="C188" s="93" t="s">
        <v>94</v>
      </c>
      <c r="D188" s="93" t="s">
        <v>503</v>
      </c>
      <c r="E188" s="93" t="s">
        <v>507</v>
      </c>
      <c r="F188" s="106">
        <v>176745</v>
      </c>
      <c r="G188" s="8" t="s">
        <v>505</v>
      </c>
    </row>
    <row r="189" spans="1:7" ht="15" customHeight="1" x14ac:dyDescent="0.3">
      <c r="A189" s="93" t="s">
        <v>523</v>
      </c>
      <c r="B189" s="93" t="s">
        <v>96</v>
      </c>
      <c r="C189" s="93" t="s">
        <v>94</v>
      </c>
      <c r="D189" s="93" t="s">
        <v>503</v>
      </c>
      <c r="E189" s="93" t="s">
        <v>508</v>
      </c>
      <c r="F189" s="106">
        <v>206322</v>
      </c>
      <c r="G189" s="8" t="s">
        <v>505</v>
      </c>
    </row>
    <row r="190" spans="1:7" ht="15" customHeight="1" x14ac:dyDescent="0.3">
      <c r="A190" s="93" t="s">
        <v>523</v>
      </c>
      <c r="B190" s="93" t="s">
        <v>96</v>
      </c>
      <c r="C190" s="93" t="s">
        <v>94</v>
      </c>
      <c r="D190" s="93" t="s">
        <v>503</v>
      </c>
      <c r="E190" s="93" t="s">
        <v>509</v>
      </c>
      <c r="F190" s="106">
        <v>229909</v>
      </c>
      <c r="G190" s="8" t="s">
        <v>505</v>
      </c>
    </row>
    <row r="191" spans="1:7" ht="15" customHeight="1" x14ac:dyDescent="0.3">
      <c r="A191" s="93" t="s">
        <v>523</v>
      </c>
      <c r="B191" s="93" t="s">
        <v>96</v>
      </c>
      <c r="C191" s="93" t="s">
        <v>94</v>
      </c>
      <c r="D191" s="93" t="s">
        <v>503</v>
      </c>
      <c r="E191" s="93" t="s">
        <v>510</v>
      </c>
      <c r="F191" s="106">
        <v>310425</v>
      </c>
      <c r="G191" s="8" t="s">
        <v>505</v>
      </c>
    </row>
    <row r="192" spans="1:7" ht="15" customHeight="1" x14ac:dyDescent="0.3">
      <c r="A192" s="93" t="s">
        <v>523</v>
      </c>
      <c r="B192" s="93" t="s">
        <v>96</v>
      </c>
      <c r="C192" s="93" t="s">
        <v>94</v>
      </c>
      <c r="D192" s="93" t="s">
        <v>503</v>
      </c>
      <c r="E192" s="93" t="s">
        <v>511</v>
      </c>
      <c r="F192" s="106">
        <v>345901</v>
      </c>
      <c r="G192" s="8" t="s">
        <v>505</v>
      </c>
    </row>
    <row r="193" spans="1:7" ht="15" customHeight="1" x14ac:dyDescent="0.3">
      <c r="A193" s="93" t="s">
        <v>523</v>
      </c>
      <c r="B193" s="93" t="s">
        <v>96</v>
      </c>
      <c r="C193" s="93" t="s">
        <v>94</v>
      </c>
      <c r="D193" s="93" t="s">
        <v>503</v>
      </c>
      <c r="E193" s="93" t="s">
        <v>512</v>
      </c>
      <c r="F193" s="106">
        <v>346526</v>
      </c>
      <c r="G193" s="8" t="s">
        <v>505</v>
      </c>
    </row>
    <row r="194" spans="1:7" ht="15" customHeight="1" x14ac:dyDescent="0.3">
      <c r="A194" s="93" t="s">
        <v>524</v>
      </c>
      <c r="B194" s="93" t="s">
        <v>93</v>
      </c>
      <c r="C194" s="93" t="s">
        <v>94</v>
      </c>
      <c r="D194" s="93" t="s">
        <v>503</v>
      </c>
      <c r="E194" s="93" t="s">
        <v>504</v>
      </c>
      <c r="F194" s="106">
        <v>119432</v>
      </c>
      <c r="G194" s="8" t="s">
        <v>505</v>
      </c>
    </row>
    <row r="195" spans="1:7" ht="15" customHeight="1" x14ac:dyDescent="0.3">
      <c r="A195" s="93" t="s">
        <v>524</v>
      </c>
      <c r="B195" s="93" t="s">
        <v>93</v>
      </c>
      <c r="C195" s="93" t="s">
        <v>94</v>
      </c>
      <c r="D195" s="93" t="s">
        <v>503</v>
      </c>
      <c r="E195" s="93" t="s">
        <v>506</v>
      </c>
      <c r="F195" s="106">
        <v>146677</v>
      </c>
      <c r="G195" s="8" t="s">
        <v>505</v>
      </c>
    </row>
    <row r="196" spans="1:7" ht="15" customHeight="1" x14ac:dyDescent="0.3">
      <c r="A196" s="93" t="s">
        <v>524</v>
      </c>
      <c r="B196" s="93" t="s">
        <v>93</v>
      </c>
      <c r="C196" s="93" t="s">
        <v>94</v>
      </c>
      <c r="D196" s="93" t="s">
        <v>503</v>
      </c>
      <c r="E196" s="93" t="s">
        <v>507</v>
      </c>
      <c r="F196" s="106">
        <v>165192</v>
      </c>
      <c r="G196" s="8" t="s">
        <v>505</v>
      </c>
    </row>
    <row r="197" spans="1:7" ht="15" customHeight="1" x14ac:dyDescent="0.3">
      <c r="A197" s="93" t="s">
        <v>524</v>
      </c>
      <c r="B197" s="93" t="s">
        <v>93</v>
      </c>
      <c r="C197" s="93" t="s">
        <v>94</v>
      </c>
      <c r="D197" s="93" t="s">
        <v>503</v>
      </c>
      <c r="E197" s="93" t="s">
        <v>508</v>
      </c>
      <c r="F197" s="106">
        <v>177677</v>
      </c>
      <c r="G197" s="8" t="s">
        <v>505</v>
      </c>
    </row>
    <row r="198" spans="1:7" ht="15" customHeight="1" x14ac:dyDescent="0.3">
      <c r="A198" s="93" t="s">
        <v>524</v>
      </c>
      <c r="B198" s="93" t="s">
        <v>93</v>
      </c>
      <c r="C198" s="93" t="s">
        <v>94</v>
      </c>
      <c r="D198" s="93" t="s">
        <v>503</v>
      </c>
      <c r="E198" s="93" t="s">
        <v>509</v>
      </c>
      <c r="F198" s="106">
        <v>197966</v>
      </c>
      <c r="G198" s="8" t="s">
        <v>505</v>
      </c>
    </row>
    <row r="199" spans="1:7" ht="15" customHeight="1" x14ac:dyDescent="0.3">
      <c r="A199" s="93" t="s">
        <v>524</v>
      </c>
      <c r="B199" s="93" t="s">
        <v>93</v>
      </c>
      <c r="C199" s="93" t="s">
        <v>94</v>
      </c>
      <c r="D199" s="93" t="s">
        <v>503</v>
      </c>
      <c r="E199" s="93" t="s">
        <v>510</v>
      </c>
      <c r="F199" s="106">
        <v>267320</v>
      </c>
      <c r="G199" s="8" t="s">
        <v>505</v>
      </c>
    </row>
    <row r="200" spans="1:7" ht="15" customHeight="1" x14ac:dyDescent="0.3">
      <c r="A200" s="93" t="s">
        <v>524</v>
      </c>
      <c r="B200" s="93" t="s">
        <v>93</v>
      </c>
      <c r="C200" s="93" t="s">
        <v>94</v>
      </c>
      <c r="D200" s="93" t="s">
        <v>503</v>
      </c>
      <c r="E200" s="93" t="s">
        <v>511</v>
      </c>
      <c r="F200" s="106">
        <v>297784</v>
      </c>
      <c r="G200" s="8" t="s">
        <v>505</v>
      </c>
    </row>
    <row r="201" spans="1:7" ht="15" customHeight="1" x14ac:dyDescent="0.3">
      <c r="A201" s="93" t="s">
        <v>524</v>
      </c>
      <c r="B201" s="93" t="s">
        <v>93</v>
      </c>
      <c r="C201" s="93" t="s">
        <v>94</v>
      </c>
      <c r="D201" s="93" t="s">
        <v>503</v>
      </c>
      <c r="E201" s="93" t="s">
        <v>512</v>
      </c>
      <c r="F201" s="106">
        <v>298320</v>
      </c>
      <c r="G201" s="8" t="s">
        <v>505</v>
      </c>
    </row>
    <row r="202" spans="1:7" ht="15" customHeight="1" x14ac:dyDescent="0.3">
      <c r="A202" s="93" t="s">
        <v>524</v>
      </c>
      <c r="B202" s="93" t="s">
        <v>96</v>
      </c>
      <c r="C202" s="93" t="s">
        <v>94</v>
      </c>
      <c r="D202" s="93" t="s">
        <v>503</v>
      </c>
      <c r="E202" s="93" t="s">
        <v>504</v>
      </c>
      <c r="F202" s="106">
        <v>158348</v>
      </c>
      <c r="G202" s="8" t="s">
        <v>505</v>
      </c>
    </row>
    <row r="203" spans="1:7" ht="15" customHeight="1" x14ac:dyDescent="0.3">
      <c r="A203" s="93" t="s">
        <v>524</v>
      </c>
      <c r="B203" s="93" t="s">
        <v>96</v>
      </c>
      <c r="C203" s="93" t="s">
        <v>94</v>
      </c>
      <c r="D203" s="93" t="s">
        <v>503</v>
      </c>
      <c r="E203" s="93" t="s">
        <v>506</v>
      </c>
      <c r="F203" s="106">
        <v>170405</v>
      </c>
      <c r="G203" s="8" t="s">
        <v>505</v>
      </c>
    </row>
    <row r="204" spans="1:7" ht="15" customHeight="1" x14ac:dyDescent="0.3">
      <c r="A204" s="93" t="s">
        <v>524</v>
      </c>
      <c r="B204" s="93" t="s">
        <v>96</v>
      </c>
      <c r="C204" s="93" t="s">
        <v>94</v>
      </c>
      <c r="D204" s="93" t="s">
        <v>503</v>
      </c>
      <c r="E204" s="93" t="s">
        <v>507</v>
      </c>
      <c r="F204" s="106">
        <v>176745</v>
      </c>
      <c r="G204" s="8" t="s">
        <v>505</v>
      </c>
    </row>
    <row r="205" spans="1:7" ht="15" customHeight="1" x14ac:dyDescent="0.3">
      <c r="A205" s="93" t="s">
        <v>524</v>
      </c>
      <c r="B205" s="93" t="s">
        <v>96</v>
      </c>
      <c r="C205" s="93" t="s">
        <v>94</v>
      </c>
      <c r="D205" s="93" t="s">
        <v>503</v>
      </c>
      <c r="E205" s="93" t="s">
        <v>508</v>
      </c>
      <c r="F205" s="106">
        <v>206322</v>
      </c>
      <c r="G205" s="8" t="s">
        <v>505</v>
      </c>
    </row>
    <row r="206" spans="1:7" ht="15" customHeight="1" x14ac:dyDescent="0.3">
      <c r="A206" s="93" t="s">
        <v>524</v>
      </c>
      <c r="B206" s="93" t="s">
        <v>96</v>
      </c>
      <c r="C206" s="93" t="s">
        <v>94</v>
      </c>
      <c r="D206" s="93" t="s">
        <v>503</v>
      </c>
      <c r="E206" s="93" t="s">
        <v>509</v>
      </c>
      <c r="F206" s="106">
        <v>229909</v>
      </c>
      <c r="G206" s="8" t="s">
        <v>505</v>
      </c>
    </row>
    <row r="207" spans="1:7" ht="15" customHeight="1" x14ac:dyDescent="0.3">
      <c r="A207" s="93" t="s">
        <v>524</v>
      </c>
      <c r="B207" s="93" t="s">
        <v>96</v>
      </c>
      <c r="C207" s="93" t="s">
        <v>94</v>
      </c>
      <c r="D207" s="93" t="s">
        <v>503</v>
      </c>
      <c r="E207" s="93" t="s">
        <v>510</v>
      </c>
      <c r="F207" s="106">
        <v>310425</v>
      </c>
      <c r="G207" s="8" t="s">
        <v>505</v>
      </c>
    </row>
    <row r="208" spans="1:7" ht="15" customHeight="1" x14ac:dyDescent="0.3">
      <c r="A208" s="93" t="s">
        <v>524</v>
      </c>
      <c r="B208" s="93" t="s">
        <v>96</v>
      </c>
      <c r="C208" s="93" t="s">
        <v>94</v>
      </c>
      <c r="D208" s="93" t="s">
        <v>503</v>
      </c>
      <c r="E208" s="93" t="s">
        <v>511</v>
      </c>
      <c r="F208" s="106">
        <v>345901</v>
      </c>
      <c r="G208" s="8" t="s">
        <v>505</v>
      </c>
    </row>
    <row r="209" spans="1:7" ht="15" customHeight="1" x14ac:dyDescent="0.3">
      <c r="A209" s="93" t="s">
        <v>524</v>
      </c>
      <c r="B209" s="93" t="s">
        <v>96</v>
      </c>
      <c r="C209" s="93" t="s">
        <v>94</v>
      </c>
      <c r="D209" s="93" t="s">
        <v>503</v>
      </c>
      <c r="E209" s="93" t="s">
        <v>512</v>
      </c>
      <c r="F209" s="106">
        <v>346526</v>
      </c>
      <c r="G209" s="8" t="s">
        <v>505</v>
      </c>
    </row>
    <row r="210" spans="1:7" ht="15" customHeight="1" x14ac:dyDescent="0.3">
      <c r="A210" s="93" t="s">
        <v>525</v>
      </c>
      <c r="B210" s="93" t="s">
        <v>93</v>
      </c>
      <c r="C210" s="93" t="s">
        <v>94</v>
      </c>
      <c r="D210" s="93" t="s">
        <v>503</v>
      </c>
      <c r="E210" s="93" t="s">
        <v>504</v>
      </c>
      <c r="F210" s="106">
        <v>119432</v>
      </c>
      <c r="G210" s="8" t="s">
        <v>505</v>
      </c>
    </row>
    <row r="211" spans="1:7" ht="15" customHeight="1" x14ac:dyDescent="0.3">
      <c r="A211" s="93" t="s">
        <v>525</v>
      </c>
      <c r="B211" s="93" t="s">
        <v>93</v>
      </c>
      <c r="C211" s="93" t="s">
        <v>94</v>
      </c>
      <c r="D211" s="93" t="s">
        <v>503</v>
      </c>
      <c r="E211" s="93" t="s">
        <v>506</v>
      </c>
      <c r="F211" s="106">
        <v>146677</v>
      </c>
      <c r="G211" s="8" t="s">
        <v>505</v>
      </c>
    </row>
    <row r="212" spans="1:7" ht="15" customHeight="1" x14ac:dyDescent="0.3">
      <c r="A212" s="93" t="s">
        <v>525</v>
      </c>
      <c r="B212" s="93" t="s">
        <v>93</v>
      </c>
      <c r="C212" s="93" t="s">
        <v>94</v>
      </c>
      <c r="D212" s="93" t="s">
        <v>503</v>
      </c>
      <c r="E212" s="93" t="s">
        <v>507</v>
      </c>
      <c r="F212" s="106">
        <v>165192</v>
      </c>
      <c r="G212" s="8" t="s">
        <v>505</v>
      </c>
    </row>
    <row r="213" spans="1:7" ht="15" customHeight="1" x14ac:dyDescent="0.3">
      <c r="A213" s="93" t="s">
        <v>525</v>
      </c>
      <c r="B213" s="93" t="s">
        <v>93</v>
      </c>
      <c r="C213" s="93" t="s">
        <v>94</v>
      </c>
      <c r="D213" s="93" t="s">
        <v>503</v>
      </c>
      <c r="E213" s="93" t="s">
        <v>508</v>
      </c>
      <c r="F213" s="106">
        <v>177677</v>
      </c>
      <c r="G213" s="8" t="s">
        <v>505</v>
      </c>
    </row>
    <row r="214" spans="1:7" ht="15" customHeight="1" x14ac:dyDescent="0.3">
      <c r="A214" s="93" t="s">
        <v>525</v>
      </c>
      <c r="B214" s="93" t="s">
        <v>93</v>
      </c>
      <c r="C214" s="93" t="s">
        <v>94</v>
      </c>
      <c r="D214" s="93" t="s">
        <v>503</v>
      </c>
      <c r="E214" s="93" t="s">
        <v>509</v>
      </c>
      <c r="F214" s="106">
        <v>197966</v>
      </c>
      <c r="G214" s="8" t="s">
        <v>505</v>
      </c>
    </row>
    <row r="215" spans="1:7" ht="15" customHeight="1" x14ac:dyDescent="0.3">
      <c r="A215" s="93" t="s">
        <v>525</v>
      </c>
      <c r="B215" s="93" t="s">
        <v>93</v>
      </c>
      <c r="C215" s="93" t="s">
        <v>94</v>
      </c>
      <c r="D215" s="93" t="s">
        <v>503</v>
      </c>
      <c r="E215" s="93" t="s">
        <v>510</v>
      </c>
      <c r="F215" s="106">
        <v>267320</v>
      </c>
      <c r="G215" s="8" t="s">
        <v>505</v>
      </c>
    </row>
    <row r="216" spans="1:7" ht="15" customHeight="1" x14ac:dyDescent="0.3">
      <c r="A216" s="93" t="s">
        <v>525</v>
      </c>
      <c r="B216" s="93" t="s">
        <v>93</v>
      </c>
      <c r="C216" s="93" t="s">
        <v>94</v>
      </c>
      <c r="D216" s="93" t="s">
        <v>503</v>
      </c>
      <c r="E216" s="93" t="s">
        <v>511</v>
      </c>
      <c r="F216" s="106">
        <v>297784</v>
      </c>
      <c r="G216" s="8" t="s">
        <v>505</v>
      </c>
    </row>
    <row r="217" spans="1:7" ht="15" customHeight="1" x14ac:dyDescent="0.3">
      <c r="A217" s="93" t="s">
        <v>525</v>
      </c>
      <c r="B217" s="93" t="s">
        <v>93</v>
      </c>
      <c r="C217" s="93" t="s">
        <v>94</v>
      </c>
      <c r="D217" s="93" t="s">
        <v>503</v>
      </c>
      <c r="E217" s="93" t="s">
        <v>512</v>
      </c>
      <c r="F217" s="106">
        <v>298320</v>
      </c>
      <c r="G217" s="8" t="s">
        <v>505</v>
      </c>
    </row>
    <row r="218" spans="1:7" ht="15" customHeight="1" x14ac:dyDescent="0.3">
      <c r="A218" s="93" t="s">
        <v>525</v>
      </c>
      <c r="B218" s="93" t="s">
        <v>96</v>
      </c>
      <c r="C218" s="93" t="s">
        <v>94</v>
      </c>
      <c r="D218" s="93" t="s">
        <v>503</v>
      </c>
      <c r="E218" s="93" t="s">
        <v>504</v>
      </c>
      <c r="F218" s="106">
        <v>158348</v>
      </c>
      <c r="G218" s="8" t="s">
        <v>505</v>
      </c>
    </row>
    <row r="219" spans="1:7" ht="15" customHeight="1" x14ac:dyDescent="0.3">
      <c r="A219" s="93" t="s">
        <v>525</v>
      </c>
      <c r="B219" s="93" t="s">
        <v>96</v>
      </c>
      <c r="C219" s="93" t="s">
        <v>94</v>
      </c>
      <c r="D219" s="93" t="s">
        <v>503</v>
      </c>
      <c r="E219" s="93" t="s">
        <v>506</v>
      </c>
      <c r="F219" s="106">
        <v>170405</v>
      </c>
      <c r="G219" s="8" t="s">
        <v>505</v>
      </c>
    </row>
    <row r="220" spans="1:7" ht="15" customHeight="1" x14ac:dyDescent="0.3">
      <c r="A220" s="93" t="s">
        <v>525</v>
      </c>
      <c r="B220" s="93" t="s">
        <v>96</v>
      </c>
      <c r="C220" s="93" t="s">
        <v>94</v>
      </c>
      <c r="D220" s="93" t="s">
        <v>503</v>
      </c>
      <c r="E220" s="93" t="s">
        <v>507</v>
      </c>
      <c r="F220" s="106">
        <v>176745</v>
      </c>
      <c r="G220" s="8" t="s">
        <v>505</v>
      </c>
    </row>
    <row r="221" spans="1:7" ht="15" customHeight="1" x14ac:dyDescent="0.3">
      <c r="A221" s="93" t="s">
        <v>525</v>
      </c>
      <c r="B221" s="93" t="s">
        <v>96</v>
      </c>
      <c r="C221" s="93" t="s">
        <v>94</v>
      </c>
      <c r="D221" s="93" t="s">
        <v>503</v>
      </c>
      <c r="E221" s="93" t="s">
        <v>508</v>
      </c>
      <c r="F221" s="106">
        <v>206322</v>
      </c>
      <c r="G221" s="8" t="s">
        <v>505</v>
      </c>
    </row>
    <row r="222" spans="1:7" ht="15" customHeight="1" x14ac:dyDescent="0.3">
      <c r="A222" s="93" t="s">
        <v>525</v>
      </c>
      <c r="B222" s="93" t="s">
        <v>96</v>
      </c>
      <c r="C222" s="93" t="s">
        <v>94</v>
      </c>
      <c r="D222" s="93" t="s">
        <v>503</v>
      </c>
      <c r="E222" s="93" t="s">
        <v>509</v>
      </c>
      <c r="F222" s="106">
        <v>229909</v>
      </c>
      <c r="G222" s="8" t="s">
        <v>505</v>
      </c>
    </row>
    <row r="223" spans="1:7" ht="15" customHeight="1" x14ac:dyDescent="0.3">
      <c r="A223" s="93" t="s">
        <v>525</v>
      </c>
      <c r="B223" s="93" t="s">
        <v>96</v>
      </c>
      <c r="C223" s="93" t="s">
        <v>94</v>
      </c>
      <c r="D223" s="93" t="s">
        <v>503</v>
      </c>
      <c r="E223" s="93" t="s">
        <v>510</v>
      </c>
      <c r="F223" s="106">
        <v>310425</v>
      </c>
      <c r="G223" s="8" t="s">
        <v>505</v>
      </c>
    </row>
    <row r="224" spans="1:7" ht="15" customHeight="1" x14ac:dyDescent="0.3">
      <c r="A224" s="93" t="s">
        <v>525</v>
      </c>
      <c r="B224" s="93" t="s">
        <v>96</v>
      </c>
      <c r="C224" s="93" t="s">
        <v>94</v>
      </c>
      <c r="D224" s="93" t="s">
        <v>503</v>
      </c>
      <c r="E224" s="93" t="s">
        <v>511</v>
      </c>
      <c r="F224" s="106">
        <v>345901</v>
      </c>
      <c r="G224" s="8" t="s">
        <v>505</v>
      </c>
    </row>
    <row r="225" spans="1:7" ht="15" customHeight="1" x14ac:dyDescent="0.3">
      <c r="A225" s="93" t="s">
        <v>525</v>
      </c>
      <c r="B225" s="93" t="s">
        <v>96</v>
      </c>
      <c r="C225" s="93" t="s">
        <v>94</v>
      </c>
      <c r="D225" s="93" t="s">
        <v>503</v>
      </c>
      <c r="E225" s="93" t="s">
        <v>512</v>
      </c>
      <c r="F225" s="106">
        <v>346526</v>
      </c>
      <c r="G225" s="8" t="s">
        <v>505</v>
      </c>
    </row>
    <row r="226" spans="1:7" ht="15" customHeight="1" x14ac:dyDescent="0.3">
      <c r="A226" s="93" t="s">
        <v>526</v>
      </c>
      <c r="B226" s="93" t="s">
        <v>93</v>
      </c>
      <c r="C226" s="93" t="s">
        <v>94</v>
      </c>
      <c r="D226" s="93" t="s">
        <v>503</v>
      </c>
      <c r="E226" s="93" t="s">
        <v>504</v>
      </c>
      <c r="F226" s="106">
        <v>119432</v>
      </c>
      <c r="G226" s="8" t="s">
        <v>505</v>
      </c>
    </row>
    <row r="227" spans="1:7" ht="15" customHeight="1" x14ac:dyDescent="0.3">
      <c r="A227" s="93" t="s">
        <v>526</v>
      </c>
      <c r="B227" s="93" t="s">
        <v>93</v>
      </c>
      <c r="C227" s="93" t="s">
        <v>94</v>
      </c>
      <c r="D227" s="93" t="s">
        <v>503</v>
      </c>
      <c r="E227" s="93" t="s">
        <v>506</v>
      </c>
      <c r="F227" s="106">
        <v>146677</v>
      </c>
      <c r="G227" s="8" t="s">
        <v>505</v>
      </c>
    </row>
    <row r="228" spans="1:7" ht="15" customHeight="1" x14ac:dyDescent="0.3">
      <c r="A228" s="93" t="s">
        <v>526</v>
      </c>
      <c r="B228" s="93" t="s">
        <v>93</v>
      </c>
      <c r="C228" s="93" t="s">
        <v>94</v>
      </c>
      <c r="D228" s="93" t="s">
        <v>503</v>
      </c>
      <c r="E228" s="93" t="s">
        <v>507</v>
      </c>
      <c r="F228" s="106">
        <v>165192</v>
      </c>
      <c r="G228" s="8" t="s">
        <v>505</v>
      </c>
    </row>
    <row r="229" spans="1:7" ht="15" customHeight="1" x14ac:dyDescent="0.3">
      <c r="A229" s="93" t="s">
        <v>526</v>
      </c>
      <c r="B229" s="93" t="s">
        <v>93</v>
      </c>
      <c r="C229" s="93" t="s">
        <v>94</v>
      </c>
      <c r="D229" s="93" t="s">
        <v>503</v>
      </c>
      <c r="E229" s="93" t="s">
        <v>508</v>
      </c>
      <c r="F229" s="106">
        <v>177677</v>
      </c>
      <c r="G229" s="8" t="s">
        <v>505</v>
      </c>
    </row>
    <row r="230" spans="1:7" ht="15" customHeight="1" x14ac:dyDescent="0.3">
      <c r="A230" s="93" t="s">
        <v>526</v>
      </c>
      <c r="B230" s="93" t="s">
        <v>93</v>
      </c>
      <c r="C230" s="93" t="s">
        <v>94</v>
      </c>
      <c r="D230" s="93" t="s">
        <v>503</v>
      </c>
      <c r="E230" s="93" t="s">
        <v>509</v>
      </c>
      <c r="F230" s="106">
        <v>197966</v>
      </c>
      <c r="G230" s="8" t="s">
        <v>505</v>
      </c>
    </row>
    <row r="231" spans="1:7" ht="15" customHeight="1" x14ac:dyDescent="0.3">
      <c r="A231" s="93" t="s">
        <v>526</v>
      </c>
      <c r="B231" s="93" t="s">
        <v>93</v>
      </c>
      <c r="C231" s="93" t="s">
        <v>94</v>
      </c>
      <c r="D231" s="93" t="s">
        <v>503</v>
      </c>
      <c r="E231" s="93" t="s">
        <v>510</v>
      </c>
      <c r="F231" s="106">
        <v>267320</v>
      </c>
      <c r="G231" s="8" t="s">
        <v>505</v>
      </c>
    </row>
    <row r="232" spans="1:7" ht="15" customHeight="1" x14ac:dyDescent="0.3">
      <c r="A232" s="93" t="s">
        <v>526</v>
      </c>
      <c r="B232" s="93" t="s">
        <v>93</v>
      </c>
      <c r="C232" s="93" t="s">
        <v>94</v>
      </c>
      <c r="D232" s="93" t="s">
        <v>503</v>
      </c>
      <c r="E232" s="93" t="s">
        <v>511</v>
      </c>
      <c r="F232" s="106">
        <v>297784</v>
      </c>
      <c r="G232" s="8" t="s">
        <v>505</v>
      </c>
    </row>
    <row r="233" spans="1:7" ht="15" customHeight="1" x14ac:dyDescent="0.3">
      <c r="A233" s="93" t="s">
        <v>526</v>
      </c>
      <c r="B233" s="93" t="s">
        <v>93</v>
      </c>
      <c r="C233" s="93" t="s">
        <v>94</v>
      </c>
      <c r="D233" s="93" t="s">
        <v>503</v>
      </c>
      <c r="E233" s="93" t="s">
        <v>512</v>
      </c>
      <c r="F233" s="106">
        <v>298320</v>
      </c>
      <c r="G233" s="8" t="s">
        <v>505</v>
      </c>
    </row>
    <row r="234" spans="1:7" ht="15" customHeight="1" x14ac:dyDescent="0.3">
      <c r="A234" s="93" t="s">
        <v>526</v>
      </c>
      <c r="B234" s="93" t="s">
        <v>96</v>
      </c>
      <c r="C234" s="93" t="s">
        <v>94</v>
      </c>
      <c r="D234" s="93" t="s">
        <v>503</v>
      </c>
      <c r="E234" s="93" t="s">
        <v>504</v>
      </c>
      <c r="F234" s="106">
        <v>158348</v>
      </c>
      <c r="G234" s="8" t="s">
        <v>505</v>
      </c>
    </row>
    <row r="235" spans="1:7" ht="15" customHeight="1" x14ac:dyDescent="0.3">
      <c r="A235" s="93" t="s">
        <v>526</v>
      </c>
      <c r="B235" s="93" t="s">
        <v>96</v>
      </c>
      <c r="C235" s="93" t="s">
        <v>94</v>
      </c>
      <c r="D235" s="93" t="s">
        <v>503</v>
      </c>
      <c r="E235" s="93" t="s">
        <v>506</v>
      </c>
      <c r="F235" s="106">
        <v>170405</v>
      </c>
      <c r="G235" s="8" t="s">
        <v>505</v>
      </c>
    </row>
    <row r="236" spans="1:7" ht="15" customHeight="1" x14ac:dyDescent="0.3">
      <c r="A236" s="93" t="s">
        <v>526</v>
      </c>
      <c r="B236" s="93" t="s">
        <v>96</v>
      </c>
      <c r="C236" s="93" t="s">
        <v>94</v>
      </c>
      <c r="D236" s="93" t="s">
        <v>503</v>
      </c>
      <c r="E236" s="93" t="s">
        <v>507</v>
      </c>
      <c r="F236" s="106">
        <v>176745</v>
      </c>
      <c r="G236" s="8" t="s">
        <v>505</v>
      </c>
    </row>
    <row r="237" spans="1:7" ht="15" customHeight="1" x14ac:dyDescent="0.3">
      <c r="A237" s="93" t="s">
        <v>526</v>
      </c>
      <c r="B237" s="93" t="s">
        <v>96</v>
      </c>
      <c r="C237" s="93" t="s">
        <v>94</v>
      </c>
      <c r="D237" s="93" t="s">
        <v>503</v>
      </c>
      <c r="E237" s="93" t="s">
        <v>508</v>
      </c>
      <c r="F237" s="106">
        <v>206322</v>
      </c>
      <c r="G237" s="8" t="s">
        <v>505</v>
      </c>
    </row>
    <row r="238" spans="1:7" ht="15" customHeight="1" x14ac:dyDescent="0.3">
      <c r="A238" s="93" t="s">
        <v>526</v>
      </c>
      <c r="B238" s="93" t="s">
        <v>96</v>
      </c>
      <c r="C238" s="93" t="s">
        <v>94</v>
      </c>
      <c r="D238" s="93" t="s">
        <v>503</v>
      </c>
      <c r="E238" s="93" t="s">
        <v>509</v>
      </c>
      <c r="F238" s="106">
        <v>229909</v>
      </c>
      <c r="G238" s="8" t="s">
        <v>505</v>
      </c>
    </row>
    <row r="239" spans="1:7" ht="15" customHeight="1" x14ac:dyDescent="0.3">
      <c r="A239" s="93" t="s">
        <v>526</v>
      </c>
      <c r="B239" s="93" t="s">
        <v>96</v>
      </c>
      <c r="C239" s="93" t="s">
        <v>94</v>
      </c>
      <c r="D239" s="93" t="s">
        <v>503</v>
      </c>
      <c r="E239" s="93" t="s">
        <v>510</v>
      </c>
      <c r="F239" s="106">
        <v>310425</v>
      </c>
      <c r="G239" s="8" t="s">
        <v>505</v>
      </c>
    </row>
    <row r="240" spans="1:7" ht="15" customHeight="1" x14ac:dyDescent="0.3">
      <c r="A240" s="93" t="s">
        <v>526</v>
      </c>
      <c r="B240" s="93" t="s">
        <v>96</v>
      </c>
      <c r="C240" s="93" t="s">
        <v>94</v>
      </c>
      <c r="D240" s="93" t="s">
        <v>503</v>
      </c>
      <c r="E240" s="93" t="s">
        <v>511</v>
      </c>
      <c r="F240" s="106">
        <v>345901</v>
      </c>
      <c r="G240" s="8" t="s">
        <v>505</v>
      </c>
    </row>
    <row r="241" spans="1:7" ht="15" customHeight="1" x14ac:dyDescent="0.3">
      <c r="A241" s="93" t="s">
        <v>526</v>
      </c>
      <c r="B241" s="93" t="s">
        <v>96</v>
      </c>
      <c r="C241" s="93" t="s">
        <v>94</v>
      </c>
      <c r="D241" s="93" t="s">
        <v>503</v>
      </c>
      <c r="E241" s="93" t="s">
        <v>512</v>
      </c>
      <c r="F241" s="106">
        <v>346526</v>
      </c>
      <c r="G241" s="8" t="s">
        <v>505</v>
      </c>
    </row>
    <row r="242" spans="1:7" ht="15" customHeight="1" x14ac:dyDescent="0.3">
      <c r="A242" s="93" t="s">
        <v>527</v>
      </c>
      <c r="B242" s="93" t="s">
        <v>93</v>
      </c>
      <c r="C242" s="93" t="s">
        <v>94</v>
      </c>
      <c r="D242" s="93" t="s">
        <v>503</v>
      </c>
      <c r="E242" s="93" t="s">
        <v>504</v>
      </c>
      <c r="F242" s="106">
        <v>119432</v>
      </c>
      <c r="G242" s="8" t="s">
        <v>505</v>
      </c>
    </row>
    <row r="243" spans="1:7" ht="15" customHeight="1" x14ac:dyDescent="0.3">
      <c r="A243" s="93" t="s">
        <v>527</v>
      </c>
      <c r="B243" s="93" t="s">
        <v>93</v>
      </c>
      <c r="C243" s="93" t="s">
        <v>94</v>
      </c>
      <c r="D243" s="93" t="s">
        <v>503</v>
      </c>
      <c r="E243" s="93" t="s">
        <v>506</v>
      </c>
      <c r="F243" s="106">
        <v>146677</v>
      </c>
      <c r="G243" s="8" t="s">
        <v>505</v>
      </c>
    </row>
    <row r="244" spans="1:7" ht="15" customHeight="1" x14ac:dyDescent="0.3">
      <c r="A244" s="93" t="s">
        <v>527</v>
      </c>
      <c r="B244" s="93" t="s">
        <v>93</v>
      </c>
      <c r="C244" s="93" t="s">
        <v>94</v>
      </c>
      <c r="D244" s="93" t="s">
        <v>503</v>
      </c>
      <c r="E244" s="93" t="s">
        <v>507</v>
      </c>
      <c r="F244" s="106">
        <v>165192</v>
      </c>
      <c r="G244" s="8" t="s">
        <v>505</v>
      </c>
    </row>
    <row r="245" spans="1:7" ht="15" customHeight="1" x14ac:dyDescent="0.3">
      <c r="A245" s="93" t="s">
        <v>527</v>
      </c>
      <c r="B245" s="93" t="s">
        <v>93</v>
      </c>
      <c r="C245" s="93" t="s">
        <v>94</v>
      </c>
      <c r="D245" s="93" t="s">
        <v>503</v>
      </c>
      <c r="E245" s="93" t="s">
        <v>508</v>
      </c>
      <c r="F245" s="106">
        <v>177677</v>
      </c>
      <c r="G245" s="8" t="s">
        <v>505</v>
      </c>
    </row>
    <row r="246" spans="1:7" ht="15" customHeight="1" x14ac:dyDescent="0.3">
      <c r="A246" s="93" t="s">
        <v>527</v>
      </c>
      <c r="B246" s="93" t="s">
        <v>93</v>
      </c>
      <c r="C246" s="93" t="s">
        <v>94</v>
      </c>
      <c r="D246" s="93" t="s">
        <v>503</v>
      </c>
      <c r="E246" s="93" t="s">
        <v>509</v>
      </c>
      <c r="F246" s="106">
        <v>197966</v>
      </c>
      <c r="G246" s="8" t="s">
        <v>505</v>
      </c>
    </row>
    <row r="247" spans="1:7" ht="15" customHeight="1" x14ac:dyDescent="0.3">
      <c r="A247" s="93" t="s">
        <v>527</v>
      </c>
      <c r="B247" s="93" t="s">
        <v>93</v>
      </c>
      <c r="C247" s="93" t="s">
        <v>94</v>
      </c>
      <c r="D247" s="93" t="s">
        <v>503</v>
      </c>
      <c r="E247" s="93" t="s">
        <v>510</v>
      </c>
      <c r="F247" s="106">
        <v>267320</v>
      </c>
      <c r="G247" s="8" t="s">
        <v>505</v>
      </c>
    </row>
    <row r="248" spans="1:7" ht="15" customHeight="1" x14ac:dyDescent="0.3">
      <c r="A248" s="93" t="s">
        <v>527</v>
      </c>
      <c r="B248" s="93" t="s">
        <v>93</v>
      </c>
      <c r="C248" s="93" t="s">
        <v>94</v>
      </c>
      <c r="D248" s="93" t="s">
        <v>503</v>
      </c>
      <c r="E248" s="93" t="s">
        <v>511</v>
      </c>
      <c r="F248" s="106">
        <v>297784</v>
      </c>
      <c r="G248" s="8" t="s">
        <v>505</v>
      </c>
    </row>
    <row r="249" spans="1:7" ht="15" customHeight="1" x14ac:dyDescent="0.3">
      <c r="A249" s="93" t="s">
        <v>527</v>
      </c>
      <c r="B249" s="93" t="s">
        <v>93</v>
      </c>
      <c r="C249" s="93" t="s">
        <v>94</v>
      </c>
      <c r="D249" s="93" t="s">
        <v>503</v>
      </c>
      <c r="E249" s="93" t="s">
        <v>512</v>
      </c>
      <c r="F249" s="106">
        <v>298320</v>
      </c>
      <c r="G249" s="8" t="s">
        <v>505</v>
      </c>
    </row>
    <row r="250" spans="1:7" ht="15" customHeight="1" x14ac:dyDescent="0.3">
      <c r="A250" s="93" t="s">
        <v>527</v>
      </c>
      <c r="B250" s="93" t="s">
        <v>96</v>
      </c>
      <c r="C250" s="93" t="s">
        <v>94</v>
      </c>
      <c r="D250" s="93" t="s">
        <v>503</v>
      </c>
      <c r="E250" s="93" t="s">
        <v>504</v>
      </c>
      <c r="F250" s="106">
        <v>158348</v>
      </c>
      <c r="G250" s="8" t="s">
        <v>505</v>
      </c>
    </row>
    <row r="251" spans="1:7" ht="15" customHeight="1" x14ac:dyDescent="0.3">
      <c r="A251" s="93" t="s">
        <v>527</v>
      </c>
      <c r="B251" s="93" t="s">
        <v>96</v>
      </c>
      <c r="C251" s="93" t="s">
        <v>94</v>
      </c>
      <c r="D251" s="93" t="s">
        <v>503</v>
      </c>
      <c r="E251" s="93" t="s">
        <v>506</v>
      </c>
      <c r="F251" s="106">
        <v>170405</v>
      </c>
      <c r="G251" s="8" t="s">
        <v>505</v>
      </c>
    </row>
    <row r="252" spans="1:7" ht="15" customHeight="1" x14ac:dyDescent="0.3">
      <c r="A252" s="93" t="s">
        <v>527</v>
      </c>
      <c r="B252" s="93" t="s">
        <v>96</v>
      </c>
      <c r="C252" s="93" t="s">
        <v>94</v>
      </c>
      <c r="D252" s="93" t="s">
        <v>503</v>
      </c>
      <c r="E252" s="93" t="s">
        <v>507</v>
      </c>
      <c r="F252" s="106">
        <v>176745</v>
      </c>
      <c r="G252" s="8" t="s">
        <v>505</v>
      </c>
    </row>
    <row r="253" spans="1:7" ht="15" customHeight="1" x14ac:dyDescent="0.3">
      <c r="A253" s="93" t="s">
        <v>527</v>
      </c>
      <c r="B253" s="93" t="s">
        <v>96</v>
      </c>
      <c r="C253" s="93" t="s">
        <v>94</v>
      </c>
      <c r="D253" s="93" t="s">
        <v>503</v>
      </c>
      <c r="E253" s="93" t="s">
        <v>508</v>
      </c>
      <c r="F253" s="106">
        <v>206322</v>
      </c>
      <c r="G253" s="8" t="s">
        <v>505</v>
      </c>
    </row>
    <row r="254" spans="1:7" ht="15" customHeight="1" x14ac:dyDescent="0.3">
      <c r="A254" s="93" t="s">
        <v>527</v>
      </c>
      <c r="B254" s="93" t="s">
        <v>96</v>
      </c>
      <c r="C254" s="93" t="s">
        <v>94</v>
      </c>
      <c r="D254" s="93" t="s">
        <v>503</v>
      </c>
      <c r="E254" s="93" t="s">
        <v>509</v>
      </c>
      <c r="F254" s="106">
        <v>229909</v>
      </c>
      <c r="G254" s="8" t="s">
        <v>505</v>
      </c>
    </row>
    <row r="255" spans="1:7" ht="15" customHeight="1" x14ac:dyDescent="0.3">
      <c r="A255" s="93" t="s">
        <v>527</v>
      </c>
      <c r="B255" s="93" t="s">
        <v>96</v>
      </c>
      <c r="C255" s="93" t="s">
        <v>94</v>
      </c>
      <c r="D255" s="93" t="s">
        <v>503</v>
      </c>
      <c r="E255" s="93" t="s">
        <v>510</v>
      </c>
      <c r="F255" s="106">
        <v>310425</v>
      </c>
      <c r="G255" s="8" t="s">
        <v>505</v>
      </c>
    </row>
    <row r="256" spans="1:7" ht="15" customHeight="1" x14ac:dyDescent="0.3">
      <c r="A256" s="93" t="s">
        <v>527</v>
      </c>
      <c r="B256" s="93" t="s">
        <v>96</v>
      </c>
      <c r="C256" s="93" t="s">
        <v>94</v>
      </c>
      <c r="D256" s="93" t="s">
        <v>503</v>
      </c>
      <c r="E256" s="93" t="s">
        <v>511</v>
      </c>
      <c r="F256" s="106">
        <v>345901</v>
      </c>
      <c r="G256" s="8" t="s">
        <v>505</v>
      </c>
    </row>
    <row r="257" spans="1:7" ht="15" customHeight="1" x14ac:dyDescent="0.3">
      <c r="A257" s="93" t="s">
        <v>527</v>
      </c>
      <c r="B257" s="93" t="s">
        <v>96</v>
      </c>
      <c r="C257" s="93" t="s">
        <v>94</v>
      </c>
      <c r="D257" s="93" t="s">
        <v>503</v>
      </c>
      <c r="E257" s="93" t="s">
        <v>512</v>
      </c>
      <c r="F257" s="106">
        <v>346526</v>
      </c>
      <c r="G257" s="8" t="s">
        <v>505</v>
      </c>
    </row>
    <row r="258" spans="1:7" ht="15" customHeight="1" x14ac:dyDescent="0.3">
      <c r="A258" s="93" t="s">
        <v>528</v>
      </c>
      <c r="B258" s="93" t="s">
        <v>93</v>
      </c>
      <c r="C258" s="93" t="s">
        <v>94</v>
      </c>
      <c r="D258" s="93" t="s">
        <v>503</v>
      </c>
      <c r="E258" s="93" t="s">
        <v>504</v>
      </c>
      <c r="F258" s="106">
        <v>119432</v>
      </c>
      <c r="G258" s="8" t="s">
        <v>505</v>
      </c>
    </row>
    <row r="259" spans="1:7" ht="15" customHeight="1" x14ac:dyDescent="0.3">
      <c r="A259" s="93" t="s">
        <v>528</v>
      </c>
      <c r="B259" s="93" t="s">
        <v>93</v>
      </c>
      <c r="C259" s="93" t="s">
        <v>94</v>
      </c>
      <c r="D259" s="93" t="s">
        <v>503</v>
      </c>
      <c r="E259" s="93" t="s">
        <v>506</v>
      </c>
      <c r="F259" s="106">
        <v>146677</v>
      </c>
      <c r="G259" s="8" t="s">
        <v>505</v>
      </c>
    </row>
    <row r="260" spans="1:7" ht="15" customHeight="1" x14ac:dyDescent="0.3">
      <c r="A260" s="93" t="s">
        <v>528</v>
      </c>
      <c r="B260" s="93" t="s">
        <v>93</v>
      </c>
      <c r="C260" s="93" t="s">
        <v>94</v>
      </c>
      <c r="D260" s="93" t="s">
        <v>503</v>
      </c>
      <c r="E260" s="93" t="s">
        <v>507</v>
      </c>
      <c r="F260" s="106">
        <v>165192</v>
      </c>
      <c r="G260" s="8" t="s">
        <v>505</v>
      </c>
    </row>
    <row r="261" spans="1:7" ht="15" customHeight="1" x14ac:dyDescent="0.3">
      <c r="A261" s="93" t="s">
        <v>528</v>
      </c>
      <c r="B261" s="93" t="s">
        <v>93</v>
      </c>
      <c r="C261" s="93" t="s">
        <v>94</v>
      </c>
      <c r="D261" s="93" t="s">
        <v>503</v>
      </c>
      <c r="E261" s="93" t="s">
        <v>508</v>
      </c>
      <c r="F261" s="106">
        <v>177677</v>
      </c>
      <c r="G261" s="8" t="s">
        <v>505</v>
      </c>
    </row>
    <row r="262" spans="1:7" ht="15" customHeight="1" x14ac:dyDescent="0.3">
      <c r="A262" s="93" t="s">
        <v>528</v>
      </c>
      <c r="B262" s="93" t="s">
        <v>93</v>
      </c>
      <c r="C262" s="93" t="s">
        <v>94</v>
      </c>
      <c r="D262" s="93" t="s">
        <v>503</v>
      </c>
      <c r="E262" s="93" t="s">
        <v>509</v>
      </c>
      <c r="F262" s="106">
        <v>197966</v>
      </c>
      <c r="G262" s="8" t="s">
        <v>505</v>
      </c>
    </row>
    <row r="263" spans="1:7" ht="15" customHeight="1" x14ac:dyDescent="0.3">
      <c r="A263" s="93" t="s">
        <v>528</v>
      </c>
      <c r="B263" s="93" t="s">
        <v>93</v>
      </c>
      <c r="C263" s="93" t="s">
        <v>94</v>
      </c>
      <c r="D263" s="93" t="s">
        <v>503</v>
      </c>
      <c r="E263" s="93" t="s">
        <v>510</v>
      </c>
      <c r="F263" s="106">
        <v>267320</v>
      </c>
      <c r="G263" s="8" t="s">
        <v>505</v>
      </c>
    </row>
    <row r="264" spans="1:7" ht="15" customHeight="1" x14ac:dyDescent="0.3">
      <c r="A264" s="93" t="s">
        <v>528</v>
      </c>
      <c r="B264" s="93" t="s">
        <v>93</v>
      </c>
      <c r="C264" s="93" t="s">
        <v>94</v>
      </c>
      <c r="D264" s="93" t="s">
        <v>503</v>
      </c>
      <c r="E264" s="93" t="s">
        <v>511</v>
      </c>
      <c r="F264" s="106">
        <v>297784</v>
      </c>
      <c r="G264" s="8" t="s">
        <v>505</v>
      </c>
    </row>
    <row r="265" spans="1:7" ht="15" customHeight="1" x14ac:dyDescent="0.3">
      <c r="A265" s="93" t="s">
        <v>528</v>
      </c>
      <c r="B265" s="93" t="s">
        <v>93</v>
      </c>
      <c r="C265" s="93" t="s">
        <v>94</v>
      </c>
      <c r="D265" s="93" t="s">
        <v>503</v>
      </c>
      <c r="E265" s="93" t="s">
        <v>512</v>
      </c>
      <c r="F265" s="106">
        <v>298320</v>
      </c>
      <c r="G265" s="8" t="s">
        <v>505</v>
      </c>
    </row>
    <row r="266" spans="1:7" ht="15" customHeight="1" x14ac:dyDescent="0.3">
      <c r="A266" s="93" t="s">
        <v>528</v>
      </c>
      <c r="B266" s="93" t="s">
        <v>96</v>
      </c>
      <c r="C266" s="93" t="s">
        <v>94</v>
      </c>
      <c r="D266" s="93" t="s">
        <v>503</v>
      </c>
      <c r="E266" s="93" t="s">
        <v>504</v>
      </c>
      <c r="F266" s="106">
        <v>158348</v>
      </c>
      <c r="G266" s="8" t="s">
        <v>505</v>
      </c>
    </row>
    <row r="267" spans="1:7" ht="15" customHeight="1" x14ac:dyDescent="0.3">
      <c r="A267" s="93" t="s">
        <v>528</v>
      </c>
      <c r="B267" s="93" t="s">
        <v>96</v>
      </c>
      <c r="C267" s="93" t="s">
        <v>94</v>
      </c>
      <c r="D267" s="93" t="s">
        <v>503</v>
      </c>
      <c r="E267" s="93" t="s">
        <v>506</v>
      </c>
      <c r="F267" s="106">
        <v>170405</v>
      </c>
      <c r="G267" s="8" t="s">
        <v>505</v>
      </c>
    </row>
    <row r="268" spans="1:7" ht="15" customHeight="1" x14ac:dyDescent="0.3">
      <c r="A268" s="93" t="s">
        <v>528</v>
      </c>
      <c r="B268" s="93" t="s">
        <v>96</v>
      </c>
      <c r="C268" s="93" t="s">
        <v>94</v>
      </c>
      <c r="D268" s="93" t="s">
        <v>503</v>
      </c>
      <c r="E268" s="93" t="s">
        <v>507</v>
      </c>
      <c r="F268" s="106">
        <v>176745</v>
      </c>
      <c r="G268" s="8" t="s">
        <v>505</v>
      </c>
    </row>
    <row r="269" spans="1:7" ht="15" customHeight="1" x14ac:dyDescent="0.3">
      <c r="A269" s="93" t="s">
        <v>528</v>
      </c>
      <c r="B269" s="93" t="s">
        <v>96</v>
      </c>
      <c r="C269" s="93" t="s">
        <v>94</v>
      </c>
      <c r="D269" s="93" t="s">
        <v>503</v>
      </c>
      <c r="E269" s="93" t="s">
        <v>508</v>
      </c>
      <c r="F269" s="106">
        <v>206322</v>
      </c>
      <c r="G269" s="8" t="s">
        <v>505</v>
      </c>
    </row>
    <row r="270" spans="1:7" ht="15" customHeight="1" x14ac:dyDescent="0.3">
      <c r="A270" s="93" t="s">
        <v>528</v>
      </c>
      <c r="B270" s="93" t="s">
        <v>96</v>
      </c>
      <c r="C270" s="93" t="s">
        <v>94</v>
      </c>
      <c r="D270" s="93" t="s">
        <v>503</v>
      </c>
      <c r="E270" s="93" t="s">
        <v>509</v>
      </c>
      <c r="F270" s="106">
        <v>229909</v>
      </c>
      <c r="G270" s="8" t="s">
        <v>505</v>
      </c>
    </row>
    <row r="271" spans="1:7" ht="15" customHeight="1" x14ac:dyDescent="0.3">
      <c r="A271" s="93" t="s">
        <v>528</v>
      </c>
      <c r="B271" s="93" t="s">
        <v>96</v>
      </c>
      <c r="C271" s="93" t="s">
        <v>94</v>
      </c>
      <c r="D271" s="93" t="s">
        <v>503</v>
      </c>
      <c r="E271" s="93" t="s">
        <v>510</v>
      </c>
      <c r="F271" s="106">
        <v>310425</v>
      </c>
      <c r="G271" s="8" t="s">
        <v>505</v>
      </c>
    </row>
    <row r="272" spans="1:7" ht="15" customHeight="1" x14ac:dyDescent="0.3">
      <c r="A272" s="93" t="s">
        <v>528</v>
      </c>
      <c r="B272" s="93" t="s">
        <v>96</v>
      </c>
      <c r="C272" s="93" t="s">
        <v>94</v>
      </c>
      <c r="D272" s="93" t="s">
        <v>503</v>
      </c>
      <c r="E272" s="93" t="s">
        <v>511</v>
      </c>
      <c r="F272" s="106">
        <v>345901</v>
      </c>
      <c r="G272" s="8" t="s">
        <v>505</v>
      </c>
    </row>
    <row r="273" spans="1:7" ht="15" customHeight="1" x14ac:dyDescent="0.3">
      <c r="A273" s="93" t="s">
        <v>528</v>
      </c>
      <c r="B273" s="93" t="s">
        <v>96</v>
      </c>
      <c r="C273" s="93" t="s">
        <v>94</v>
      </c>
      <c r="D273" s="93" t="s">
        <v>503</v>
      </c>
      <c r="E273" s="93" t="s">
        <v>512</v>
      </c>
      <c r="F273" s="106">
        <v>346526</v>
      </c>
      <c r="G273" s="8" t="s">
        <v>505</v>
      </c>
    </row>
    <row r="274" spans="1:7" ht="15" customHeight="1" x14ac:dyDescent="0.3">
      <c r="A274" s="93" t="s">
        <v>529</v>
      </c>
      <c r="B274" s="93" t="s">
        <v>93</v>
      </c>
      <c r="C274" s="93" t="s">
        <v>94</v>
      </c>
      <c r="D274" s="93" t="s">
        <v>503</v>
      </c>
      <c r="E274" s="93" t="s">
        <v>504</v>
      </c>
      <c r="F274" s="106">
        <v>119432</v>
      </c>
      <c r="G274" s="8" t="s">
        <v>505</v>
      </c>
    </row>
    <row r="275" spans="1:7" ht="15" customHeight="1" x14ac:dyDescent="0.3">
      <c r="A275" s="93" t="s">
        <v>529</v>
      </c>
      <c r="B275" s="93" t="s">
        <v>93</v>
      </c>
      <c r="C275" s="93" t="s">
        <v>94</v>
      </c>
      <c r="D275" s="93" t="s">
        <v>503</v>
      </c>
      <c r="E275" s="93" t="s">
        <v>506</v>
      </c>
      <c r="F275" s="106">
        <v>146677</v>
      </c>
      <c r="G275" s="8" t="s">
        <v>505</v>
      </c>
    </row>
    <row r="276" spans="1:7" ht="15" customHeight="1" x14ac:dyDescent="0.3">
      <c r="A276" s="93" t="s">
        <v>529</v>
      </c>
      <c r="B276" s="93" t="s">
        <v>93</v>
      </c>
      <c r="C276" s="93" t="s">
        <v>94</v>
      </c>
      <c r="D276" s="93" t="s">
        <v>503</v>
      </c>
      <c r="E276" s="93" t="s">
        <v>507</v>
      </c>
      <c r="F276" s="106">
        <v>165192</v>
      </c>
      <c r="G276" s="8" t="s">
        <v>505</v>
      </c>
    </row>
    <row r="277" spans="1:7" ht="15" customHeight="1" x14ac:dyDescent="0.3">
      <c r="A277" s="93" t="s">
        <v>529</v>
      </c>
      <c r="B277" s="93" t="s">
        <v>93</v>
      </c>
      <c r="C277" s="93" t="s">
        <v>94</v>
      </c>
      <c r="D277" s="93" t="s">
        <v>503</v>
      </c>
      <c r="E277" s="93" t="s">
        <v>508</v>
      </c>
      <c r="F277" s="106">
        <v>177677</v>
      </c>
      <c r="G277" s="8" t="s">
        <v>505</v>
      </c>
    </row>
    <row r="278" spans="1:7" ht="15" customHeight="1" x14ac:dyDescent="0.3">
      <c r="A278" s="93" t="s">
        <v>529</v>
      </c>
      <c r="B278" s="93" t="s">
        <v>93</v>
      </c>
      <c r="C278" s="93" t="s">
        <v>94</v>
      </c>
      <c r="D278" s="93" t="s">
        <v>503</v>
      </c>
      <c r="E278" s="93" t="s">
        <v>509</v>
      </c>
      <c r="F278" s="106">
        <v>197966</v>
      </c>
      <c r="G278" s="8" t="s">
        <v>505</v>
      </c>
    </row>
    <row r="279" spans="1:7" ht="15" customHeight="1" x14ac:dyDescent="0.3">
      <c r="A279" s="93" t="s">
        <v>529</v>
      </c>
      <c r="B279" s="93" t="s">
        <v>93</v>
      </c>
      <c r="C279" s="93" t="s">
        <v>94</v>
      </c>
      <c r="D279" s="93" t="s">
        <v>503</v>
      </c>
      <c r="E279" s="93" t="s">
        <v>510</v>
      </c>
      <c r="F279" s="106">
        <v>267320</v>
      </c>
      <c r="G279" s="8" t="s">
        <v>505</v>
      </c>
    </row>
    <row r="280" spans="1:7" ht="15" customHeight="1" x14ac:dyDescent="0.3">
      <c r="A280" s="93" t="s">
        <v>529</v>
      </c>
      <c r="B280" s="93" t="s">
        <v>93</v>
      </c>
      <c r="C280" s="93" t="s">
        <v>94</v>
      </c>
      <c r="D280" s="93" t="s">
        <v>503</v>
      </c>
      <c r="E280" s="93" t="s">
        <v>511</v>
      </c>
      <c r="F280" s="106">
        <v>297784</v>
      </c>
      <c r="G280" s="8" t="s">
        <v>505</v>
      </c>
    </row>
    <row r="281" spans="1:7" ht="15" customHeight="1" x14ac:dyDescent="0.3">
      <c r="A281" s="93" t="s">
        <v>529</v>
      </c>
      <c r="B281" s="93" t="s">
        <v>93</v>
      </c>
      <c r="C281" s="93" t="s">
        <v>94</v>
      </c>
      <c r="D281" s="93" t="s">
        <v>503</v>
      </c>
      <c r="E281" s="93" t="s">
        <v>512</v>
      </c>
      <c r="F281" s="106">
        <v>298320</v>
      </c>
      <c r="G281" s="8" t="s">
        <v>505</v>
      </c>
    </row>
    <row r="282" spans="1:7" ht="15" customHeight="1" x14ac:dyDescent="0.3">
      <c r="A282" s="93" t="s">
        <v>529</v>
      </c>
      <c r="B282" s="93" t="s">
        <v>96</v>
      </c>
      <c r="C282" s="93" t="s">
        <v>94</v>
      </c>
      <c r="D282" s="93" t="s">
        <v>503</v>
      </c>
      <c r="E282" s="93" t="s">
        <v>504</v>
      </c>
      <c r="F282" s="106">
        <v>158348</v>
      </c>
      <c r="G282" s="8" t="s">
        <v>505</v>
      </c>
    </row>
    <row r="283" spans="1:7" ht="15" customHeight="1" x14ac:dyDescent="0.3">
      <c r="A283" s="93" t="s">
        <v>529</v>
      </c>
      <c r="B283" s="93" t="s">
        <v>96</v>
      </c>
      <c r="C283" s="93" t="s">
        <v>94</v>
      </c>
      <c r="D283" s="93" t="s">
        <v>503</v>
      </c>
      <c r="E283" s="93" t="s">
        <v>506</v>
      </c>
      <c r="F283" s="106">
        <v>170405</v>
      </c>
      <c r="G283" s="8" t="s">
        <v>505</v>
      </c>
    </row>
    <row r="284" spans="1:7" ht="15" customHeight="1" x14ac:dyDescent="0.3">
      <c r="A284" s="93" t="s">
        <v>529</v>
      </c>
      <c r="B284" s="93" t="s">
        <v>96</v>
      </c>
      <c r="C284" s="93" t="s">
        <v>94</v>
      </c>
      <c r="D284" s="93" t="s">
        <v>503</v>
      </c>
      <c r="E284" s="93" t="s">
        <v>507</v>
      </c>
      <c r="F284" s="106">
        <v>176745</v>
      </c>
      <c r="G284" s="8" t="s">
        <v>505</v>
      </c>
    </row>
    <row r="285" spans="1:7" ht="15" customHeight="1" x14ac:dyDescent="0.3">
      <c r="A285" s="93" t="s">
        <v>529</v>
      </c>
      <c r="B285" s="93" t="s">
        <v>96</v>
      </c>
      <c r="C285" s="93" t="s">
        <v>94</v>
      </c>
      <c r="D285" s="93" t="s">
        <v>503</v>
      </c>
      <c r="E285" s="93" t="s">
        <v>508</v>
      </c>
      <c r="F285" s="106">
        <v>206322</v>
      </c>
      <c r="G285" s="8" t="s">
        <v>505</v>
      </c>
    </row>
    <row r="286" spans="1:7" ht="15" customHeight="1" x14ac:dyDescent="0.3">
      <c r="A286" s="93" t="s">
        <v>529</v>
      </c>
      <c r="B286" s="93" t="s">
        <v>96</v>
      </c>
      <c r="C286" s="93" t="s">
        <v>94</v>
      </c>
      <c r="D286" s="93" t="s">
        <v>503</v>
      </c>
      <c r="E286" s="93" t="s">
        <v>509</v>
      </c>
      <c r="F286" s="106">
        <v>229909</v>
      </c>
      <c r="G286" s="8" t="s">
        <v>505</v>
      </c>
    </row>
    <row r="287" spans="1:7" ht="15" customHeight="1" x14ac:dyDescent="0.3">
      <c r="A287" s="93" t="s">
        <v>529</v>
      </c>
      <c r="B287" s="93" t="s">
        <v>96</v>
      </c>
      <c r="C287" s="93" t="s">
        <v>94</v>
      </c>
      <c r="D287" s="93" t="s">
        <v>503</v>
      </c>
      <c r="E287" s="93" t="s">
        <v>510</v>
      </c>
      <c r="F287" s="106">
        <v>310425</v>
      </c>
      <c r="G287" s="8" t="s">
        <v>505</v>
      </c>
    </row>
    <row r="288" spans="1:7" ht="15" customHeight="1" x14ac:dyDescent="0.3">
      <c r="A288" s="93" t="s">
        <v>529</v>
      </c>
      <c r="B288" s="93" t="s">
        <v>96</v>
      </c>
      <c r="C288" s="93" t="s">
        <v>94</v>
      </c>
      <c r="D288" s="93" t="s">
        <v>503</v>
      </c>
      <c r="E288" s="93" t="s">
        <v>511</v>
      </c>
      <c r="F288" s="106">
        <v>345901</v>
      </c>
      <c r="G288" s="8" t="s">
        <v>505</v>
      </c>
    </row>
    <row r="289" spans="1:7" ht="15" customHeight="1" x14ac:dyDescent="0.3">
      <c r="A289" s="93" t="s">
        <v>529</v>
      </c>
      <c r="B289" s="93" t="s">
        <v>96</v>
      </c>
      <c r="C289" s="93" t="s">
        <v>94</v>
      </c>
      <c r="D289" s="93" t="s">
        <v>503</v>
      </c>
      <c r="E289" s="93" t="s">
        <v>512</v>
      </c>
      <c r="F289" s="106">
        <v>346526</v>
      </c>
      <c r="G289" s="8" t="s">
        <v>505</v>
      </c>
    </row>
    <row r="290" spans="1:7" ht="15" customHeight="1" x14ac:dyDescent="0.3">
      <c r="A290" s="93" t="s">
        <v>530</v>
      </c>
      <c r="B290" s="93" t="s">
        <v>93</v>
      </c>
      <c r="C290" s="93" t="s">
        <v>94</v>
      </c>
      <c r="D290" s="93" t="s">
        <v>503</v>
      </c>
      <c r="E290" s="93" t="s">
        <v>504</v>
      </c>
      <c r="F290" s="106">
        <v>117801</v>
      </c>
      <c r="G290" s="8" t="s">
        <v>505</v>
      </c>
    </row>
    <row r="291" spans="1:7" ht="15" customHeight="1" x14ac:dyDescent="0.3">
      <c r="A291" s="93" t="s">
        <v>530</v>
      </c>
      <c r="B291" s="93" t="s">
        <v>93</v>
      </c>
      <c r="C291" s="93" t="s">
        <v>94</v>
      </c>
      <c r="D291" s="93" t="s">
        <v>503</v>
      </c>
      <c r="E291" s="93" t="s">
        <v>506</v>
      </c>
      <c r="F291" s="106">
        <v>139932</v>
      </c>
      <c r="G291" s="8" t="s">
        <v>505</v>
      </c>
    </row>
    <row r="292" spans="1:7" ht="15" customHeight="1" x14ac:dyDescent="0.3">
      <c r="A292" s="93" t="s">
        <v>530</v>
      </c>
      <c r="B292" s="93" t="s">
        <v>93</v>
      </c>
      <c r="C292" s="93" t="s">
        <v>94</v>
      </c>
      <c r="D292" s="93" t="s">
        <v>503</v>
      </c>
      <c r="E292" s="93" t="s">
        <v>507</v>
      </c>
      <c r="F292" s="106">
        <v>157343</v>
      </c>
      <c r="G292" s="8" t="s">
        <v>505</v>
      </c>
    </row>
    <row r="293" spans="1:7" ht="15" customHeight="1" x14ac:dyDescent="0.3">
      <c r="A293" s="93" t="s">
        <v>530</v>
      </c>
      <c r="B293" s="93" t="s">
        <v>93</v>
      </c>
      <c r="C293" s="93" t="s">
        <v>94</v>
      </c>
      <c r="D293" s="93" t="s">
        <v>503</v>
      </c>
      <c r="E293" s="93" t="s">
        <v>508</v>
      </c>
      <c r="F293" s="106">
        <v>170499</v>
      </c>
      <c r="G293" s="8" t="s">
        <v>505</v>
      </c>
    </row>
    <row r="294" spans="1:7" ht="15" customHeight="1" x14ac:dyDescent="0.3">
      <c r="A294" s="93" t="s">
        <v>530</v>
      </c>
      <c r="B294" s="93" t="s">
        <v>93</v>
      </c>
      <c r="C294" s="93" t="s">
        <v>94</v>
      </c>
      <c r="D294" s="93" t="s">
        <v>503</v>
      </c>
      <c r="E294" s="93" t="s">
        <v>509</v>
      </c>
      <c r="F294" s="106">
        <v>188679</v>
      </c>
      <c r="G294" s="8" t="s">
        <v>505</v>
      </c>
    </row>
    <row r="295" spans="1:7" ht="15" customHeight="1" x14ac:dyDescent="0.3">
      <c r="A295" s="93" t="s">
        <v>530</v>
      </c>
      <c r="B295" s="93" t="s">
        <v>93</v>
      </c>
      <c r="C295" s="93" t="s">
        <v>94</v>
      </c>
      <c r="D295" s="93" t="s">
        <v>503</v>
      </c>
      <c r="E295" s="93" t="s">
        <v>510</v>
      </c>
      <c r="F295" s="106">
        <v>254638</v>
      </c>
      <c r="G295" s="8" t="s">
        <v>505</v>
      </c>
    </row>
    <row r="296" spans="1:7" ht="15" customHeight="1" x14ac:dyDescent="0.3">
      <c r="A296" s="93" t="s">
        <v>530</v>
      </c>
      <c r="B296" s="93" t="s">
        <v>93</v>
      </c>
      <c r="C296" s="93" t="s">
        <v>94</v>
      </c>
      <c r="D296" s="93" t="s">
        <v>503</v>
      </c>
      <c r="E296" s="93" t="s">
        <v>511</v>
      </c>
      <c r="F296" s="106">
        <v>283862</v>
      </c>
      <c r="G296" s="8" t="s">
        <v>505</v>
      </c>
    </row>
    <row r="297" spans="1:7" ht="15" customHeight="1" x14ac:dyDescent="0.3">
      <c r="A297" s="93" t="s">
        <v>530</v>
      </c>
      <c r="B297" s="93" t="s">
        <v>93</v>
      </c>
      <c r="C297" s="93" t="s">
        <v>94</v>
      </c>
      <c r="D297" s="93" t="s">
        <v>503</v>
      </c>
      <c r="E297" s="93" t="s">
        <v>512</v>
      </c>
      <c r="F297" s="106">
        <v>284188</v>
      </c>
      <c r="G297" s="8" t="s">
        <v>505</v>
      </c>
    </row>
    <row r="298" spans="1:7" ht="15" customHeight="1" x14ac:dyDescent="0.3">
      <c r="A298" s="93" t="s">
        <v>530</v>
      </c>
      <c r="B298" s="93" t="s">
        <v>96</v>
      </c>
      <c r="C298" s="93" t="s">
        <v>94</v>
      </c>
      <c r="D298" s="93" t="s">
        <v>503</v>
      </c>
      <c r="E298" s="93" t="s">
        <v>504</v>
      </c>
      <c r="F298" s="106">
        <v>146813</v>
      </c>
      <c r="G298" s="8" t="s">
        <v>505</v>
      </c>
    </row>
    <row r="299" spans="1:7" ht="15" customHeight="1" x14ac:dyDescent="0.3">
      <c r="A299" s="93" t="s">
        <v>530</v>
      </c>
      <c r="B299" s="93" t="s">
        <v>96</v>
      </c>
      <c r="C299" s="93" t="s">
        <v>94</v>
      </c>
      <c r="D299" s="93" t="s">
        <v>503</v>
      </c>
      <c r="E299" s="93" t="s">
        <v>506</v>
      </c>
      <c r="F299" s="106">
        <v>161142</v>
      </c>
      <c r="G299" s="8" t="s">
        <v>505</v>
      </c>
    </row>
    <row r="300" spans="1:7" ht="15" customHeight="1" x14ac:dyDescent="0.3">
      <c r="A300" s="93" t="s">
        <v>530</v>
      </c>
      <c r="B300" s="93" t="s">
        <v>96</v>
      </c>
      <c r="C300" s="93" t="s">
        <v>94</v>
      </c>
      <c r="D300" s="93" t="s">
        <v>503</v>
      </c>
      <c r="E300" s="93" t="s">
        <v>507</v>
      </c>
      <c r="F300" s="106">
        <v>167045</v>
      </c>
      <c r="G300" s="8" t="s">
        <v>505</v>
      </c>
    </row>
    <row r="301" spans="1:7" ht="15" customHeight="1" x14ac:dyDescent="0.3">
      <c r="A301" s="93" t="s">
        <v>530</v>
      </c>
      <c r="B301" s="93" t="s">
        <v>96</v>
      </c>
      <c r="C301" s="93" t="s">
        <v>94</v>
      </c>
      <c r="D301" s="93" t="s">
        <v>503</v>
      </c>
      <c r="E301" s="93" t="s">
        <v>508</v>
      </c>
      <c r="F301" s="106">
        <v>196081</v>
      </c>
      <c r="G301" s="8" t="s">
        <v>505</v>
      </c>
    </row>
    <row r="302" spans="1:7" ht="15" customHeight="1" x14ac:dyDescent="0.3">
      <c r="A302" s="93" t="s">
        <v>530</v>
      </c>
      <c r="B302" s="93" t="s">
        <v>96</v>
      </c>
      <c r="C302" s="93" t="s">
        <v>94</v>
      </c>
      <c r="D302" s="93" t="s">
        <v>503</v>
      </c>
      <c r="E302" s="93" t="s">
        <v>509</v>
      </c>
      <c r="F302" s="106">
        <v>217390</v>
      </c>
      <c r="G302" s="8" t="s">
        <v>505</v>
      </c>
    </row>
    <row r="303" spans="1:7" ht="15" customHeight="1" x14ac:dyDescent="0.3">
      <c r="A303" s="93" t="s">
        <v>530</v>
      </c>
      <c r="B303" s="93" t="s">
        <v>96</v>
      </c>
      <c r="C303" s="93" t="s">
        <v>94</v>
      </c>
      <c r="D303" s="93" t="s">
        <v>503</v>
      </c>
      <c r="E303" s="93" t="s">
        <v>510</v>
      </c>
      <c r="F303" s="106">
        <v>293258</v>
      </c>
      <c r="G303" s="8" t="s">
        <v>505</v>
      </c>
    </row>
    <row r="304" spans="1:7" ht="15" customHeight="1" x14ac:dyDescent="0.3">
      <c r="A304" s="93" t="s">
        <v>530</v>
      </c>
      <c r="B304" s="93" t="s">
        <v>96</v>
      </c>
      <c r="C304" s="93" t="s">
        <v>94</v>
      </c>
      <c r="D304" s="93" t="s">
        <v>503</v>
      </c>
      <c r="E304" s="93" t="s">
        <v>511</v>
      </c>
      <c r="F304" s="106">
        <v>326815</v>
      </c>
      <c r="G304" s="8" t="s">
        <v>505</v>
      </c>
    </row>
    <row r="305" spans="1:7" ht="15" customHeight="1" x14ac:dyDescent="0.3">
      <c r="A305" s="93" t="s">
        <v>530</v>
      </c>
      <c r="B305" s="93" t="s">
        <v>96</v>
      </c>
      <c r="C305" s="93" t="s">
        <v>94</v>
      </c>
      <c r="D305" s="93" t="s">
        <v>503</v>
      </c>
      <c r="E305" s="93" t="s">
        <v>512</v>
      </c>
      <c r="F305" s="106">
        <v>327446</v>
      </c>
      <c r="G305" s="8" t="s">
        <v>505</v>
      </c>
    </row>
    <row r="306" spans="1:7" ht="15" customHeight="1" x14ac:dyDescent="0.3">
      <c r="A306" s="93" t="s">
        <v>531</v>
      </c>
      <c r="B306" s="93" t="s">
        <v>93</v>
      </c>
      <c r="C306" s="93" t="s">
        <v>94</v>
      </c>
      <c r="D306" s="93" t="s">
        <v>503</v>
      </c>
      <c r="E306" s="93" t="s">
        <v>504</v>
      </c>
      <c r="F306" s="106">
        <v>119432</v>
      </c>
      <c r="G306" s="8" t="s">
        <v>505</v>
      </c>
    </row>
    <row r="307" spans="1:7" ht="15" customHeight="1" x14ac:dyDescent="0.3">
      <c r="A307" s="93" t="s">
        <v>531</v>
      </c>
      <c r="B307" s="93" t="s">
        <v>93</v>
      </c>
      <c r="C307" s="93" t="s">
        <v>94</v>
      </c>
      <c r="D307" s="93" t="s">
        <v>503</v>
      </c>
      <c r="E307" s="93" t="s">
        <v>506</v>
      </c>
      <c r="F307" s="106">
        <v>146677</v>
      </c>
      <c r="G307" s="8" t="s">
        <v>505</v>
      </c>
    </row>
    <row r="308" spans="1:7" ht="15" customHeight="1" x14ac:dyDescent="0.3">
      <c r="A308" s="93" t="s">
        <v>531</v>
      </c>
      <c r="B308" s="93" t="s">
        <v>93</v>
      </c>
      <c r="C308" s="93" t="s">
        <v>94</v>
      </c>
      <c r="D308" s="93" t="s">
        <v>503</v>
      </c>
      <c r="E308" s="93" t="s">
        <v>507</v>
      </c>
      <c r="F308" s="106">
        <v>165192</v>
      </c>
      <c r="G308" s="8" t="s">
        <v>505</v>
      </c>
    </row>
    <row r="309" spans="1:7" ht="15" customHeight="1" x14ac:dyDescent="0.3">
      <c r="A309" s="93" t="s">
        <v>531</v>
      </c>
      <c r="B309" s="93" t="s">
        <v>93</v>
      </c>
      <c r="C309" s="93" t="s">
        <v>94</v>
      </c>
      <c r="D309" s="93" t="s">
        <v>503</v>
      </c>
      <c r="E309" s="93" t="s">
        <v>508</v>
      </c>
      <c r="F309" s="106">
        <v>177677</v>
      </c>
      <c r="G309" s="8" t="s">
        <v>505</v>
      </c>
    </row>
    <row r="310" spans="1:7" ht="15" customHeight="1" x14ac:dyDescent="0.3">
      <c r="A310" s="93" t="s">
        <v>531</v>
      </c>
      <c r="B310" s="93" t="s">
        <v>93</v>
      </c>
      <c r="C310" s="93" t="s">
        <v>94</v>
      </c>
      <c r="D310" s="93" t="s">
        <v>503</v>
      </c>
      <c r="E310" s="93" t="s">
        <v>509</v>
      </c>
      <c r="F310" s="106">
        <v>197966</v>
      </c>
      <c r="G310" s="8" t="s">
        <v>505</v>
      </c>
    </row>
    <row r="311" spans="1:7" ht="15" customHeight="1" x14ac:dyDescent="0.3">
      <c r="A311" s="93" t="s">
        <v>531</v>
      </c>
      <c r="B311" s="93" t="s">
        <v>93</v>
      </c>
      <c r="C311" s="93" t="s">
        <v>94</v>
      </c>
      <c r="D311" s="93" t="s">
        <v>503</v>
      </c>
      <c r="E311" s="93" t="s">
        <v>510</v>
      </c>
      <c r="F311" s="106">
        <v>267320</v>
      </c>
      <c r="G311" s="8" t="s">
        <v>505</v>
      </c>
    </row>
    <row r="312" spans="1:7" ht="15" customHeight="1" x14ac:dyDescent="0.3">
      <c r="A312" s="93" t="s">
        <v>531</v>
      </c>
      <c r="B312" s="93" t="s">
        <v>93</v>
      </c>
      <c r="C312" s="93" t="s">
        <v>94</v>
      </c>
      <c r="D312" s="93" t="s">
        <v>503</v>
      </c>
      <c r="E312" s="93" t="s">
        <v>511</v>
      </c>
      <c r="F312" s="106">
        <v>297784</v>
      </c>
      <c r="G312" s="8" t="s">
        <v>505</v>
      </c>
    </row>
    <row r="313" spans="1:7" ht="15" customHeight="1" x14ac:dyDescent="0.3">
      <c r="A313" s="93" t="s">
        <v>531</v>
      </c>
      <c r="B313" s="93" t="s">
        <v>93</v>
      </c>
      <c r="C313" s="93" t="s">
        <v>94</v>
      </c>
      <c r="D313" s="93" t="s">
        <v>503</v>
      </c>
      <c r="E313" s="93" t="s">
        <v>512</v>
      </c>
      <c r="F313" s="106">
        <v>298320</v>
      </c>
      <c r="G313" s="8" t="s">
        <v>505</v>
      </c>
    </row>
    <row r="314" spans="1:7" ht="15" customHeight="1" x14ac:dyDescent="0.3">
      <c r="A314" s="93" t="s">
        <v>531</v>
      </c>
      <c r="B314" s="93" t="s">
        <v>96</v>
      </c>
      <c r="C314" s="93" t="s">
        <v>94</v>
      </c>
      <c r="D314" s="93" t="s">
        <v>503</v>
      </c>
      <c r="E314" s="93" t="s">
        <v>504</v>
      </c>
      <c r="F314" s="106">
        <v>158348</v>
      </c>
      <c r="G314" s="8" t="s">
        <v>505</v>
      </c>
    </row>
    <row r="315" spans="1:7" ht="15" customHeight="1" x14ac:dyDescent="0.3">
      <c r="A315" s="93" t="s">
        <v>531</v>
      </c>
      <c r="B315" s="93" t="s">
        <v>96</v>
      </c>
      <c r="C315" s="93" t="s">
        <v>94</v>
      </c>
      <c r="D315" s="93" t="s">
        <v>503</v>
      </c>
      <c r="E315" s="93" t="s">
        <v>506</v>
      </c>
      <c r="F315" s="106">
        <v>170405</v>
      </c>
      <c r="G315" s="8" t="s">
        <v>505</v>
      </c>
    </row>
    <row r="316" spans="1:7" ht="15" customHeight="1" x14ac:dyDescent="0.3">
      <c r="A316" s="93" t="s">
        <v>531</v>
      </c>
      <c r="B316" s="93" t="s">
        <v>96</v>
      </c>
      <c r="C316" s="93" t="s">
        <v>94</v>
      </c>
      <c r="D316" s="93" t="s">
        <v>503</v>
      </c>
      <c r="E316" s="93" t="s">
        <v>507</v>
      </c>
      <c r="F316" s="106">
        <v>176745</v>
      </c>
      <c r="G316" s="8" t="s">
        <v>505</v>
      </c>
    </row>
    <row r="317" spans="1:7" ht="15" customHeight="1" x14ac:dyDescent="0.3">
      <c r="A317" s="93" t="s">
        <v>531</v>
      </c>
      <c r="B317" s="93" t="s">
        <v>96</v>
      </c>
      <c r="C317" s="93" t="s">
        <v>94</v>
      </c>
      <c r="D317" s="93" t="s">
        <v>503</v>
      </c>
      <c r="E317" s="93" t="s">
        <v>508</v>
      </c>
      <c r="F317" s="106">
        <v>206322</v>
      </c>
      <c r="G317" s="8" t="s">
        <v>505</v>
      </c>
    </row>
    <row r="318" spans="1:7" ht="15" customHeight="1" x14ac:dyDescent="0.3">
      <c r="A318" s="93" t="s">
        <v>531</v>
      </c>
      <c r="B318" s="93" t="s">
        <v>96</v>
      </c>
      <c r="C318" s="93" t="s">
        <v>94</v>
      </c>
      <c r="D318" s="93" t="s">
        <v>503</v>
      </c>
      <c r="E318" s="93" t="s">
        <v>509</v>
      </c>
      <c r="F318" s="106">
        <v>229909</v>
      </c>
      <c r="G318" s="8" t="s">
        <v>505</v>
      </c>
    </row>
    <row r="319" spans="1:7" ht="15" customHeight="1" x14ac:dyDescent="0.3">
      <c r="A319" s="93" t="s">
        <v>531</v>
      </c>
      <c r="B319" s="93" t="s">
        <v>96</v>
      </c>
      <c r="C319" s="93" t="s">
        <v>94</v>
      </c>
      <c r="D319" s="93" t="s">
        <v>503</v>
      </c>
      <c r="E319" s="93" t="s">
        <v>510</v>
      </c>
      <c r="F319" s="106">
        <v>310425</v>
      </c>
      <c r="G319" s="8" t="s">
        <v>505</v>
      </c>
    </row>
    <row r="320" spans="1:7" ht="15" customHeight="1" x14ac:dyDescent="0.3">
      <c r="A320" s="93" t="s">
        <v>531</v>
      </c>
      <c r="B320" s="93" t="s">
        <v>96</v>
      </c>
      <c r="C320" s="93" t="s">
        <v>94</v>
      </c>
      <c r="D320" s="93" t="s">
        <v>503</v>
      </c>
      <c r="E320" s="93" t="s">
        <v>511</v>
      </c>
      <c r="F320" s="106">
        <v>345901</v>
      </c>
      <c r="G320" s="8" t="s">
        <v>505</v>
      </c>
    </row>
    <row r="321" spans="1:7" ht="15" customHeight="1" x14ac:dyDescent="0.3">
      <c r="A321" s="93" t="s">
        <v>531</v>
      </c>
      <c r="B321" s="93" t="s">
        <v>96</v>
      </c>
      <c r="C321" s="93" t="s">
        <v>94</v>
      </c>
      <c r="D321" s="93" t="s">
        <v>503</v>
      </c>
      <c r="E321" s="93" t="s">
        <v>512</v>
      </c>
      <c r="F321" s="106">
        <v>346526</v>
      </c>
      <c r="G321" s="8" t="s">
        <v>505</v>
      </c>
    </row>
    <row r="322" spans="1:7" ht="15" customHeight="1" x14ac:dyDescent="0.3">
      <c r="A322" s="93" t="s">
        <v>532</v>
      </c>
      <c r="B322" s="93" t="s">
        <v>93</v>
      </c>
      <c r="C322" s="93" t="s">
        <v>94</v>
      </c>
      <c r="D322" s="93" t="s">
        <v>503</v>
      </c>
      <c r="E322" s="93" t="s">
        <v>504</v>
      </c>
      <c r="F322" s="106">
        <v>119432</v>
      </c>
      <c r="G322" s="8" t="s">
        <v>505</v>
      </c>
    </row>
    <row r="323" spans="1:7" ht="15" customHeight="1" x14ac:dyDescent="0.3">
      <c r="A323" s="93" t="s">
        <v>532</v>
      </c>
      <c r="B323" s="93" t="s">
        <v>93</v>
      </c>
      <c r="C323" s="93" t="s">
        <v>94</v>
      </c>
      <c r="D323" s="93" t="s">
        <v>503</v>
      </c>
      <c r="E323" s="93" t="s">
        <v>506</v>
      </c>
      <c r="F323" s="106">
        <v>146677</v>
      </c>
      <c r="G323" s="8" t="s">
        <v>505</v>
      </c>
    </row>
    <row r="324" spans="1:7" ht="15" customHeight="1" x14ac:dyDescent="0.3">
      <c r="A324" s="93" t="s">
        <v>532</v>
      </c>
      <c r="B324" s="93" t="s">
        <v>93</v>
      </c>
      <c r="C324" s="93" t="s">
        <v>94</v>
      </c>
      <c r="D324" s="93" t="s">
        <v>503</v>
      </c>
      <c r="E324" s="93" t="s">
        <v>507</v>
      </c>
      <c r="F324" s="106">
        <v>165192</v>
      </c>
      <c r="G324" s="8" t="s">
        <v>505</v>
      </c>
    </row>
    <row r="325" spans="1:7" ht="15" customHeight="1" x14ac:dyDescent="0.3">
      <c r="A325" s="93" t="s">
        <v>532</v>
      </c>
      <c r="B325" s="93" t="s">
        <v>93</v>
      </c>
      <c r="C325" s="93" t="s">
        <v>94</v>
      </c>
      <c r="D325" s="93" t="s">
        <v>503</v>
      </c>
      <c r="E325" s="93" t="s">
        <v>508</v>
      </c>
      <c r="F325" s="106">
        <v>177677</v>
      </c>
      <c r="G325" s="8" t="s">
        <v>505</v>
      </c>
    </row>
    <row r="326" spans="1:7" ht="15" customHeight="1" x14ac:dyDescent="0.3">
      <c r="A326" s="93" t="s">
        <v>532</v>
      </c>
      <c r="B326" s="93" t="s">
        <v>93</v>
      </c>
      <c r="C326" s="93" t="s">
        <v>94</v>
      </c>
      <c r="D326" s="93" t="s">
        <v>503</v>
      </c>
      <c r="E326" s="93" t="s">
        <v>509</v>
      </c>
      <c r="F326" s="106">
        <v>197966</v>
      </c>
      <c r="G326" s="8" t="s">
        <v>505</v>
      </c>
    </row>
    <row r="327" spans="1:7" ht="15" customHeight="1" x14ac:dyDescent="0.3">
      <c r="A327" s="93" t="s">
        <v>532</v>
      </c>
      <c r="B327" s="93" t="s">
        <v>93</v>
      </c>
      <c r="C327" s="93" t="s">
        <v>94</v>
      </c>
      <c r="D327" s="93" t="s">
        <v>503</v>
      </c>
      <c r="E327" s="93" t="s">
        <v>510</v>
      </c>
      <c r="F327" s="106">
        <v>267320</v>
      </c>
      <c r="G327" s="8" t="s">
        <v>505</v>
      </c>
    </row>
    <row r="328" spans="1:7" ht="15" customHeight="1" x14ac:dyDescent="0.3">
      <c r="A328" s="93" t="s">
        <v>532</v>
      </c>
      <c r="B328" s="93" t="s">
        <v>93</v>
      </c>
      <c r="C328" s="93" t="s">
        <v>94</v>
      </c>
      <c r="D328" s="93" t="s">
        <v>503</v>
      </c>
      <c r="E328" s="93" t="s">
        <v>511</v>
      </c>
      <c r="F328" s="106">
        <v>297784</v>
      </c>
      <c r="G328" s="8" t="s">
        <v>505</v>
      </c>
    </row>
    <row r="329" spans="1:7" ht="15" customHeight="1" x14ac:dyDescent="0.3">
      <c r="A329" s="93" t="s">
        <v>532</v>
      </c>
      <c r="B329" s="93" t="s">
        <v>93</v>
      </c>
      <c r="C329" s="93" t="s">
        <v>94</v>
      </c>
      <c r="D329" s="93" t="s">
        <v>503</v>
      </c>
      <c r="E329" s="93" t="s">
        <v>512</v>
      </c>
      <c r="F329" s="106">
        <v>298320</v>
      </c>
      <c r="G329" s="8" t="s">
        <v>505</v>
      </c>
    </row>
    <row r="330" spans="1:7" ht="15" customHeight="1" x14ac:dyDescent="0.3">
      <c r="A330" s="93" t="s">
        <v>532</v>
      </c>
      <c r="B330" s="93" t="s">
        <v>96</v>
      </c>
      <c r="C330" s="93" t="s">
        <v>94</v>
      </c>
      <c r="D330" s="93" t="s">
        <v>503</v>
      </c>
      <c r="E330" s="93" t="s">
        <v>504</v>
      </c>
      <c r="F330" s="106">
        <v>158348</v>
      </c>
      <c r="G330" s="8" t="s">
        <v>505</v>
      </c>
    </row>
    <row r="331" spans="1:7" ht="15" customHeight="1" x14ac:dyDescent="0.3">
      <c r="A331" s="93" t="s">
        <v>532</v>
      </c>
      <c r="B331" s="93" t="s">
        <v>96</v>
      </c>
      <c r="C331" s="93" t="s">
        <v>94</v>
      </c>
      <c r="D331" s="93" t="s">
        <v>503</v>
      </c>
      <c r="E331" s="93" t="s">
        <v>506</v>
      </c>
      <c r="F331" s="106">
        <v>170405</v>
      </c>
      <c r="G331" s="8" t="s">
        <v>505</v>
      </c>
    </row>
    <row r="332" spans="1:7" ht="15" customHeight="1" x14ac:dyDescent="0.3">
      <c r="A332" s="93" t="s">
        <v>532</v>
      </c>
      <c r="B332" s="93" t="s">
        <v>96</v>
      </c>
      <c r="C332" s="93" t="s">
        <v>94</v>
      </c>
      <c r="D332" s="93" t="s">
        <v>503</v>
      </c>
      <c r="E332" s="93" t="s">
        <v>507</v>
      </c>
      <c r="F332" s="106">
        <v>176745</v>
      </c>
      <c r="G332" s="8" t="s">
        <v>505</v>
      </c>
    </row>
    <row r="333" spans="1:7" ht="15" customHeight="1" x14ac:dyDescent="0.3">
      <c r="A333" s="93" t="s">
        <v>532</v>
      </c>
      <c r="B333" s="93" t="s">
        <v>96</v>
      </c>
      <c r="C333" s="93" t="s">
        <v>94</v>
      </c>
      <c r="D333" s="93" t="s">
        <v>503</v>
      </c>
      <c r="E333" s="93" t="s">
        <v>508</v>
      </c>
      <c r="F333" s="106">
        <v>206322</v>
      </c>
      <c r="G333" s="8" t="s">
        <v>505</v>
      </c>
    </row>
    <row r="334" spans="1:7" ht="15" customHeight="1" x14ac:dyDescent="0.3">
      <c r="A334" s="93" t="s">
        <v>532</v>
      </c>
      <c r="B334" s="93" t="s">
        <v>96</v>
      </c>
      <c r="C334" s="93" t="s">
        <v>94</v>
      </c>
      <c r="D334" s="93" t="s">
        <v>503</v>
      </c>
      <c r="E334" s="93" t="s">
        <v>509</v>
      </c>
      <c r="F334" s="106">
        <v>229909</v>
      </c>
      <c r="G334" s="8" t="s">
        <v>505</v>
      </c>
    </row>
    <row r="335" spans="1:7" ht="15" customHeight="1" x14ac:dyDescent="0.3">
      <c r="A335" s="93" t="s">
        <v>532</v>
      </c>
      <c r="B335" s="93" t="s">
        <v>96</v>
      </c>
      <c r="C335" s="93" t="s">
        <v>94</v>
      </c>
      <c r="D335" s="93" t="s">
        <v>503</v>
      </c>
      <c r="E335" s="93" t="s">
        <v>510</v>
      </c>
      <c r="F335" s="106">
        <v>310425</v>
      </c>
      <c r="G335" s="8" t="s">
        <v>505</v>
      </c>
    </row>
    <row r="336" spans="1:7" ht="15" customHeight="1" x14ac:dyDescent="0.3">
      <c r="A336" s="93" t="s">
        <v>532</v>
      </c>
      <c r="B336" s="93" t="s">
        <v>96</v>
      </c>
      <c r="C336" s="93" t="s">
        <v>94</v>
      </c>
      <c r="D336" s="93" t="s">
        <v>503</v>
      </c>
      <c r="E336" s="93" t="s">
        <v>511</v>
      </c>
      <c r="F336" s="106">
        <v>345901</v>
      </c>
      <c r="G336" s="8" t="s">
        <v>505</v>
      </c>
    </row>
    <row r="337" spans="1:7" ht="15" customHeight="1" x14ac:dyDescent="0.3">
      <c r="A337" s="93" t="s">
        <v>532</v>
      </c>
      <c r="B337" s="93" t="s">
        <v>96</v>
      </c>
      <c r="C337" s="93" t="s">
        <v>94</v>
      </c>
      <c r="D337" s="93" t="s">
        <v>503</v>
      </c>
      <c r="E337" s="93" t="s">
        <v>512</v>
      </c>
      <c r="F337" s="106">
        <v>346526</v>
      </c>
      <c r="G337" s="8" t="s">
        <v>505</v>
      </c>
    </row>
    <row r="338" spans="1:7" ht="15" customHeight="1" x14ac:dyDescent="0.3">
      <c r="A338" s="93" t="s">
        <v>533</v>
      </c>
      <c r="B338" s="93" t="s">
        <v>93</v>
      </c>
      <c r="C338" s="93" t="s">
        <v>94</v>
      </c>
      <c r="D338" s="93" t="s">
        <v>503</v>
      </c>
      <c r="E338" s="93" t="s">
        <v>504</v>
      </c>
      <c r="F338" s="106">
        <v>119432</v>
      </c>
      <c r="G338" s="8" t="s">
        <v>505</v>
      </c>
    </row>
    <row r="339" spans="1:7" ht="15" customHeight="1" x14ac:dyDescent="0.3">
      <c r="A339" s="93" t="s">
        <v>533</v>
      </c>
      <c r="B339" s="93" t="s">
        <v>93</v>
      </c>
      <c r="C339" s="93" t="s">
        <v>94</v>
      </c>
      <c r="D339" s="93" t="s">
        <v>503</v>
      </c>
      <c r="E339" s="93" t="s">
        <v>506</v>
      </c>
      <c r="F339" s="106">
        <v>146677</v>
      </c>
      <c r="G339" s="8" t="s">
        <v>505</v>
      </c>
    </row>
    <row r="340" spans="1:7" ht="15" customHeight="1" x14ac:dyDescent="0.3">
      <c r="A340" s="93" t="s">
        <v>533</v>
      </c>
      <c r="B340" s="93" t="s">
        <v>93</v>
      </c>
      <c r="C340" s="93" t="s">
        <v>94</v>
      </c>
      <c r="D340" s="93" t="s">
        <v>503</v>
      </c>
      <c r="E340" s="93" t="s">
        <v>507</v>
      </c>
      <c r="F340" s="106">
        <v>165192</v>
      </c>
      <c r="G340" s="8" t="s">
        <v>505</v>
      </c>
    </row>
    <row r="341" spans="1:7" ht="15" customHeight="1" x14ac:dyDescent="0.3">
      <c r="A341" s="93" t="s">
        <v>533</v>
      </c>
      <c r="B341" s="93" t="s">
        <v>93</v>
      </c>
      <c r="C341" s="93" t="s">
        <v>94</v>
      </c>
      <c r="D341" s="93" t="s">
        <v>503</v>
      </c>
      <c r="E341" s="93" t="s">
        <v>508</v>
      </c>
      <c r="F341" s="106">
        <v>177677</v>
      </c>
      <c r="G341" s="8" t="s">
        <v>505</v>
      </c>
    </row>
    <row r="342" spans="1:7" ht="15" customHeight="1" x14ac:dyDescent="0.3">
      <c r="A342" s="93" t="s">
        <v>533</v>
      </c>
      <c r="B342" s="93" t="s">
        <v>93</v>
      </c>
      <c r="C342" s="93" t="s">
        <v>94</v>
      </c>
      <c r="D342" s="93" t="s">
        <v>503</v>
      </c>
      <c r="E342" s="93" t="s">
        <v>509</v>
      </c>
      <c r="F342" s="106">
        <v>197966</v>
      </c>
      <c r="G342" s="8" t="s">
        <v>505</v>
      </c>
    </row>
    <row r="343" spans="1:7" ht="15" customHeight="1" x14ac:dyDescent="0.3">
      <c r="A343" s="93" t="s">
        <v>533</v>
      </c>
      <c r="B343" s="93" t="s">
        <v>93</v>
      </c>
      <c r="C343" s="93" t="s">
        <v>94</v>
      </c>
      <c r="D343" s="93" t="s">
        <v>503</v>
      </c>
      <c r="E343" s="93" t="s">
        <v>510</v>
      </c>
      <c r="F343" s="106">
        <v>267320</v>
      </c>
      <c r="G343" s="8" t="s">
        <v>505</v>
      </c>
    </row>
    <row r="344" spans="1:7" ht="15" customHeight="1" x14ac:dyDescent="0.3">
      <c r="A344" s="93" t="s">
        <v>533</v>
      </c>
      <c r="B344" s="93" t="s">
        <v>93</v>
      </c>
      <c r="C344" s="93" t="s">
        <v>94</v>
      </c>
      <c r="D344" s="93" t="s">
        <v>503</v>
      </c>
      <c r="E344" s="93" t="s">
        <v>511</v>
      </c>
      <c r="F344" s="106">
        <v>297784</v>
      </c>
      <c r="G344" s="8" t="s">
        <v>505</v>
      </c>
    </row>
    <row r="345" spans="1:7" ht="15" customHeight="1" x14ac:dyDescent="0.3">
      <c r="A345" s="93" t="s">
        <v>533</v>
      </c>
      <c r="B345" s="93" t="s">
        <v>93</v>
      </c>
      <c r="C345" s="93" t="s">
        <v>94</v>
      </c>
      <c r="D345" s="93" t="s">
        <v>503</v>
      </c>
      <c r="E345" s="93" t="s">
        <v>512</v>
      </c>
      <c r="F345" s="106">
        <v>298320</v>
      </c>
      <c r="G345" s="8" t="s">
        <v>505</v>
      </c>
    </row>
    <row r="346" spans="1:7" ht="15" customHeight="1" x14ac:dyDescent="0.3">
      <c r="A346" s="93" t="s">
        <v>533</v>
      </c>
      <c r="B346" s="93" t="s">
        <v>96</v>
      </c>
      <c r="C346" s="93" t="s">
        <v>94</v>
      </c>
      <c r="D346" s="93" t="s">
        <v>503</v>
      </c>
      <c r="E346" s="93" t="s">
        <v>504</v>
      </c>
      <c r="F346" s="106">
        <v>158348</v>
      </c>
      <c r="G346" s="8" t="s">
        <v>505</v>
      </c>
    </row>
    <row r="347" spans="1:7" ht="15" customHeight="1" x14ac:dyDescent="0.3">
      <c r="A347" s="93" t="s">
        <v>533</v>
      </c>
      <c r="B347" s="93" t="s">
        <v>96</v>
      </c>
      <c r="C347" s="93" t="s">
        <v>94</v>
      </c>
      <c r="D347" s="93" t="s">
        <v>503</v>
      </c>
      <c r="E347" s="93" t="s">
        <v>506</v>
      </c>
      <c r="F347" s="106">
        <v>170405</v>
      </c>
      <c r="G347" s="8" t="s">
        <v>505</v>
      </c>
    </row>
    <row r="348" spans="1:7" ht="15" customHeight="1" x14ac:dyDescent="0.3">
      <c r="A348" s="93" t="s">
        <v>533</v>
      </c>
      <c r="B348" s="93" t="s">
        <v>96</v>
      </c>
      <c r="C348" s="93" t="s">
        <v>94</v>
      </c>
      <c r="D348" s="93" t="s">
        <v>503</v>
      </c>
      <c r="E348" s="93" t="s">
        <v>507</v>
      </c>
      <c r="F348" s="106">
        <v>176745</v>
      </c>
      <c r="G348" s="8" t="s">
        <v>505</v>
      </c>
    </row>
    <row r="349" spans="1:7" ht="15" customHeight="1" x14ac:dyDescent="0.3">
      <c r="A349" s="93" t="s">
        <v>533</v>
      </c>
      <c r="B349" s="93" t="s">
        <v>96</v>
      </c>
      <c r="C349" s="93" t="s">
        <v>94</v>
      </c>
      <c r="D349" s="93" t="s">
        <v>503</v>
      </c>
      <c r="E349" s="93" t="s">
        <v>508</v>
      </c>
      <c r="F349" s="106">
        <v>206322</v>
      </c>
      <c r="G349" s="8" t="s">
        <v>505</v>
      </c>
    </row>
    <row r="350" spans="1:7" ht="15" customHeight="1" x14ac:dyDescent="0.3">
      <c r="A350" s="93" t="s">
        <v>533</v>
      </c>
      <c r="B350" s="93" t="s">
        <v>96</v>
      </c>
      <c r="C350" s="93" t="s">
        <v>94</v>
      </c>
      <c r="D350" s="93" t="s">
        <v>503</v>
      </c>
      <c r="E350" s="93" t="s">
        <v>509</v>
      </c>
      <c r="F350" s="106">
        <v>229909</v>
      </c>
      <c r="G350" s="8" t="s">
        <v>505</v>
      </c>
    </row>
    <row r="351" spans="1:7" ht="15" customHeight="1" x14ac:dyDescent="0.3">
      <c r="A351" s="93" t="s">
        <v>533</v>
      </c>
      <c r="B351" s="93" t="s">
        <v>96</v>
      </c>
      <c r="C351" s="93" t="s">
        <v>94</v>
      </c>
      <c r="D351" s="93" t="s">
        <v>503</v>
      </c>
      <c r="E351" s="93" t="s">
        <v>510</v>
      </c>
      <c r="F351" s="106">
        <v>310425</v>
      </c>
      <c r="G351" s="8" t="s">
        <v>505</v>
      </c>
    </row>
    <row r="352" spans="1:7" ht="15" customHeight="1" x14ac:dyDescent="0.3">
      <c r="A352" s="93" t="s">
        <v>533</v>
      </c>
      <c r="B352" s="93" t="s">
        <v>96</v>
      </c>
      <c r="C352" s="93" t="s">
        <v>94</v>
      </c>
      <c r="D352" s="93" t="s">
        <v>503</v>
      </c>
      <c r="E352" s="93" t="s">
        <v>511</v>
      </c>
      <c r="F352" s="106">
        <v>345901</v>
      </c>
      <c r="G352" s="8" t="s">
        <v>505</v>
      </c>
    </row>
    <row r="353" spans="1:7" ht="15" customHeight="1" x14ac:dyDescent="0.3">
      <c r="A353" s="93" t="s">
        <v>533</v>
      </c>
      <c r="B353" s="93" t="s">
        <v>96</v>
      </c>
      <c r="C353" s="93" t="s">
        <v>94</v>
      </c>
      <c r="D353" s="93" t="s">
        <v>503</v>
      </c>
      <c r="E353" s="93" t="s">
        <v>512</v>
      </c>
      <c r="F353" s="106">
        <v>346526</v>
      </c>
      <c r="G353" s="8" t="s">
        <v>505</v>
      </c>
    </row>
    <row r="354" spans="1:7" ht="15" customHeight="1" x14ac:dyDescent="0.3">
      <c r="A354" s="93" t="s">
        <v>534</v>
      </c>
      <c r="B354" s="93" t="s">
        <v>93</v>
      </c>
      <c r="C354" s="93" t="s">
        <v>94</v>
      </c>
      <c r="D354" s="93" t="s">
        <v>503</v>
      </c>
      <c r="E354" s="93" t="s">
        <v>504</v>
      </c>
      <c r="F354" s="106">
        <v>119432</v>
      </c>
      <c r="G354" s="8" t="s">
        <v>505</v>
      </c>
    </row>
    <row r="355" spans="1:7" ht="15" customHeight="1" x14ac:dyDescent="0.3">
      <c r="A355" s="93" t="s">
        <v>534</v>
      </c>
      <c r="B355" s="93" t="s">
        <v>93</v>
      </c>
      <c r="C355" s="93" t="s">
        <v>94</v>
      </c>
      <c r="D355" s="93" t="s">
        <v>503</v>
      </c>
      <c r="E355" s="93" t="s">
        <v>506</v>
      </c>
      <c r="F355" s="106">
        <v>146677</v>
      </c>
      <c r="G355" s="8" t="s">
        <v>505</v>
      </c>
    </row>
    <row r="356" spans="1:7" ht="15" customHeight="1" x14ac:dyDescent="0.3">
      <c r="A356" s="93" t="s">
        <v>534</v>
      </c>
      <c r="B356" s="93" t="s">
        <v>93</v>
      </c>
      <c r="C356" s="93" t="s">
        <v>94</v>
      </c>
      <c r="D356" s="93" t="s">
        <v>503</v>
      </c>
      <c r="E356" s="93" t="s">
        <v>507</v>
      </c>
      <c r="F356" s="106">
        <v>165192</v>
      </c>
      <c r="G356" s="8" t="s">
        <v>505</v>
      </c>
    </row>
    <row r="357" spans="1:7" ht="15" customHeight="1" x14ac:dyDescent="0.3">
      <c r="A357" s="93" t="s">
        <v>534</v>
      </c>
      <c r="B357" s="93" t="s">
        <v>93</v>
      </c>
      <c r="C357" s="93" t="s">
        <v>94</v>
      </c>
      <c r="D357" s="93" t="s">
        <v>503</v>
      </c>
      <c r="E357" s="93" t="s">
        <v>508</v>
      </c>
      <c r="F357" s="106">
        <v>177677</v>
      </c>
      <c r="G357" s="8" t="s">
        <v>505</v>
      </c>
    </row>
    <row r="358" spans="1:7" ht="15" customHeight="1" x14ac:dyDescent="0.3">
      <c r="A358" s="93" t="s">
        <v>534</v>
      </c>
      <c r="B358" s="93" t="s">
        <v>93</v>
      </c>
      <c r="C358" s="93" t="s">
        <v>94</v>
      </c>
      <c r="D358" s="93" t="s">
        <v>503</v>
      </c>
      <c r="E358" s="93" t="s">
        <v>509</v>
      </c>
      <c r="F358" s="106">
        <v>197966</v>
      </c>
      <c r="G358" s="8" t="s">
        <v>505</v>
      </c>
    </row>
    <row r="359" spans="1:7" ht="15" customHeight="1" x14ac:dyDescent="0.3">
      <c r="A359" s="93" t="s">
        <v>534</v>
      </c>
      <c r="B359" s="93" t="s">
        <v>93</v>
      </c>
      <c r="C359" s="93" t="s">
        <v>94</v>
      </c>
      <c r="D359" s="93" t="s">
        <v>503</v>
      </c>
      <c r="E359" s="93" t="s">
        <v>510</v>
      </c>
      <c r="F359" s="106">
        <v>267320</v>
      </c>
      <c r="G359" s="8" t="s">
        <v>505</v>
      </c>
    </row>
    <row r="360" spans="1:7" ht="15" customHeight="1" x14ac:dyDescent="0.3">
      <c r="A360" s="93" t="s">
        <v>534</v>
      </c>
      <c r="B360" s="93" t="s">
        <v>93</v>
      </c>
      <c r="C360" s="93" t="s">
        <v>94</v>
      </c>
      <c r="D360" s="93" t="s">
        <v>503</v>
      </c>
      <c r="E360" s="93" t="s">
        <v>511</v>
      </c>
      <c r="F360" s="106">
        <v>297784</v>
      </c>
      <c r="G360" s="8" t="s">
        <v>505</v>
      </c>
    </row>
    <row r="361" spans="1:7" ht="15" customHeight="1" x14ac:dyDescent="0.3">
      <c r="A361" s="93" t="s">
        <v>534</v>
      </c>
      <c r="B361" s="93" t="s">
        <v>93</v>
      </c>
      <c r="C361" s="93" t="s">
        <v>94</v>
      </c>
      <c r="D361" s="93" t="s">
        <v>503</v>
      </c>
      <c r="E361" s="93" t="s">
        <v>512</v>
      </c>
      <c r="F361" s="106">
        <v>298320</v>
      </c>
      <c r="G361" s="8" t="s">
        <v>505</v>
      </c>
    </row>
    <row r="362" spans="1:7" ht="15" customHeight="1" x14ac:dyDescent="0.3">
      <c r="A362" s="93" t="s">
        <v>534</v>
      </c>
      <c r="B362" s="93" t="s">
        <v>96</v>
      </c>
      <c r="C362" s="93" t="s">
        <v>94</v>
      </c>
      <c r="D362" s="93" t="s">
        <v>503</v>
      </c>
      <c r="E362" s="93" t="s">
        <v>504</v>
      </c>
      <c r="F362" s="106">
        <v>158348</v>
      </c>
      <c r="G362" s="8" t="s">
        <v>505</v>
      </c>
    </row>
    <row r="363" spans="1:7" ht="15" customHeight="1" x14ac:dyDescent="0.3">
      <c r="A363" s="93" t="s">
        <v>534</v>
      </c>
      <c r="B363" s="93" t="s">
        <v>96</v>
      </c>
      <c r="C363" s="93" t="s">
        <v>94</v>
      </c>
      <c r="D363" s="93" t="s">
        <v>503</v>
      </c>
      <c r="E363" s="93" t="s">
        <v>506</v>
      </c>
      <c r="F363" s="106">
        <v>170405</v>
      </c>
      <c r="G363" s="8" t="s">
        <v>505</v>
      </c>
    </row>
    <row r="364" spans="1:7" ht="15" customHeight="1" x14ac:dyDescent="0.3">
      <c r="A364" s="93" t="s">
        <v>534</v>
      </c>
      <c r="B364" s="93" t="s">
        <v>96</v>
      </c>
      <c r="C364" s="93" t="s">
        <v>94</v>
      </c>
      <c r="D364" s="93" t="s">
        <v>503</v>
      </c>
      <c r="E364" s="93" t="s">
        <v>507</v>
      </c>
      <c r="F364" s="106">
        <v>176745</v>
      </c>
      <c r="G364" s="8" t="s">
        <v>505</v>
      </c>
    </row>
    <row r="365" spans="1:7" ht="15" customHeight="1" x14ac:dyDescent="0.3">
      <c r="A365" s="93" t="s">
        <v>534</v>
      </c>
      <c r="B365" s="93" t="s">
        <v>96</v>
      </c>
      <c r="C365" s="93" t="s">
        <v>94</v>
      </c>
      <c r="D365" s="93" t="s">
        <v>503</v>
      </c>
      <c r="E365" s="93" t="s">
        <v>508</v>
      </c>
      <c r="F365" s="106">
        <v>206322</v>
      </c>
      <c r="G365" s="8" t="s">
        <v>505</v>
      </c>
    </row>
    <row r="366" spans="1:7" ht="15" customHeight="1" x14ac:dyDescent="0.3">
      <c r="A366" s="93" t="s">
        <v>534</v>
      </c>
      <c r="B366" s="93" t="s">
        <v>96</v>
      </c>
      <c r="C366" s="93" t="s">
        <v>94</v>
      </c>
      <c r="D366" s="93" t="s">
        <v>503</v>
      </c>
      <c r="E366" s="93" t="s">
        <v>509</v>
      </c>
      <c r="F366" s="106">
        <v>229909</v>
      </c>
      <c r="G366" s="8" t="s">
        <v>505</v>
      </c>
    </row>
    <row r="367" spans="1:7" ht="15" customHeight="1" x14ac:dyDescent="0.3">
      <c r="A367" s="93" t="s">
        <v>534</v>
      </c>
      <c r="B367" s="93" t="s">
        <v>96</v>
      </c>
      <c r="C367" s="93" t="s">
        <v>94</v>
      </c>
      <c r="D367" s="93" t="s">
        <v>503</v>
      </c>
      <c r="E367" s="93" t="s">
        <v>510</v>
      </c>
      <c r="F367" s="106">
        <v>310425</v>
      </c>
      <c r="G367" s="8" t="s">
        <v>505</v>
      </c>
    </row>
    <row r="368" spans="1:7" ht="15" customHeight="1" x14ac:dyDescent="0.3">
      <c r="A368" s="93" t="s">
        <v>534</v>
      </c>
      <c r="B368" s="93" t="s">
        <v>96</v>
      </c>
      <c r="C368" s="93" t="s">
        <v>94</v>
      </c>
      <c r="D368" s="93" t="s">
        <v>503</v>
      </c>
      <c r="E368" s="93" t="s">
        <v>511</v>
      </c>
      <c r="F368" s="106">
        <v>345901</v>
      </c>
      <c r="G368" s="8" t="s">
        <v>505</v>
      </c>
    </row>
    <row r="369" spans="1:7" ht="15" customHeight="1" x14ac:dyDescent="0.3">
      <c r="A369" s="93" t="s">
        <v>534</v>
      </c>
      <c r="B369" s="93" t="s">
        <v>96</v>
      </c>
      <c r="C369" s="93" t="s">
        <v>94</v>
      </c>
      <c r="D369" s="93" t="s">
        <v>503</v>
      </c>
      <c r="E369" s="93" t="s">
        <v>512</v>
      </c>
      <c r="F369" s="106">
        <v>346526</v>
      </c>
      <c r="G369" s="8" t="s">
        <v>505</v>
      </c>
    </row>
    <row r="370" spans="1:7" ht="15" customHeight="1" x14ac:dyDescent="0.3">
      <c r="A370" s="93" t="s">
        <v>535</v>
      </c>
      <c r="B370" s="93" t="s">
        <v>93</v>
      </c>
      <c r="C370" s="93" t="s">
        <v>94</v>
      </c>
      <c r="D370" s="93" t="s">
        <v>503</v>
      </c>
      <c r="E370" s="93" t="s">
        <v>504</v>
      </c>
      <c r="F370" s="106">
        <v>119432</v>
      </c>
      <c r="G370" s="8" t="s">
        <v>505</v>
      </c>
    </row>
    <row r="371" spans="1:7" ht="15" customHeight="1" x14ac:dyDescent="0.3">
      <c r="A371" s="93" t="s">
        <v>535</v>
      </c>
      <c r="B371" s="93" t="s">
        <v>93</v>
      </c>
      <c r="C371" s="93" t="s">
        <v>94</v>
      </c>
      <c r="D371" s="93" t="s">
        <v>503</v>
      </c>
      <c r="E371" s="93" t="s">
        <v>506</v>
      </c>
      <c r="F371" s="106">
        <v>146677</v>
      </c>
      <c r="G371" s="8" t="s">
        <v>505</v>
      </c>
    </row>
    <row r="372" spans="1:7" ht="15" customHeight="1" x14ac:dyDescent="0.3">
      <c r="A372" s="93" t="s">
        <v>535</v>
      </c>
      <c r="B372" s="93" t="s">
        <v>93</v>
      </c>
      <c r="C372" s="93" t="s">
        <v>94</v>
      </c>
      <c r="D372" s="93" t="s">
        <v>503</v>
      </c>
      <c r="E372" s="93" t="s">
        <v>507</v>
      </c>
      <c r="F372" s="106">
        <v>165192</v>
      </c>
      <c r="G372" s="8" t="s">
        <v>505</v>
      </c>
    </row>
    <row r="373" spans="1:7" ht="15" customHeight="1" x14ac:dyDescent="0.3">
      <c r="A373" s="93" t="s">
        <v>535</v>
      </c>
      <c r="B373" s="93" t="s">
        <v>93</v>
      </c>
      <c r="C373" s="93" t="s">
        <v>94</v>
      </c>
      <c r="D373" s="93" t="s">
        <v>503</v>
      </c>
      <c r="E373" s="93" t="s">
        <v>508</v>
      </c>
      <c r="F373" s="106">
        <v>177677</v>
      </c>
      <c r="G373" s="8" t="s">
        <v>505</v>
      </c>
    </row>
    <row r="374" spans="1:7" ht="15" customHeight="1" x14ac:dyDescent="0.3">
      <c r="A374" s="93" t="s">
        <v>535</v>
      </c>
      <c r="B374" s="93" t="s">
        <v>93</v>
      </c>
      <c r="C374" s="93" t="s">
        <v>94</v>
      </c>
      <c r="D374" s="93" t="s">
        <v>503</v>
      </c>
      <c r="E374" s="93" t="s">
        <v>509</v>
      </c>
      <c r="F374" s="106">
        <v>197966</v>
      </c>
      <c r="G374" s="8" t="s">
        <v>505</v>
      </c>
    </row>
    <row r="375" spans="1:7" ht="15" customHeight="1" x14ac:dyDescent="0.3">
      <c r="A375" s="93" t="s">
        <v>535</v>
      </c>
      <c r="B375" s="93" t="s">
        <v>93</v>
      </c>
      <c r="C375" s="93" t="s">
        <v>94</v>
      </c>
      <c r="D375" s="93" t="s">
        <v>503</v>
      </c>
      <c r="E375" s="93" t="s">
        <v>510</v>
      </c>
      <c r="F375" s="106">
        <v>267320</v>
      </c>
      <c r="G375" s="8" t="s">
        <v>505</v>
      </c>
    </row>
    <row r="376" spans="1:7" ht="15" customHeight="1" x14ac:dyDescent="0.3">
      <c r="A376" s="93" t="s">
        <v>535</v>
      </c>
      <c r="B376" s="93" t="s">
        <v>93</v>
      </c>
      <c r="C376" s="93" t="s">
        <v>94</v>
      </c>
      <c r="D376" s="93" t="s">
        <v>503</v>
      </c>
      <c r="E376" s="93" t="s">
        <v>511</v>
      </c>
      <c r="F376" s="106">
        <v>297784</v>
      </c>
      <c r="G376" s="8" t="s">
        <v>505</v>
      </c>
    </row>
    <row r="377" spans="1:7" ht="15" customHeight="1" x14ac:dyDescent="0.3">
      <c r="A377" s="93" t="s">
        <v>535</v>
      </c>
      <c r="B377" s="93" t="s">
        <v>93</v>
      </c>
      <c r="C377" s="93" t="s">
        <v>94</v>
      </c>
      <c r="D377" s="93" t="s">
        <v>503</v>
      </c>
      <c r="E377" s="93" t="s">
        <v>512</v>
      </c>
      <c r="F377" s="106">
        <v>298320</v>
      </c>
      <c r="G377" s="8" t="s">
        <v>505</v>
      </c>
    </row>
    <row r="378" spans="1:7" ht="15" customHeight="1" x14ac:dyDescent="0.3">
      <c r="A378" s="93" t="s">
        <v>535</v>
      </c>
      <c r="B378" s="93" t="s">
        <v>96</v>
      </c>
      <c r="C378" s="93" t="s">
        <v>94</v>
      </c>
      <c r="D378" s="93" t="s">
        <v>503</v>
      </c>
      <c r="E378" s="93" t="s">
        <v>504</v>
      </c>
      <c r="F378" s="106">
        <v>158348</v>
      </c>
      <c r="G378" s="8" t="s">
        <v>505</v>
      </c>
    </row>
    <row r="379" spans="1:7" ht="15" customHeight="1" x14ac:dyDescent="0.3">
      <c r="A379" s="93" t="s">
        <v>535</v>
      </c>
      <c r="B379" s="93" t="s">
        <v>96</v>
      </c>
      <c r="C379" s="93" t="s">
        <v>94</v>
      </c>
      <c r="D379" s="93" t="s">
        <v>503</v>
      </c>
      <c r="E379" s="93" t="s">
        <v>506</v>
      </c>
      <c r="F379" s="106">
        <v>170405</v>
      </c>
      <c r="G379" s="8" t="s">
        <v>505</v>
      </c>
    </row>
    <row r="380" spans="1:7" ht="15" customHeight="1" x14ac:dyDescent="0.3">
      <c r="A380" s="93" t="s">
        <v>535</v>
      </c>
      <c r="B380" s="93" t="s">
        <v>96</v>
      </c>
      <c r="C380" s="93" t="s">
        <v>94</v>
      </c>
      <c r="D380" s="93" t="s">
        <v>503</v>
      </c>
      <c r="E380" s="93" t="s">
        <v>507</v>
      </c>
      <c r="F380" s="106">
        <v>176745</v>
      </c>
      <c r="G380" s="8" t="s">
        <v>505</v>
      </c>
    </row>
    <row r="381" spans="1:7" ht="15" customHeight="1" x14ac:dyDescent="0.3">
      <c r="A381" s="93" t="s">
        <v>535</v>
      </c>
      <c r="B381" s="93" t="s">
        <v>96</v>
      </c>
      <c r="C381" s="93" t="s">
        <v>94</v>
      </c>
      <c r="D381" s="93" t="s">
        <v>503</v>
      </c>
      <c r="E381" s="93" t="s">
        <v>508</v>
      </c>
      <c r="F381" s="106">
        <v>206322</v>
      </c>
      <c r="G381" s="8" t="s">
        <v>505</v>
      </c>
    </row>
    <row r="382" spans="1:7" ht="15" customHeight="1" x14ac:dyDescent="0.3">
      <c r="A382" s="93" t="s">
        <v>535</v>
      </c>
      <c r="B382" s="93" t="s">
        <v>96</v>
      </c>
      <c r="C382" s="93" t="s">
        <v>94</v>
      </c>
      <c r="D382" s="93" t="s">
        <v>503</v>
      </c>
      <c r="E382" s="93" t="s">
        <v>509</v>
      </c>
      <c r="F382" s="106">
        <v>229909</v>
      </c>
      <c r="G382" s="8" t="s">
        <v>505</v>
      </c>
    </row>
    <row r="383" spans="1:7" ht="15" customHeight="1" x14ac:dyDescent="0.3">
      <c r="A383" s="93" t="s">
        <v>535</v>
      </c>
      <c r="B383" s="93" t="s">
        <v>96</v>
      </c>
      <c r="C383" s="93" t="s">
        <v>94</v>
      </c>
      <c r="D383" s="93" t="s">
        <v>503</v>
      </c>
      <c r="E383" s="93" t="s">
        <v>510</v>
      </c>
      <c r="F383" s="106">
        <v>310425</v>
      </c>
      <c r="G383" s="8" t="s">
        <v>505</v>
      </c>
    </row>
    <row r="384" spans="1:7" ht="15" customHeight="1" x14ac:dyDescent="0.3">
      <c r="A384" s="93" t="s">
        <v>535</v>
      </c>
      <c r="B384" s="93" t="s">
        <v>96</v>
      </c>
      <c r="C384" s="93" t="s">
        <v>94</v>
      </c>
      <c r="D384" s="93" t="s">
        <v>503</v>
      </c>
      <c r="E384" s="93" t="s">
        <v>511</v>
      </c>
      <c r="F384" s="106">
        <v>345901</v>
      </c>
      <c r="G384" s="8" t="s">
        <v>505</v>
      </c>
    </row>
    <row r="385" spans="1:7" ht="15" customHeight="1" x14ac:dyDescent="0.3">
      <c r="A385" s="93" t="s">
        <v>535</v>
      </c>
      <c r="B385" s="93" t="s">
        <v>96</v>
      </c>
      <c r="C385" s="93" t="s">
        <v>94</v>
      </c>
      <c r="D385" s="93" t="s">
        <v>503</v>
      </c>
      <c r="E385" s="93" t="s">
        <v>512</v>
      </c>
      <c r="F385" s="106">
        <v>346526</v>
      </c>
      <c r="G385" s="8" t="s">
        <v>505</v>
      </c>
    </row>
    <row r="386" spans="1:7" ht="15" customHeight="1" x14ac:dyDescent="0.3">
      <c r="A386" s="93" t="s">
        <v>536</v>
      </c>
      <c r="B386" s="93" t="s">
        <v>93</v>
      </c>
      <c r="C386" s="93" t="s">
        <v>94</v>
      </c>
      <c r="D386" s="93" t="s">
        <v>503</v>
      </c>
      <c r="E386" s="93" t="s">
        <v>504</v>
      </c>
      <c r="F386" s="106">
        <v>119432</v>
      </c>
      <c r="G386" s="8" t="s">
        <v>505</v>
      </c>
    </row>
    <row r="387" spans="1:7" ht="15" customHeight="1" x14ac:dyDescent="0.3">
      <c r="A387" s="93" t="s">
        <v>536</v>
      </c>
      <c r="B387" s="93" t="s">
        <v>93</v>
      </c>
      <c r="C387" s="93" t="s">
        <v>94</v>
      </c>
      <c r="D387" s="93" t="s">
        <v>503</v>
      </c>
      <c r="E387" s="93" t="s">
        <v>506</v>
      </c>
      <c r="F387" s="106">
        <v>146677</v>
      </c>
      <c r="G387" s="8" t="s">
        <v>505</v>
      </c>
    </row>
    <row r="388" spans="1:7" ht="15" customHeight="1" x14ac:dyDescent="0.3">
      <c r="A388" s="93" t="s">
        <v>536</v>
      </c>
      <c r="B388" s="93" t="s">
        <v>93</v>
      </c>
      <c r="C388" s="93" t="s">
        <v>94</v>
      </c>
      <c r="D388" s="93" t="s">
        <v>503</v>
      </c>
      <c r="E388" s="93" t="s">
        <v>507</v>
      </c>
      <c r="F388" s="106">
        <v>165192</v>
      </c>
      <c r="G388" s="8" t="s">
        <v>505</v>
      </c>
    </row>
    <row r="389" spans="1:7" ht="15" customHeight="1" x14ac:dyDescent="0.3">
      <c r="A389" s="93" t="s">
        <v>536</v>
      </c>
      <c r="B389" s="93" t="s">
        <v>93</v>
      </c>
      <c r="C389" s="93" t="s">
        <v>94</v>
      </c>
      <c r="D389" s="93" t="s">
        <v>503</v>
      </c>
      <c r="E389" s="93" t="s">
        <v>508</v>
      </c>
      <c r="F389" s="106">
        <v>177677</v>
      </c>
      <c r="G389" s="8" t="s">
        <v>505</v>
      </c>
    </row>
    <row r="390" spans="1:7" ht="15" customHeight="1" x14ac:dyDescent="0.3">
      <c r="A390" s="93" t="s">
        <v>536</v>
      </c>
      <c r="B390" s="93" t="s">
        <v>93</v>
      </c>
      <c r="C390" s="93" t="s">
        <v>94</v>
      </c>
      <c r="D390" s="93" t="s">
        <v>503</v>
      </c>
      <c r="E390" s="93" t="s">
        <v>509</v>
      </c>
      <c r="F390" s="106">
        <v>197966</v>
      </c>
      <c r="G390" s="8" t="s">
        <v>505</v>
      </c>
    </row>
    <row r="391" spans="1:7" ht="15" customHeight="1" x14ac:dyDescent="0.3">
      <c r="A391" s="93" t="s">
        <v>536</v>
      </c>
      <c r="B391" s="93" t="s">
        <v>93</v>
      </c>
      <c r="C391" s="93" t="s">
        <v>94</v>
      </c>
      <c r="D391" s="93" t="s">
        <v>503</v>
      </c>
      <c r="E391" s="93" t="s">
        <v>510</v>
      </c>
      <c r="F391" s="106">
        <v>267320</v>
      </c>
      <c r="G391" s="8" t="s">
        <v>505</v>
      </c>
    </row>
    <row r="392" spans="1:7" ht="15" customHeight="1" x14ac:dyDescent="0.3">
      <c r="A392" s="93" t="s">
        <v>536</v>
      </c>
      <c r="B392" s="93" t="s">
        <v>93</v>
      </c>
      <c r="C392" s="93" t="s">
        <v>94</v>
      </c>
      <c r="D392" s="93" t="s">
        <v>503</v>
      </c>
      <c r="E392" s="93" t="s">
        <v>511</v>
      </c>
      <c r="F392" s="106">
        <v>297784</v>
      </c>
      <c r="G392" s="8" t="s">
        <v>505</v>
      </c>
    </row>
    <row r="393" spans="1:7" ht="15" customHeight="1" x14ac:dyDescent="0.3">
      <c r="A393" s="93" t="s">
        <v>536</v>
      </c>
      <c r="B393" s="93" t="s">
        <v>93</v>
      </c>
      <c r="C393" s="93" t="s">
        <v>94</v>
      </c>
      <c r="D393" s="93" t="s">
        <v>503</v>
      </c>
      <c r="E393" s="93" t="s">
        <v>512</v>
      </c>
      <c r="F393" s="106">
        <v>298320</v>
      </c>
      <c r="G393" s="8" t="s">
        <v>505</v>
      </c>
    </row>
    <row r="394" spans="1:7" ht="15" customHeight="1" x14ac:dyDescent="0.3">
      <c r="A394" s="93" t="s">
        <v>536</v>
      </c>
      <c r="B394" s="93" t="s">
        <v>96</v>
      </c>
      <c r="C394" s="93" t="s">
        <v>94</v>
      </c>
      <c r="D394" s="93" t="s">
        <v>503</v>
      </c>
      <c r="E394" s="93" t="s">
        <v>504</v>
      </c>
      <c r="F394" s="106">
        <v>158348</v>
      </c>
      <c r="G394" s="8" t="s">
        <v>505</v>
      </c>
    </row>
    <row r="395" spans="1:7" ht="15" customHeight="1" x14ac:dyDescent="0.3">
      <c r="A395" s="93" t="s">
        <v>536</v>
      </c>
      <c r="B395" s="93" t="s">
        <v>96</v>
      </c>
      <c r="C395" s="93" t="s">
        <v>94</v>
      </c>
      <c r="D395" s="93" t="s">
        <v>503</v>
      </c>
      <c r="E395" s="93" t="s">
        <v>506</v>
      </c>
      <c r="F395" s="106">
        <v>170405</v>
      </c>
      <c r="G395" s="8" t="s">
        <v>505</v>
      </c>
    </row>
    <row r="396" spans="1:7" ht="15" customHeight="1" x14ac:dyDescent="0.3">
      <c r="A396" s="93" t="s">
        <v>536</v>
      </c>
      <c r="B396" s="93" t="s">
        <v>96</v>
      </c>
      <c r="C396" s="93" t="s">
        <v>94</v>
      </c>
      <c r="D396" s="93" t="s">
        <v>503</v>
      </c>
      <c r="E396" s="93" t="s">
        <v>507</v>
      </c>
      <c r="F396" s="106">
        <v>176745</v>
      </c>
      <c r="G396" s="8" t="s">
        <v>505</v>
      </c>
    </row>
    <row r="397" spans="1:7" ht="15" customHeight="1" x14ac:dyDescent="0.3">
      <c r="A397" s="93" t="s">
        <v>536</v>
      </c>
      <c r="B397" s="93" t="s">
        <v>96</v>
      </c>
      <c r="C397" s="93" t="s">
        <v>94</v>
      </c>
      <c r="D397" s="93" t="s">
        <v>503</v>
      </c>
      <c r="E397" s="93" t="s">
        <v>508</v>
      </c>
      <c r="F397" s="106">
        <v>206322</v>
      </c>
      <c r="G397" s="8" t="s">
        <v>505</v>
      </c>
    </row>
    <row r="398" spans="1:7" ht="15" customHeight="1" x14ac:dyDescent="0.3">
      <c r="A398" s="93" t="s">
        <v>536</v>
      </c>
      <c r="B398" s="93" t="s">
        <v>96</v>
      </c>
      <c r="C398" s="93" t="s">
        <v>94</v>
      </c>
      <c r="D398" s="93" t="s">
        <v>503</v>
      </c>
      <c r="E398" s="93" t="s">
        <v>509</v>
      </c>
      <c r="F398" s="106">
        <v>229909</v>
      </c>
      <c r="G398" s="8" t="s">
        <v>505</v>
      </c>
    </row>
    <row r="399" spans="1:7" ht="15" customHeight="1" x14ac:dyDescent="0.3">
      <c r="A399" s="93" t="s">
        <v>536</v>
      </c>
      <c r="B399" s="93" t="s">
        <v>96</v>
      </c>
      <c r="C399" s="93" t="s">
        <v>94</v>
      </c>
      <c r="D399" s="93" t="s">
        <v>503</v>
      </c>
      <c r="E399" s="93" t="s">
        <v>510</v>
      </c>
      <c r="F399" s="106">
        <v>310425</v>
      </c>
      <c r="G399" s="8" t="s">
        <v>505</v>
      </c>
    </row>
    <row r="400" spans="1:7" ht="15" customHeight="1" x14ac:dyDescent="0.3">
      <c r="A400" s="93" t="s">
        <v>536</v>
      </c>
      <c r="B400" s="93" t="s">
        <v>96</v>
      </c>
      <c r="C400" s="93" t="s">
        <v>94</v>
      </c>
      <c r="D400" s="93" t="s">
        <v>503</v>
      </c>
      <c r="E400" s="93" t="s">
        <v>511</v>
      </c>
      <c r="F400" s="106">
        <v>345901</v>
      </c>
      <c r="G400" s="8" t="s">
        <v>505</v>
      </c>
    </row>
    <row r="401" spans="1:7" ht="15" customHeight="1" x14ac:dyDescent="0.3">
      <c r="A401" s="93" t="s">
        <v>536</v>
      </c>
      <c r="B401" s="93" t="s">
        <v>96</v>
      </c>
      <c r="C401" s="93" t="s">
        <v>94</v>
      </c>
      <c r="D401" s="93" t="s">
        <v>503</v>
      </c>
      <c r="E401" s="93" t="s">
        <v>512</v>
      </c>
      <c r="F401" s="106">
        <v>346526</v>
      </c>
      <c r="G401" s="8" t="s">
        <v>505</v>
      </c>
    </row>
    <row r="402" spans="1:7" ht="15" customHeight="1" x14ac:dyDescent="0.3">
      <c r="A402" s="93" t="s">
        <v>537</v>
      </c>
      <c r="B402" s="93" t="s">
        <v>93</v>
      </c>
      <c r="C402" s="93" t="s">
        <v>94</v>
      </c>
      <c r="D402" s="93" t="s">
        <v>503</v>
      </c>
      <c r="E402" s="93" t="s">
        <v>504</v>
      </c>
      <c r="F402" s="106">
        <v>119432</v>
      </c>
      <c r="G402" s="8" t="s">
        <v>505</v>
      </c>
    </row>
    <row r="403" spans="1:7" ht="15" customHeight="1" x14ac:dyDescent="0.3">
      <c r="A403" s="93" t="s">
        <v>537</v>
      </c>
      <c r="B403" s="93" t="s">
        <v>93</v>
      </c>
      <c r="C403" s="93" t="s">
        <v>94</v>
      </c>
      <c r="D403" s="93" t="s">
        <v>503</v>
      </c>
      <c r="E403" s="93" t="s">
        <v>506</v>
      </c>
      <c r="F403" s="106">
        <v>146677</v>
      </c>
      <c r="G403" s="8" t="s">
        <v>505</v>
      </c>
    </row>
    <row r="404" spans="1:7" ht="15" customHeight="1" x14ac:dyDescent="0.3">
      <c r="A404" s="93" t="s">
        <v>537</v>
      </c>
      <c r="B404" s="93" t="s">
        <v>93</v>
      </c>
      <c r="C404" s="93" t="s">
        <v>94</v>
      </c>
      <c r="D404" s="93" t="s">
        <v>503</v>
      </c>
      <c r="E404" s="93" t="s">
        <v>507</v>
      </c>
      <c r="F404" s="106">
        <v>165192</v>
      </c>
      <c r="G404" s="8" t="s">
        <v>505</v>
      </c>
    </row>
    <row r="405" spans="1:7" ht="15" customHeight="1" x14ac:dyDescent="0.3">
      <c r="A405" s="93" t="s">
        <v>537</v>
      </c>
      <c r="B405" s="93" t="s">
        <v>93</v>
      </c>
      <c r="C405" s="93" t="s">
        <v>94</v>
      </c>
      <c r="D405" s="93" t="s">
        <v>503</v>
      </c>
      <c r="E405" s="93" t="s">
        <v>508</v>
      </c>
      <c r="F405" s="106">
        <v>177677</v>
      </c>
      <c r="G405" s="8" t="s">
        <v>505</v>
      </c>
    </row>
    <row r="406" spans="1:7" ht="15" customHeight="1" x14ac:dyDescent="0.3">
      <c r="A406" s="93" t="s">
        <v>537</v>
      </c>
      <c r="B406" s="93" t="s">
        <v>93</v>
      </c>
      <c r="C406" s="93" t="s">
        <v>94</v>
      </c>
      <c r="D406" s="93" t="s">
        <v>503</v>
      </c>
      <c r="E406" s="93" t="s">
        <v>509</v>
      </c>
      <c r="F406" s="106">
        <v>197966</v>
      </c>
      <c r="G406" s="8" t="s">
        <v>505</v>
      </c>
    </row>
    <row r="407" spans="1:7" ht="15" customHeight="1" x14ac:dyDescent="0.3">
      <c r="A407" s="93" t="s">
        <v>537</v>
      </c>
      <c r="B407" s="93" t="s">
        <v>93</v>
      </c>
      <c r="C407" s="93" t="s">
        <v>94</v>
      </c>
      <c r="D407" s="93" t="s">
        <v>503</v>
      </c>
      <c r="E407" s="93" t="s">
        <v>510</v>
      </c>
      <c r="F407" s="106">
        <v>267320</v>
      </c>
      <c r="G407" s="8" t="s">
        <v>505</v>
      </c>
    </row>
    <row r="408" spans="1:7" ht="15" customHeight="1" x14ac:dyDescent="0.3">
      <c r="A408" s="93" t="s">
        <v>537</v>
      </c>
      <c r="B408" s="93" t="s">
        <v>93</v>
      </c>
      <c r="C408" s="93" t="s">
        <v>94</v>
      </c>
      <c r="D408" s="93" t="s">
        <v>503</v>
      </c>
      <c r="E408" s="93" t="s">
        <v>511</v>
      </c>
      <c r="F408" s="106">
        <v>297784</v>
      </c>
      <c r="G408" s="8" t="s">
        <v>505</v>
      </c>
    </row>
    <row r="409" spans="1:7" ht="15" customHeight="1" x14ac:dyDescent="0.3">
      <c r="A409" s="93" t="s">
        <v>537</v>
      </c>
      <c r="B409" s="93" t="s">
        <v>93</v>
      </c>
      <c r="C409" s="93" t="s">
        <v>94</v>
      </c>
      <c r="D409" s="93" t="s">
        <v>503</v>
      </c>
      <c r="E409" s="93" t="s">
        <v>512</v>
      </c>
      <c r="F409" s="106">
        <v>298320</v>
      </c>
      <c r="G409" s="8" t="s">
        <v>505</v>
      </c>
    </row>
    <row r="410" spans="1:7" ht="15" customHeight="1" x14ac:dyDescent="0.3">
      <c r="A410" s="93" t="s">
        <v>537</v>
      </c>
      <c r="B410" s="93" t="s">
        <v>96</v>
      </c>
      <c r="C410" s="93" t="s">
        <v>94</v>
      </c>
      <c r="D410" s="93" t="s">
        <v>503</v>
      </c>
      <c r="E410" s="93" t="s">
        <v>504</v>
      </c>
      <c r="F410" s="106">
        <v>158348</v>
      </c>
      <c r="G410" s="8" t="s">
        <v>505</v>
      </c>
    </row>
    <row r="411" spans="1:7" ht="15" customHeight="1" x14ac:dyDescent="0.3">
      <c r="A411" s="93" t="s">
        <v>537</v>
      </c>
      <c r="B411" s="93" t="s">
        <v>96</v>
      </c>
      <c r="C411" s="93" t="s">
        <v>94</v>
      </c>
      <c r="D411" s="93" t="s">
        <v>503</v>
      </c>
      <c r="E411" s="93" t="s">
        <v>506</v>
      </c>
      <c r="F411" s="106">
        <v>170405</v>
      </c>
      <c r="G411" s="8" t="s">
        <v>505</v>
      </c>
    </row>
    <row r="412" spans="1:7" ht="15" customHeight="1" x14ac:dyDescent="0.3">
      <c r="A412" s="93" t="s">
        <v>537</v>
      </c>
      <c r="B412" s="93" t="s">
        <v>96</v>
      </c>
      <c r="C412" s="93" t="s">
        <v>94</v>
      </c>
      <c r="D412" s="93" t="s">
        <v>503</v>
      </c>
      <c r="E412" s="93" t="s">
        <v>507</v>
      </c>
      <c r="F412" s="106">
        <v>176745</v>
      </c>
      <c r="G412" s="8" t="s">
        <v>505</v>
      </c>
    </row>
    <row r="413" spans="1:7" ht="15" customHeight="1" x14ac:dyDescent="0.3">
      <c r="A413" s="93" t="s">
        <v>537</v>
      </c>
      <c r="B413" s="93" t="s">
        <v>96</v>
      </c>
      <c r="C413" s="93" t="s">
        <v>94</v>
      </c>
      <c r="D413" s="93" t="s">
        <v>503</v>
      </c>
      <c r="E413" s="93" t="s">
        <v>508</v>
      </c>
      <c r="F413" s="106">
        <v>206322</v>
      </c>
      <c r="G413" s="8" t="s">
        <v>505</v>
      </c>
    </row>
    <row r="414" spans="1:7" ht="15" customHeight="1" x14ac:dyDescent="0.3">
      <c r="A414" s="93" t="s">
        <v>537</v>
      </c>
      <c r="B414" s="93" t="s">
        <v>96</v>
      </c>
      <c r="C414" s="93" t="s">
        <v>94</v>
      </c>
      <c r="D414" s="93" t="s">
        <v>503</v>
      </c>
      <c r="E414" s="93" t="s">
        <v>509</v>
      </c>
      <c r="F414" s="106">
        <v>229909</v>
      </c>
      <c r="G414" s="8" t="s">
        <v>505</v>
      </c>
    </row>
    <row r="415" spans="1:7" ht="15" customHeight="1" x14ac:dyDescent="0.3">
      <c r="A415" s="93" t="s">
        <v>537</v>
      </c>
      <c r="B415" s="93" t="s">
        <v>96</v>
      </c>
      <c r="C415" s="93" t="s">
        <v>94</v>
      </c>
      <c r="D415" s="93" t="s">
        <v>503</v>
      </c>
      <c r="E415" s="93" t="s">
        <v>510</v>
      </c>
      <c r="F415" s="106">
        <v>310425</v>
      </c>
      <c r="G415" s="8" t="s">
        <v>505</v>
      </c>
    </row>
    <row r="416" spans="1:7" ht="15" customHeight="1" x14ac:dyDescent="0.3">
      <c r="A416" s="93" t="s">
        <v>537</v>
      </c>
      <c r="B416" s="93" t="s">
        <v>96</v>
      </c>
      <c r="C416" s="93" t="s">
        <v>94</v>
      </c>
      <c r="D416" s="93" t="s">
        <v>503</v>
      </c>
      <c r="E416" s="93" t="s">
        <v>511</v>
      </c>
      <c r="F416" s="106">
        <v>345901</v>
      </c>
      <c r="G416" s="8" t="s">
        <v>505</v>
      </c>
    </row>
    <row r="417" spans="1:7" ht="15" customHeight="1" x14ac:dyDescent="0.3">
      <c r="A417" s="93" t="s">
        <v>537</v>
      </c>
      <c r="B417" s="93" t="s">
        <v>96</v>
      </c>
      <c r="C417" s="93" t="s">
        <v>94</v>
      </c>
      <c r="D417" s="93" t="s">
        <v>503</v>
      </c>
      <c r="E417" s="93" t="s">
        <v>512</v>
      </c>
      <c r="F417" s="106">
        <v>346526</v>
      </c>
      <c r="G417" s="8" t="s">
        <v>505</v>
      </c>
    </row>
    <row r="418" spans="1:7" ht="15" customHeight="1" x14ac:dyDescent="0.3">
      <c r="A418" s="93" t="s">
        <v>538</v>
      </c>
      <c r="B418" s="93" t="s">
        <v>93</v>
      </c>
      <c r="C418" s="93" t="s">
        <v>94</v>
      </c>
      <c r="D418" s="93" t="s">
        <v>503</v>
      </c>
      <c r="E418" s="93" t="s">
        <v>504</v>
      </c>
      <c r="F418" s="106">
        <v>119432</v>
      </c>
      <c r="G418" s="8" t="s">
        <v>505</v>
      </c>
    </row>
    <row r="419" spans="1:7" ht="15" customHeight="1" x14ac:dyDescent="0.3">
      <c r="A419" s="93" t="s">
        <v>538</v>
      </c>
      <c r="B419" s="93" t="s">
        <v>93</v>
      </c>
      <c r="C419" s="93" t="s">
        <v>94</v>
      </c>
      <c r="D419" s="93" t="s">
        <v>503</v>
      </c>
      <c r="E419" s="93" t="s">
        <v>506</v>
      </c>
      <c r="F419" s="106">
        <v>146677</v>
      </c>
      <c r="G419" s="8" t="s">
        <v>505</v>
      </c>
    </row>
    <row r="420" spans="1:7" ht="15" customHeight="1" x14ac:dyDescent="0.3">
      <c r="A420" s="93" t="s">
        <v>538</v>
      </c>
      <c r="B420" s="93" t="s">
        <v>93</v>
      </c>
      <c r="C420" s="93" t="s">
        <v>94</v>
      </c>
      <c r="D420" s="93" t="s">
        <v>503</v>
      </c>
      <c r="E420" s="93" t="s">
        <v>507</v>
      </c>
      <c r="F420" s="106">
        <v>165192</v>
      </c>
      <c r="G420" s="8" t="s">
        <v>505</v>
      </c>
    </row>
    <row r="421" spans="1:7" ht="15" customHeight="1" x14ac:dyDescent="0.3">
      <c r="A421" s="93" t="s">
        <v>538</v>
      </c>
      <c r="B421" s="93" t="s">
        <v>93</v>
      </c>
      <c r="C421" s="93" t="s">
        <v>94</v>
      </c>
      <c r="D421" s="93" t="s">
        <v>503</v>
      </c>
      <c r="E421" s="93" t="s">
        <v>508</v>
      </c>
      <c r="F421" s="106">
        <v>177677</v>
      </c>
      <c r="G421" s="8" t="s">
        <v>505</v>
      </c>
    </row>
    <row r="422" spans="1:7" ht="15" customHeight="1" x14ac:dyDescent="0.3">
      <c r="A422" s="93" t="s">
        <v>538</v>
      </c>
      <c r="B422" s="93" t="s">
        <v>93</v>
      </c>
      <c r="C422" s="93" t="s">
        <v>94</v>
      </c>
      <c r="D422" s="93" t="s">
        <v>503</v>
      </c>
      <c r="E422" s="93" t="s">
        <v>509</v>
      </c>
      <c r="F422" s="106">
        <v>197966</v>
      </c>
      <c r="G422" s="8" t="s">
        <v>505</v>
      </c>
    </row>
    <row r="423" spans="1:7" ht="15" customHeight="1" x14ac:dyDescent="0.3">
      <c r="A423" s="93" t="s">
        <v>538</v>
      </c>
      <c r="B423" s="93" t="s">
        <v>93</v>
      </c>
      <c r="C423" s="93" t="s">
        <v>94</v>
      </c>
      <c r="D423" s="93" t="s">
        <v>503</v>
      </c>
      <c r="E423" s="93" t="s">
        <v>510</v>
      </c>
      <c r="F423" s="106">
        <v>267320</v>
      </c>
      <c r="G423" s="8" t="s">
        <v>505</v>
      </c>
    </row>
    <row r="424" spans="1:7" ht="15" customHeight="1" x14ac:dyDescent="0.3">
      <c r="A424" s="93" t="s">
        <v>538</v>
      </c>
      <c r="B424" s="93" t="s">
        <v>93</v>
      </c>
      <c r="C424" s="93" t="s">
        <v>94</v>
      </c>
      <c r="D424" s="93" t="s">
        <v>503</v>
      </c>
      <c r="E424" s="93" t="s">
        <v>511</v>
      </c>
      <c r="F424" s="106">
        <v>297784</v>
      </c>
      <c r="G424" s="8" t="s">
        <v>505</v>
      </c>
    </row>
    <row r="425" spans="1:7" ht="15" customHeight="1" x14ac:dyDescent="0.3">
      <c r="A425" s="93" t="s">
        <v>538</v>
      </c>
      <c r="B425" s="93" t="s">
        <v>93</v>
      </c>
      <c r="C425" s="93" t="s">
        <v>94</v>
      </c>
      <c r="D425" s="93" t="s">
        <v>503</v>
      </c>
      <c r="E425" s="93" t="s">
        <v>512</v>
      </c>
      <c r="F425" s="106">
        <v>298320</v>
      </c>
      <c r="G425" s="8" t="s">
        <v>505</v>
      </c>
    </row>
    <row r="426" spans="1:7" ht="15" customHeight="1" x14ac:dyDescent="0.3">
      <c r="A426" s="93" t="s">
        <v>538</v>
      </c>
      <c r="B426" s="93" t="s">
        <v>96</v>
      </c>
      <c r="C426" s="93" t="s">
        <v>94</v>
      </c>
      <c r="D426" s="93" t="s">
        <v>503</v>
      </c>
      <c r="E426" s="93" t="s">
        <v>504</v>
      </c>
      <c r="F426" s="106">
        <v>158348</v>
      </c>
      <c r="G426" s="8" t="s">
        <v>505</v>
      </c>
    </row>
    <row r="427" spans="1:7" ht="15" customHeight="1" x14ac:dyDescent="0.3">
      <c r="A427" s="93" t="s">
        <v>538</v>
      </c>
      <c r="B427" s="93" t="s">
        <v>96</v>
      </c>
      <c r="C427" s="93" t="s">
        <v>94</v>
      </c>
      <c r="D427" s="93" t="s">
        <v>503</v>
      </c>
      <c r="E427" s="93" t="s">
        <v>506</v>
      </c>
      <c r="F427" s="106">
        <v>170405</v>
      </c>
      <c r="G427" s="8" t="s">
        <v>505</v>
      </c>
    </row>
    <row r="428" spans="1:7" ht="15" customHeight="1" x14ac:dyDescent="0.3">
      <c r="A428" s="93" t="s">
        <v>538</v>
      </c>
      <c r="B428" s="93" t="s">
        <v>96</v>
      </c>
      <c r="C428" s="93" t="s">
        <v>94</v>
      </c>
      <c r="D428" s="93" t="s">
        <v>503</v>
      </c>
      <c r="E428" s="93" t="s">
        <v>507</v>
      </c>
      <c r="F428" s="106">
        <v>176745</v>
      </c>
      <c r="G428" s="8" t="s">
        <v>505</v>
      </c>
    </row>
    <row r="429" spans="1:7" ht="15" customHeight="1" x14ac:dyDescent="0.3">
      <c r="A429" s="93" t="s">
        <v>538</v>
      </c>
      <c r="B429" s="93" t="s">
        <v>96</v>
      </c>
      <c r="C429" s="93" t="s">
        <v>94</v>
      </c>
      <c r="D429" s="93" t="s">
        <v>503</v>
      </c>
      <c r="E429" s="93" t="s">
        <v>508</v>
      </c>
      <c r="F429" s="106">
        <v>206322</v>
      </c>
      <c r="G429" s="8" t="s">
        <v>505</v>
      </c>
    </row>
    <row r="430" spans="1:7" ht="15" customHeight="1" x14ac:dyDescent="0.3">
      <c r="A430" s="93" t="s">
        <v>538</v>
      </c>
      <c r="B430" s="93" t="s">
        <v>96</v>
      </c>
      <c r="C430" s="93" t="s">
        <v>94</v>
      </c>
      <c r="D430" s="93" t="s">
        <v>503</v>
      </c>
      <c r="E430" s="93" t="s">
        <v>509</v>
      </c>
      <c r="F430" s="106">
        <v>229909</v>
      </c>
      <c r="G430" s="8" t="s">
        <v>505</v>
      </c>
    </row>
    <row r="431" spans="1:7" ht="15" customHeight="1" x14ac:dyDescent="0.3">
      <c r="A431" s="93" t="s">
        <v>538</v>
      </c>
      <c r="B431" s="93" t="s">
        <v>96</v>
      </c>
      <c r="C431" s="93" t="s">
        <v>94</v>
      </c>
      <c r="D431" s="93" t="s">
        <v>503</v>
      </c>
      <c r="E431" s="93" t="s">
        <v>510</v>
      </c>
      <c r="F431" s="106">
        <v>310425</v>
      </c>
      <c r="G431" s="8" t="s">
        <v>505</v>
      </c>
    </row>
    <row r="432" spans="1:7" ht="15" customHeight="1" x14ac:dyDescent="0.3">
      <c r="A432" s="93" t="s">
        <v>538</v>
      </c>
      <c r="B432" s="93" t="s">
        <v>96</v>
      </c>
      <c r="C432" s="93" t="s">
        <v>94</v>
      </c>
      <c r="D432" s="93" t="s">
        <v>503</v>
      </c>
      <c r="E432" s="93" t="s">
        <v>511</v>
      </c>
      <c r="F432" s="106">
        <v>345901</v>
      </c>
      <c r="G432" s="8" t="s">
        <v>505</v>
      </c>
    </row>
    <row r="433" spans="1:7" ht="15" customHeight="1" x14ac:dyDescent="0.3">
      <c r="A433" s="93" t="s">
        <v>538</v>
      </c>
      <c r="B433" s="93" t="s">
        <v>96</v>
      </c>
      <c r="C433" s="93" t="s">
        <v>94</v>
      </c>
      <c r="D433" s="93" t="s">
        <v>503</v>
      </c>
      <c r="E433" s="93" t="s">
        <v>512</v>
      </c>
      <c r="F433" s="106">
        <v>346526</v>
      </c>
      <c r="G433" s="8" t="s">
        <v>505</v>
      </c>
    </row>
    <row r="434" spans="1:7" ht="15" customHeight="1" x14ac:dyDescent="0.3">
      <c r="A434" s="93" t="s">
        <v>539</v>
      </c>
      <c r="B434" s="93" t="s">
        <v>93</v>
      </c>
      <c r="C434" s="93" t="s">
        <v>94</v>
      </c>
      <c r="D434" s="93" t="s">
        <v>503</v>
      </c>
      <c r="E434" s="93" t="s">
        <v>504</v>
      </c>
      <c r="F434" s="106">
        <v>119432</v>
      </c>
      <c r="G434" s="8" t="s">
        <v>505</v>
      </c>
    </row>
    <row r="435" spans="1:7" ht="15" customHeight="1" x14ac:dyDescent="0.3">
      <c r="A435" s="93" t="s">
        <v>539</v>
      </c>
      <c r="B435" s="93" t="s">
        <v>93</v>
      </c>
      <c r="C435" s="93" t="s">
        <v>94</v>
      </c>
      <c r="D435" s="93" t="s">
        <v>503</v>
      </c>
      <c r="E435" s="93" t="s">
        <v>506</v>
      </c>
      <c r="F435" s="106">
        <v>146677</v>
      </c>
      <c r="G435" s="8" t="s">
        <v>505</v>
      </c>
    </row>
    <row r="436" spans="1:7" ht="15" customHeight="1" x14ac:dyDescent="0.3">
      <c r="A436" s="93" t="s">
        <v>539</v>
      </c>
      <c r="B436" s="93" t="s">
        <v>93</v>
      </c>
      <c r="C436" s="93" t="s">
        <v>94</v>
      </c>
      <c r="D436" s="93" t="s">
        <v>503</v>
      </c>
      <c r="E436" s="93" t="s">
        <v>507</v>
      </c>
      <c r="F436" s="106">
        <v>165192</v>
      </c>
      <c r="G436" s="8" t="s">
        <v>505</v>
      </c>
    </row>
    <row r="437" spans="1:7" ht="15" customHeight="1" x14ac:dyDescent="0.3">
      <c r="A437" s="93" t="s">
        <v>539</v>
      </c>
      <c r="B437" s="93" t="s">
        <v>93</v>
      </c>
      <c r="C437" s="93" t="s">
        <v>94</v>
      </c>
      <c r="D437" s="93" t="s">
        <v>503</v>
      </c>
      <c r="E437" s="93" t="s">
        <v>508</v>
      </c>
      <c r="F437" s="106">
        <v>177677</v>
      </c>
      <c r="G437" s="8" t="s">
        <v>505</v>
      </c>
    </row>
    <row r="438" spans="1:7" ht="15" customHeight="1" x14ac:dyDescent="0.3">
      <c r="A438" s="93" t="s">
        <v>539</v>
      </c>
      <c r="B438" s="93" t="s">
        <v>93</v>
      </c>
      <c r="C438" s="93" t="s">
        <v>94</v>
      </c>
      <c r="D438" s="93" t="s">
        <v>503</v>
      </c>
      <c r="E438" s="93" t="s">
        <v>509</v>
      </c>
      <c r="F438" s="106">
        <v>197966</v>
      </c>
      <c r="G438" s="8" t="s">
        <v>505</v>
      </c>
    </row>
    <row r="439" spans="1:7" ht="15" customHeight="1" x14ac:dyDescent="0.3">
      <c r="A439" s="93" t="s">
        <v>539</v>
      </c>
      <c r="B439" s="93" t="s">
        <v>93</v>
      </c>
      <c r="C439" s="93" t="s">
        <v>94</v>
      </c>
      <c r="D439" s="93" t="s">
        <v>503</v>
      </c>
      <c r="E439" s="93" t="s">
        <v>510</v>
      </c>
      <c r="F439" s="106">
        <v>267320</v>
      </c>
      <c r="G439" s="8" t="s">
        <v>505</v>
      </c>
    </row>
    <row r="440" spans="1:7" ht="15" customHeight="1" x14ac:dyDescent="0.3">
      <c r="A440" s="93" t="s">
        <v>539</v>
      </c>
      <c r="B440" s="93" t="s">
        <v>93</v>
      </c>
      <c r="C440" s="93" t="s">
        <v>94</v>
      </c>
      <c r="D440" s="93" t="s">
        <v>503</v>
      </c>
      <c r="E440" s="93" t="s">
        <v>511</v>
      </c>
      <c r="F440" s="106">
        <v>297784</v>
      </c>
      <c r="G440" s="8" t="s">
        <v>505</v>
      </c>
    </row>
    <row r="441" spans="1:7" ht="15" customHeight="1" x14ac:dyDescent="0.3">
      <c r="A441" s="93" t="s">
        <v>539</v>
      </c>
      <c r="B441" s="93" t="s">
        <v>93</v>
      </c>
      <c r="C441" s="93" t="s">
        <v>94</v>
      </c>
      <c r="D441" s="93" t="s">
        <v>503</v>
      </c>
      <c r="E441" s="93" t="s">
        <v>512</v>
      </c>
      <c r="F441" s="106">
        <v>298320</v>
      </c>
      <c r="G441" s="8" t="s">
        <v>505</v>
      </c>
    </row>
    <row r="442" spans="1:7" ht="15" customHeight="1" x14ac:dyDescent="0.3">
      <c r="A442" s="93" t="s">
        <v>539</v>
      </c>
      <c r="B442" s="93" t="s">
        <v>96</v>
      </c>
      <c r="C442" s="93" t="s">
        <v>94</v>
      </c>
      <c r="D442" s="93" t="s">
        <v>503</v>
      </c>
      <c r="E442" s="93" t="s">
        <v>504</v>
      </c>
      <c r="F442" s="106">
        <v>158348</v>
      </c>
      <c r="G442" s="8" t="s">
        <v>505</v>
      </c>
    </row>
    <row r="443" spans="1:7" ht="15" customHeight="1" x14ac:dyDescent="0.3">
      <c r="A443" s="93" t="s">
        <v>539</v>
      </c>
      <c r="B443" s="93" t="s">
        <v>96</v>
      </c>
      <c r="C443" s="93" t="s">
        <v>94</v>
      </c>
      <c r="D443" s="93" t="s">
        <v>503</v>
      </c>
      <c r="E443" s="93" t="s">
        <v>506</v>
      </c>
      <c r="F443" s="106">
        <v>170405</v>
      </c>
      <c r="G443" s="8" t="s">
        <v>505</v>
      </c>
    </row>
    <row r="444" spans="1:7" ht="15" customHeight="1" x14ac:dyDescent="0.3">
      <c r="A444" s="93" t="s">
        <v>539</v>
      </c>
      <c r="B444" s="93" t="s">
        <v>96</v>
      </c>
      <c r="C444" s="93" t="s">
        <v>94</v>
      </c>
      <c r="D444" s="93" t="s">
        <v>503</v>
      </c>
      <c r="E444" s="93" t="s">
        <v>507</v>
      </c>
      <c r="F444" s="106">
        <v>176745</v>
      </c>
      <c r="G444" s="8" t="s">
        <v>505</v>
      </c>
    </row>
    <row r="445" spans="1:7" ht="15" customHeight="1" x14ac:dyDescent="0.3">
      <c r="A445" s="93" t="s">
        <v>539</v>
      </c>
      <c r="B445" s="93" t="s">
        <v>96</v>
      </c>
      <c r="C445" s="93" t="s">
        <v>94</v>
      </c>
      <c r="D445" s="93" t="s">
        <v>503</v>
      </c>
      <c r="E445" s="93" t="s">
        <v>508</v>
      </c>
      <c r="F445" s="106">
        <v>206322</v>
      </c>
      <c r="G445" s="8" t="s">
        <v>505</v>
      </c>
    </row>
    <row r="446" spans="1:7" ht="15" customHeight="1" x14ac:dyDescent="0.3">
      <c r="A446" s="93" t="s">
        <v>539</v>
      </c>
      <c r="B446" s="93" t="s">
        <v>96</v>
      </c>
      <c r="C446" s="93" t="s">
        <v>94</v>
      </c>
      <c r="D446" s="93" t="s">
        <v>503</v>
      </c>
      <c r="E446" s="93" t="s">
        <v>509</v>
      </c>
      <c r="F446" s="106">
        <v>229909</v>
      </c>
      <c r="G446" s="8" t="s">
        <v>505</v>
      </c>
    </row>
    <row r="447" spans="1:7" ht="15" customHeight="1" x14ac:dyDescent="0.3">
      <c r="A447" s="93" t="s">
        <v>539</v>
      </c>
      <c r="B447" s="93" t="s">
        <v>96</v>
      </c>
      <c r="C447" s="93" t="s">
        <v>94</v>
      </c>
      <c r="D447" s="93" t="s">
        <v>503</v>
      </c>
      <c r="E447" s="93" t="s">
        <v>510</v>
      </c>
      <c r="F447" s="106">
        <v>310425</v>
      </c>
      <c r="G447" s="8" t="s">
        <v>505</v>
      </c>
    </row>
    <row r="448" spans="1:7" ht="15" customHeight="1" x14ac:dyDescent="0.3">
      <c r="A448" s="93" t="s">
        <v>539</v>
      </c>
      <c r="B448" s="93" t="s">
        <v>96</v>
      </c>
      <c r="C448" s="93" t="s">
        <v>94</v>
      </c>
      <c r="D448" s="93" t="s">
        <v>503</v>
      </c>
      <c r="E448" s="93" t="s">
        <v>511</v>
      </c>
      <c r="F448" s="106">
        <v>345901</v>
      </c>
      <c r="G448" s="8" t="s">
        <v>505</v>
      </c>
    </row>
    <row r="449" spans="1:7" ht="15" customHeight="1" x14ac:dyDescent="0.3">
      <c r="A449" s="93" t="s">
        <v>539</v>
      </c>
      <c r="B449" s="93" t="s">
        <v>96</v>
      </c>
      <c r="C449" s="93" t="s">
        <v>94</v>
      </c>
      <c r="D449" s="93" t="s">
        <v>503</v>
      </c>
      <c r="E449" s="93" t="s">
        <v>512</v>
      </c>
      <c r="F449" s="106">
        <v>346526</v>
      </c>
      <c r="G449" s="8" t="s">
        <v>505</v>
      </c>
    </row>
    <row r="450" spans="1:7" ht="15" customHeight="1" x14ac:dyDescent="0.3">
      <c r="A450" s="93" t="s">
        <v>540</v>
      </c>
      <c r="B450" s="93" t="s">
        <v>93</v>
      </c>
      <c r="C450" s="93" t="s">
        <v>94</v>
      </c>
      <c r="D450" s="93" t="s">
        <v>503</v>
      </c>
      <c r="E450" s="93" t="s">
        <v>504</v>
      </c>
      <c r="F450" s="106">
        <v>119432</v>
      </c>
      <c r="G450" s="8" t="s">
        <v>505</v>
      </c>
    </row>
    <row r="451" spans="1:7" ht="15" customHeight="1" x14ac:dyDescent="0.3">
      <c r="A451" s="93" t="s">
        <v>540</v>
      </c>
      <c r="B451" s="93" t="s">
        <v>93</v>
      </c>
      <c r="C451" s="93" t="s">
        <v>94</v>
      </c>
      <c r="D451" s="93" t="s">
        <v>503</v>
      </c>
      <c r="E451" s="93" t="s">
        <v>506</v>
      </c>
      <c r="F451" s="106">
        <v>146677</v>
      </c>
      <c r="G451" s="8" t="s">
        <v>505</v>
      </c>
    </row>
    <row r="452" spans="1:7" ht="15" customHeight="1" x14ac:dyDescent="0.3">
      <c r="A452" s="93" t="s">
        <v>540</v>
      </c>
      <c r="B452" s="93" t="s">
        <v>93</v>
      </c>
      <c r="C452" s="93" t="s">
        <v>94</v>
      </c>
      <c r="D452" s="93" t="s">
        <v>503</v>
      </c>
      <c r="E452" s="93" t="s">
        <v>507</v>
      </c>
      <c r="F452" s="106">
        <v>165192</v>
      </c>
      <c r="G452" s="8" t="s">
        <v>505</v>
      </c>
    </row>
    <row r="453" spans="1:7" ht="15" customHeight="1" x14ac:dyDescent="0.3">
      <c r="A453" s="93" t="s">
        <v>540</v>
      </c>
      <c r="B453" s="93" t="s">
        <v>93</v>
      </c>
      <c r="C453" s="93" t="s">
        <v>94</v>
      </c>
      <c r="D453" s="93" t="s">
        <v>503</v>
      </c>
      <c r="E453" s="93" t="s">
        <v>508</v>
      </c>
      <c r="F453" s="106">
        <v>177677</v>
      </c>
      <c r="G453" s="8" t="s">
        <v>505</v>
      </c>
    </row>
    <row r="454" spans="1:7" ht="15" customHeight="1" x14ac:dyDescent="0.3">
      <c r="A454" s="93" t="s">
        <v>540</v>
      </c>
      <c r="B454" s="93" t="s">
        <v>93</v>
      </c>
      <c r="C454" s="93" t="s">
        <v>94</v>
      </c>
      <c r="D454" s="93" t="s">
        <v>503</v>
      </c>
      <c r="E454" s="93" t="s">
        <v>509</v>
      </c>
      <c r="F454" s="106">
        <v>197966</v>
      </c>
      <c r="G454" s="8" t="s">
        <v>505</v>
      </c>
    </row>
    <row r="455" spans="1:7" ht="15" customHeight="1" x14ac:dyDescent="0.3">
      <c r="A455" s="93" t="s">
        <v>540</v>
      </c>
      <c r="B455" s="93" t="s">
        <v>93</v>
      </c>
      <c r="C455" s="93" t="s">
        <v>94</v>
      </c>
      <c r="D455" s="93" t="s">
        <v>503</v>
      </c>
      <c r="E455" s="93" t="s">
        <v>510</v>
      </c>
      <c r="F455" s="106">
        <v>267320</v>
      </c>
      <c r="G455" s="8" t="s">
        <v>505</v>
      </c>
    </row>
    <row r="456" spans="1:7" ht="15" customHeight="1" x14ac:dyDescent="0.3">
      <c r="A456" s="93" t="s">
        <v>540</v>
      </c>
      <c r="B456" s="93" t="s">
        <v>93</v>
      </c>
      <c r="C456" s="93" t="s">
        <v>94</v>
      </c>
      <c r="D456" s="93" t="s">
        <v>503</v>
      </c>
      <c r="E456" s="93" t="s">
        <v>511</v>
      </c>
      <c r="F456" s="106">
        <v>297784</v>
      </c>
      <c r="G456" s="8" t="s">
        <v>505</v>
      </c>
    </row>
    <row r="457" spans="1:7" ht="15" customHeight="1" x14ac:dyDescent="0.3">
      <c r="A457" s="93" t="s">
        <v>540</v>
      </c>
      <c r="B457" s="93" t="s">
        <v>93</v>
      </c>
      <c r="C457" s="93" t="s">
        <v>94</v>
      </c>
      <c r="D457" s="93" t="s">
        <v>503</v>
      </c>
      <c r="E457" s="93" t="s">
        <v>512</v>
      </c>
      <c r="F457" s="106">
        <v>298320</v>
      </c>
      <c r="G457" s="8" t="s">
        <v>505</v>
      </c>
    </row>
    <row r="458" spans="1:7" ht="15" customHeight="1" x14ac:dyDescent="0.3">
      <c r="A458" s="93" t="s">
        <v>540</v>
      </c>
      <c r="B458" s="93" t="s">
        <v>96</v>
      </c>
      <c r="C458" s="93" t="s">
        <v>94</v>
      </c>
      <c r="D458" s="93" t="s">
        <v>503</v>
      </c>
      <c r="E458" s="93" t="s">
        <v>504</v>
      </c>
      <c r="F458" s="106">
        <v>158348</v>
      </c>
      <c r="G458" s="8" t="s">
        <v>505</v>
      </c>
    </row>
    <row r="459" spans="1:7" ht="15" customHeight="1" x14ac:dyDescent="0.3">
      <c r="A459" s="93" t="s">
        <v>540</v>
      </c>
      <c r="B459" s="93" t="s">
        <v>96</v>
      </c>
      <c r="C459" s="93" t="s">
        <v>94</v>
      </c>
      <c r="D459" s="93" t="s">
        <v>503</v>
      </c>
      <c r="E459" s="93" t="s">
        <v>506</v>
      </c>
      <c r="F459" s="106">
        <v>170405</v>
      </c>
      <c r="G459" s="8" t="s">
        <v>505</v>
      </c>
    </row>
    <row r="460" spans="1:7" ht="15" customHeight="1" x14ac:dyDescent="0.3">
      <c r="A460" s="93" t="s">
        <v>540</v>
      </c>
      <c r="B460" s="93" t="s">
        <v>96</v>
      </c>
      <c r="C460" s="93" t="s">
        <v>94</v>
      </c>
      <c r="D460" s="93" t="s">
        <v>503</v>
      </c>
      <c r="E460" s="93" t="s">
        <v>507</v>
      </c>
      <c r="F460" s="106">
        <v>176745</v>
      </c>
      <c r="G460" s="8" t="s">
        <v>505</v>
      </c>
    </row>
    <row r="461" spans="1:7" ht="15" customHeight="1" x14ac:dyDescent="0.3">
      <c r="A461" s="93" t="s">
        <v>540</v>
      </c>
      <c r="B461" s="93" t="s">
        <v>96</v>
      </c>
      <c r="C461" s="93" t="s">
        <v>94</v>
      </c>
      <c r="D461" s="93" t="s">
        <v>503</v>
      </c>
      <c r="E461" s="93" t="s">
        <v>508</v>
      </c>
      <c r="F461" s="106">
        <v>206322</v>
      </c>
      <c r="G461" s="8" t="s">
        <v>505</v>
      </c>
    </row>
    <row r="462" spans="1:7" ht="15" customHeight="1" x14ac:dyDescent="0.3">
      <c r="A462" s="93" t="s">
        <v>540</v>
      </c>
      <c r="B462" s="93" t="s">
        <v>96</v>
      </c>
      <c r="C462" s="93" t="s">
        <v>94</v>
      </c>
      <c r="D462" s="93" t="s">
        <v>503</v>
      </c>
      <c r="E462" s="93" t="s">
        <v>509</v>
      </c>
      <c r="F462" s="106">
        <v>229909</v>
      </c>
      <c r="G462" s="8" t="s">
        <v>505</v>
      </c>
    </row>
    <row r="463" spans="1:7" ht="15" customHeight="1" x14ac:dyDescent="0.3">
      <c r="A463" s="93" t="s">
        <v>540</v>
      </c>
      <c r="B463" s="93" t="s">
        <v>96</v>
      </c>
      <c r="C463" s="93" t="s">
        <v>94</v>
      </c>
      <c r="D463" s="93" t="s">
        <v>503</v>
      </c>
      <c r="E463" s="93" t="s">
        <v>510</v>
      </c>
      <c r="F463" s="106">
        <v>310425</v>
      </c>
      <c r="G463" s="8" t="s">
        <v>505</v>
      </c>
    </row>
    <row r="464" spans="1:7" ht="15" customHeight="1" x14ac:dyDescent="0.3">
      <c r="A464" s="93" t="s">
        <v>540</v>
      </c>
      <c r="B464" s="93" t="s">
        <v>96</v>
      </c>
      <c r="C464" s="93" t="s">
        <v>94</v>
      </c>
      <c r="D464" s="93" t="s">
        <v>503</v>
      </c>
      <c r="E464" s="93" t="s">
        <v>511</v>
      </c>
      <c r="F464" s="106">
        <v>345901</v>
      </c>
      <c r="G464" s="8" t="s">
        <v>505</v>
      </c>
    </row>
    <row r="465" spans="1:7" ht="15" customHeight="1" x14ac:dyDescent="0.3">
      <c r="A465" s="93" t="s">
        <v>540</v>
      </c>
      <c r="B465" s="93" t="s">
        <v>96</v>
      </c>
      <c r="C465" s="93" t="s">
        <v>94</v>
      </c>
      <c r="D465" s="93" t="s">
        <v>503</v>
      </c>
      <c r="E465" s="93" t="s">
        <v>512</v>
      </c>
      <c r="F465" s="106">
        <v>346526</v>
      </c>
      <c r="G465" s="8" t="s">
        <v>505</v>
      </c>
    </row>
    <row r="466" spans="1:7" ht="15" customHeight="1" x14ac:dyDescent="0.3">
      <c r="A466" s="93" t="s">
        <v>541</v>
      </c>
      <c r="B466" s="93" t="s">
        <v>93</v>
      </c>
      <c r="C466" s="93" t="s">
        <v>94</v>
      </c>
      <c r="D466" s="93" t="s">
        <v>503</v>
      </c>
      <c r="E466" s="93" t="s">
        <v>504</v>
      </c>
      <c r="F466" s="106">
        <v>119432</v>
      </c>
      <c r="G466" s="8" t="s">
        <v>505</v>
      </c>
    </row>
    <row r="467" spans="1:7" ht="15" customHeight="1" x14ac:dyDescent="0.3">
      <c r="A467" s="93" t="s">
        <v>541</v>
      </c>
      <c r="B467" s="93" t="s">
        <v>93</v>
      </c>
      <c r="C467" s="93" t="s">
        <v>94</v>
      </c>
      <c r="D467" s="93" t="s">
        <v>503</v>
      </c>
      <c r="E467" s="93" t="s">
        <v>506</v>
      </c>
      <c r="F467" s="106">
        <v>146677</v>
      </c>
      <c r="G467" s="8" t="s">
        <v>505</v>
      </c>
    </row>
    <row r="468" spans="1:7" ht="15" customHeight="1" x14ac:dyDescent="0.3">
      <c r="A468" s="93" t="s">
        <v>541</v>
      </c>
      <c r="B468" s="93" t="s">
        <v>93</v>
      </c>
      <c r="C468" s="93" t="s">
        <v>94</v>
      </c>
      <c r="D468" s="93" t="s">
        <v>503</v>
      </c>
      <c r="E468" s="93" t="s">
        <v>507</v>
      </c>
      <c r="F468" s="106">
        <v>165192</v>
      </c>
      <c r="G468" s="8" t="s">
        <v>505</v>
      </c>
    </row>
    <row r="469" spans="1:7" ht="15" customHeight="1" x14ac:dyDescent="0.3">
      <c r="A469" s="93" t="s">
        <v>541</v>
      </c>
      <c r="B469" s="93" t="s">
        <v>93</v>
      </c>
      <c r="C469" s="93" t="s">
        <v>94</v>
      </c>
      <c r="D469" s="93" t="s">
        <v>503</v>
      </c>
      <c r="E469" s="93" t="s">
        <v>508</v>
      </c>
      <c r="F469" s="106">
        <v>177677</v>
      </c>
      <c r="G469" s="8" t="s">
        <v>505</v>
      </c>
    </row>
    <row r="470" spans="1:7" ht="15" customHeight="1" x14ac:dyDescent="0.3">
      <c r="A470" s="93" t="s">
        <v>541</v>
      </c>
      <c r="B470" s="93" t="s">
        <v>93</v>
      </c>
      <c r="C470" s="93" t="s">
        <v>94</v>
      </c>
      <c r="D470" s="93" t="s">
        <v>503</v>
      </c>
      <c r="E470" s="93" t="s">
        <v>509</v>
      </c>
      <c r="F470" s="106">
        <v>197966</v>
      </c>
      <c r="G470" s="8" t="s">
        <v>505</v>
      </c>
    </row>
    <row r="471" spans="1:7" ht="15" customHeight="1" x14ac:dyDescent="0.3">
      <c r="A471" s="93" t="s">
        <v>541</v>
      </c>
      <c r="B471" s="93" t="s">
        <v>93</v>
      </c>
      <c r="C471" s="93" t="s">
        <v>94</v>
      </c>
      <c r="D471" s="93" t="s">
        <v>503</v>
      </c>
      <c r="E471" s="93" t="s">
        <v>510</v>
      </c>
      <c r="F471" s="106">
        <v>267320</v>
      </c>
      <c r="G471" s="8" t="s">
        <v>505</v>
      </c>
    </row>
    <row r="472" spans="1:7" ht="15" customHeight="1" x14ac:dyDescent="0.3">
      <c r="A472" s="93" t="s">
        <v>541</v>
      </c>
      <c r="B472" s="93" t="s">
        <v>93</v>
      </c>
      <c r="C472" s="93" t="s">
        <v>94</v>
      </c>
      <c r="D472" s="93" t="s">
        <v>503</v>
      </c>
      <c r="E472" s="93" t="s">
        <v>511</v>
      </c>
      <c r="F472" s="106">
        <v>297784</v>
      </c>
      <c r="G472" s="8" t="s">
        <v>505</v>
      </c>
    </row>
    <row r="473" spans="1:7" ht="15" customHeight="1" x14ac:dyDescent="0.3">
      <c r="A473" s="93" t="s">
        <v>541</v>
      </c>
      <c r="B473" s="93" t="s">
        <v>93</v>
      </c>
      <c r="C473" s="93" t="s">
        <v>94</v>
      </c>
      <c r="D473" s="93" t="s">
        <v>503</v>
      </c>
      <c r="E473" s="93" t="s">
        <v>512</v>
      </c>
      <c r="F473" s="106">
        <v>298320</v>
      </c>
      <c r="G473" s="8" t="s">
        <v>505</v>
      </c>
    </row>
    <row r="474" spans="1:7" ht="15" customHeight="1" x14ac:dyDescent="0.3">
      <c r="A474" s="93" t="s">
        <v>541</v>
      </c>
      <c r="B474" s="93" t="s">
        <v>96</v>
      </c>
      <c r="C474" s="93" t="s">
        <v>94</v>
      </c>
      <c r="D474" s="93" t="s">
        <v>503</v>
      </c>
      <c r="E474" s="93" t="s">
        <v>504</v>
      </c>
      <c r="F474" s="106">
        <v>158348</v>
      </c>
      <c r="G474" s="8" t="s">
        <v>505</v>
      </c>
    </row>
    <row r="475" spans="1:7" ht="15" customHeight="1" x14ac:dyDescent="0.3">
      <c r="A475" s="93" t="s">
        <v>541</v>
      </c>
      <c r="B475" s="93" t="s">
        <v>96</v>
      </c>
      <c r="C475" s="93" t="s">
        <v>94</v>
      </c>
      <c r="D475" s="93" t="s">
        <v>503</v>
      </c>
      <c r="E475" s="93" t="s">
        <v>506</v>
      </c>
      <c r="F475" s="106">
        <v>170405</v>
      </c>
      <c r="G475" s="8" t="s">
        <v>505</v>
      </c>
    </row>
    <row r="476" spans="1:7" ht="15" customHeight="1" x14ac:dyDescent="0.3">
      <c r="A476" s="93" t="s">
        <v>541</v>
      </c>
      <c r="B476" s="93" t="s">
        <v>96</v>
      </c>
      <c r="C476" s="93" t="s">
        <v>94</v>
      </c>
      <c r="D476" s="93" t="s">
        <v>503</v>
      </c>
      <c r="E476" s="93" t="s">
        <v>507</v>
      </c>
      <c r="F476" s="106">
        <v>176745</v>
      </c>
      <c r="G476" s="8" t="s">
        <v>505</v>
      </c>
    </row>
    <row r="477" spans="1:7" ht="15" customHeight="1" x14ac:dyDescent="0.3">
      <c r="A477" s="93" t="s">
        <v>541</v>
      </c>
      <c r="B477" s="93" t="s">
        <v>96</v>
      </c>
      <c r="C477" s="93" t="s">
        <v>94</v>
      </c>
      <c r="D477" s="93" t="s">
        <v>503</v>
      </c>
      <c r="E477" s="93" t="s">
        <v>508</v>
      </c>
      <c r="F477" s="106">
        <v>206322</v>
      </c>
      <c r="G477" s="8" t="s">
        <v>505</v>
      </c>
    </row>
    <row r="478" spans="1:7" ht="15" customHeight="1" x14ac:dyDescent="0.3">
      <c r="A478" s="93" t="s">
        <v>541</v>
      </c>
      <c r="B478" s="93" t="s">
        <v>96</v>
      </c>
      <c r="C478" s="93" t="s">
        <v>94</v>
      </c>
      <c r="D478" s="93" t="s">
        <v>503</v>
      </c>
      <c r="E478" s="93" t="s">
        <v>509</v>
      </c>
      <c r="F478" s="106">
        <v>229909</v>
      </c>
      <c r="G478" s="8" t="s">
        <v>505</v>
      </c>
    </row>
    <row r="479" spans="1:7" ht="15" customHeight="1" x14ac:dyDescent="0.3">
      <c r="A479" s="93" t="s">
        <v>541</v>
      </c>
      <c r="B479" s="93" t="s">
        <v>96</v>
      </c>
      <c r="C479" s="93" t="s">
        <v>94</v>
      </c>
      <c r="D479" s="93" t="s">
        <v>503</v>
      </c>
      <c r="E479" s="93" t="s">
        <v>510</v>
      </c>
      <c r="F479" s="106">
        <v>310425</v>
      </c>
      <c r="G479" s="8" t="s">
        <v>505</v>
      </c>
    </row>
    <row r="480" spans="1:7" ht="15" customHeight="1" x14ac:dyDescent="0.3">
      <c r="A480" s="93" t="s">
        <v>541</v>
      </c>
      <c r="B480" s="93" t="s">
        <v>96</v>
      </c>
      <c r="C480" s="93" t="s">
        <v>94</v>
      </c>
      <c r="D480" s="93" t="s">
        <v>503</v>
      </c>
      <c r="E480" s="93" t="s">
        <v>511</v>
      </c>
      <c r="F480" s="106">
        <v>345901</v>
      </c>
      <c r="G480" s="8" t="s">
        <v>505</v>
      </c>
    </row>
    <row r="481" spans="1:7" ht="15" customHeight="1" x14ac:dyDescent="0.3">
      <c r="A481" s="93" t="s">
        <v>541</v>
      </c>
      <c r="B481" s="93" t="s">
        <v>96</v>
      </c>
      <c r="C481" s="93" t="s">
        <v>94</v>
      </c>
      <c r="D481" s="93" t="s">
        <v>503</v>
      </c>
      <c r="E481" s="93" t="s">
        <v>512</v>
      </c>
      <c r="F481" s="106">
        <v>346526</v>
      </c>
      <c r="G481" s="8" t="s">
        <v>505</v>
      </c>
    </row>
    <row r="482" spans="1:7" ht="15" customHeight="1" x14ac:dyDescent="0.3">
      <c r="A482" s="93" t="s">
        <v>542</v>
      </c>
      <c r="B482" s="93" t="s">
        <v>93</v>
      </c>
      <c r="C482" s="93" t="s">
        <v>94</v>
      </c>
      <c r="D482" s="93" t="s">
        <v>503</v>
      </c>
      <c r="E482" s="93" t="s">
        <v>504</v>
      </c>
      <c r="F482" s="106">
        <v>119432</v>
      </c>
      <c r="G482" s="8" t="s">
        <v>505</v>
      </c>
    </row>
    <row r="483" spans="1:7" ht="15" customHeight="1" x14ac:dyDescent="0.3">
      <c r="A483" s="93" t="s">
        <v>542</v>
      </c>
      <c r="B483" s="93" t="s">
        <v>93</v>
      </c>
      <c r="C483" s="93" t="s">
        <v>94</v>
      </c>
      <c r="D483" s="93" t="s">
        <v>503</v>
      </c>
      <c r="E483" s="93" t="s">
        <v>506</v>
      </c>
      <c r="F483" s="106">
        <v>146677</v>
      </c>
      <c r="G483" s="8" t="s">
        <v>505</v>
      </c>
    </row>
    <row r="484" spans="1:7" ht="15" customHeight="1" x14ac:dyDescent="0.3">
      <c r="A484" s="93" t="s">
        <v>542</v>
      </c>
      <c r="B484" s="93" t="s">
        <v>93</v>
      </c>
      <c r="C484" s="93" t="s">
        <v>94</v>
      </c>
      <c r="D484" s="93" t="s">
        <v>503</v>
      </c>
      <c r="E484" s="93" t="s">
        <v>507</v>
      </c>
      <c r="F484" s="106">
        <v>165192</v>
      </c>
      <c r="G484" s="8" t="s">
        <v>505</v>
      </c>
    </row>
    <row r="485" spans="1:7" ht="15" customHeight="1" x14ac:dyDescent="0.3">
      <c r="A485" s="93" t="s">
        <v>542</v>
      </c>
      <c r="B485" s="93" t="s">
        <v>93</v>
      </c>
      <c r="C485" s="93" t="s">
        <v>94</v>
      </c>
      <c r="D485" s="93" t="s">
        <v>503</v>
      </c>
      <c r="E485" s="93" t="s">
        <v>508</v>
      </c>
      <c r="F485" s="106">
        <v>177677</v>
      </c>
      <c r="G485" s="8" t="s">
        <v>505</v>
      </c>
    </row>
    <row r="486" spans="1:7" ht="15" customHeight="1" x14ac:dyDescent="0.3">
      <c r="A486" s="93" t="s">
        <v>542</v>
      </c>
      <c r="B486" s="93" t="s">
        <v>93</v>
      </c>
      <c r="C486" s="93" t="s">
        <v>94</v>
      </c>
      <c r="D486" s="93" t="s">
        <v>503</v>
      </c>
      <c r="E486" s="93" t="s">
        <v>509</v>
      </c>
      <c r="F486" s="106">
        <v>197966</v>
      </c>
      <c r="G486" s="8" t="s">
        <v>505</v>
      </c>
    </row>
    <row r="487" spans="1:7" ht="15" customHeight="1" x14ac:dyDescent="0.3">
      <c r="A487" s="93" t="s">
        <v>542</v>
      </c>
      <c r="B487" s="93" t="s">
        <v>93</v>
      </c>
      <c r="C487" s="93" t="s">
        <v>94</v>
      </c>
      <c r="D487" s="93" t="s">
        <v>503</v>
      </c>
      <c r="E487" s="93" t="s">
        <v>510</v>
      </c>
      <c r="F487" s="106">
        <v>267320</v>
      </c>
      <c r="G487" s="8" t="s">
        <v>505</v>
      </c>
    </row>
    <row r="488" spans="1:7" ht="15" customHeight="1" x14ac:dyDescent="0.3">
      <c r="A488" s="93" t="s">
        <v>542</v>
      </c>
      <c r="B488" s="93" t="s">
        <v>93</v>
      </c>
      <c r="C488" s="93" t="s">
        <v>94</v>
      </c>
      <c r="D488" s="93" t="s">
        <v>503</v>
      </c>
      <c r="E488" s="93" t="s">
        <v>511</v>
      </c>
      <c r="F488" s="106">
        <v>297784</v>
      </c>
      <c r="G488" s="8" t="s">
        <v>505</v>
      </c>
    </row>
    <row r="489" spans="1:7" ht="15" customHeight="1" x14ac:dyDescent="0.3">
      <c r="A489" s="93" t="s">
        <v>542</v>
      </c>
      <c r="B489" s="93" t="s">
        <v>93</v>
      </c>
      <c r="C489" s="93" t="s">
        <v>94</v>
      </c>
      <c r="D489" s="93" t="s">
        <v>503</v>
      </c>
      <c r="E489" s="93" t="s">
        <v>512</v>
      </c>
      <c r="F489" s="106">
        <v>298320</v>
      </c>
      <c r="G489" s="8" t="s">
        <v>505</v>
      </c>
    </row>
    <row r="490" spans="1:7" ht="15" customHeight="1" x14ac:dyDescent="0.3">
      <c r="A490" s="93" t="s">
        <v>542</v>
      </c>
      <c r="B490" s="93" t="s">
        <v>96</v>
      </c>
      <c r="C490" s="93" t="s">
        <v>94</v>
      </c>
      <c r="D490" s="93" t="s">
        <v>503</v>
      </c>
      <c r="E490" s="93" t="s">
        <v>504</v>
      </c>
      <c r="F490" s="106">
        <v>158348</v>
      </c>
      <c r="G490" s="8" t="s">
        <v>505</v>
      </c>
    </row>
    <row r="491" spans="1:7" ht="15" customHeight="1" x14ac:dyDescent="0.3">
      <c r="A491" s="93" t="s">
        <v>542</v>
      </c>
      <c r="B491" s="93" t="s">
        <v>96</v>
      </c>
      <c r="C491" s="93" t="s">
        <v>94</v>
      </c>
      <c r="D491" s="93" t="s">
        <v>503</v>
      </c>
      <c r="E491" s="93" t="s">
        <v>506</v>
      </c>
      <c r="F491" s="106">
        <v>170405</v>
      </c>
      <c r="G491" s="8" t="s">
        <v>505</v>
      </c>
    </row>
    <row r="492" spans="1:7" ht="15" customHeight="1" x14ac:dyDescent="0.3">
      <c r="A492" s="93" t="s">
        <v>542</v>
      </c>
      <c r="B492" s="93" t="s">
        <v>96</v>
      </c>
      <c r="C492" s="93" t="s">
        <v>94</v>
      </c>
      <c r="D492" s="93" t="s">
        <v>503</v>
      </c>
      <c r="E492" s="93" t="s">
        <v>507</v>
      </c>
      <c r="F492" s="106">
        <v>176745</v>
      </c>
      <c r="G492" s="8" t="s">
        <v>505</v>
      </c>
    </row>
    <row r="493" spans="1:7" ht="15" customHeight="1" x14ac:dyDescent="0.3">
      <c r="A493" s="93" t="s">
        <v>542</v>
      </c>
      <c r="B493" s="93" t="s">
        <v>96</v>
      </c>
      <c r="C493" s="93" t="s">
        <v>94</v>
      </c>
      <c r="D493" s="93" t="s">
        <v>503</v>
      </c>
      <c r="E493" s="93" t="s">
        <v>508</v>
      </c>
      <c r="F493" s="106">
        <v>206322</v>
      </c>
      <c r="G493" s="8" t="s">
        <v>505</v>
      </c>
    </row>
    <row r="494" spans="1:7" ht="15" customHeight="1" x14ac:dyDescent="0.3">
      <c r="A494" s="93" t="s">
        <v>542</v>
      </c>
      <c r="B494" s="93" t="s">
        <v>96</v>
      </c>
      <c r="C494" s="93" t="s">
        <v>94</v>
      </c>
      <c r="D494" s="93" t="s">
        <v>503</v>
      </c>
      <c r="E494" s="93" t="s">
        <v>509</v>
      </c>
      <c r="F494" s="106">
        <v>229909</v>
      </c>
      <c r="G494" s="8" t="s">
        <v>505</v>
      </c>
    </row>
    <row r="495" spans="1:7" ht="15" customHeight="1" x14ac:dyDescent="0.3">
      <c r="A495" s="93" t="s">
        <v>542</v>
      </c>
      <c r="B495" s="93" t="s">
        <v>96</v>
      </c>
      <c r="C495" s="93" t="s">
        <v>94</v>
      </c>
      <c r="D495" s="93" t="s">
        <v>503</v>
      </c>
      <c r="E495" s="93" t="s">
        <v>510</v>
      </c>
      <c r="F495" s="106">
        <v>310425</v>
      </c>
      <c r="G495" s="8" t="s">
        <v>505</v>
      </c>
    </row>
    <row r="496" spans="1:7" ht="15" customHeight="1" x14ac:dyDescent="0.3">
      <c r="A496" s="93" t="s">
        <v>542</v>
      </c>
      <c r="B496" s="93" t="s">
        <v>96</v>
      </c>
      <c r="C496" s="93" t="s">
        <v>94</v>
      </c>
      <c r="D496" s="93" t="s">
        <v>503</v>
      </c>
      <c r="E496" s="93" t="s">
        <v>511</v>
      </c>
      <c r="F496" s="106">
        <v>345901</v>
      </c>
      <c r="G496" s="8" t="s">
        <v>505</v>
      </c>
    </row>
    <row r="497" spans="1:7" ht="15" customHeight="1" x14ac:dyDescent="0.3">
      <c r="A497" s="93" t="s">
        <v>542</v>
      </c>
      <c r="B497" s="93" t="s">
        <v>96</v>
      </c>
      <c r="C497" s="93" t="s">
        <v>94</v>
      </c>
      <c r="D497" s="93" t="s">
        <v>503</v>
      </c>
      <c r="E497" s="93" t="s">
        <v>512</v>
      </c>
      <c r="F497" s="106">
        <v>346526</v>
      </c>
      <c r="G497" s="8" t="s">
        <v>505</v>
      </c>
    </row>
    <row r="498" spans="1:7" ht="15" customHeight="1" x14ac:dyDescent="0.3">
      <c r="A498" s="93" t="s">
        <v>543</v>
      </c>
      <c r="B498" s="93" t="s">
        <v>93</v>
      </c>
      <c r="C498" s="93" t="s">
        <v>94</v>
      </c>
      <c r="D498" s="93" t="s">
        <v>503</v>
      </c>
      <c r="E498" s="93" t="s">
        <v>504</v>
      </c>
      <c r="F498" s="106">
        <v>119432</v>
      </c>
      <c r="G498" s="8" t="s">
        <v>505</v>
      </c>
    </row>
    <row r="499" spans="1:7" ht="15" customHeight="1" x14ac:dyDescent="0.3">
      <c r="A499" s="93" t="s">
        <v>543</v>
      </c>
      <c r="B499" s="93" t="s">
        <v>93</v>
      </c>
      <c r="C499" s="93" t="s">
        <v>94</v>
      </c>
      <c r="D499" s="93" t="s">
        <v>503</v>
      </c>
      <c r="E499" s="93" t="s">
        <v>506</v>
      </c>
      <c r="F499" s="106">
        <v>146677</v>
      </c>
      <c r="G499" s="8" t="s">
        <v>505</v>
      </c>
    </row>
    <row r="500" spans="1:7" ht="15" customHeight="1" x14ac:dyDescent="0.3">
      <c r="A500" s="93" t="s">
        <v>543</v>
      </c>
      <c r="B500" s="93" t="s">
        <v>93</v>
      </c>
      <c r="C500" s="93" t="s">
        <v>94</v>
      </c>
      <c r="D500" s="93" t="s">
        <v>503</v>
      </c>
      <c r="E500" s="93" t="s">
        <v>507</v>
      </c>
      <c r="F500" s="106">
        <v>165192</v>
      </c>
      <c r="G500" s="8" t="s">
        <v>505</v>
      </c>
    </row>
    <row r="501" spans="1:7" ht="15" customHeight="1" x14ac:dyDescent="0.3">
      <c r="A501" s="93" t="s">
        <v>543</v>
      </c>
      <c r="B501" s="93" t="s">
        <v>93</v>
      </c>
      <c r="C501" s="93" t="s">
        <v>94</v>
      </c>
      <c r="D501" s="93" t="s">
        <v>503</v>
      </c>
      <c r="E501" s="93" t="s">
        <v>508</v>
      </c>
      <c r="F501" s="106">
        <v>177677</v>
      </c>
      <c r="G501" s="8" t="s">
        <v>505</v>
      </c>
    </row>
    <row r="502" spans="1:7" ht="15" customHeight="1" x14ac:dyDescent="0.3">
      <c r="A502" s="93" t="s">
        <v>543</v>
      </c>
      <c r="B502" s="93" t="s">
        <v>93</v>
      </c>
      <c r="C502" s="93" t="s">
        <v>94</v>
      </c>
      <c r="D502" s="93" t="s">
        <v>503</v>
      </c>
      <c r="E502" s="93" t="s">
        <v>509</v>
      </c>
      <c r="F502" s="106">
        <v>197966</v>
      </c>
      <c r="G502" s="8" t="s">
        <v>505</v>
      </c>
    </row>
    <row r="503" spans="1:7" ht="15" customHeight="1" x14ac:dyDescent="0.3">
      <c r="A503" s="93" t="s">
        <v>543</v>
      </c>
      <c r="B503" s="93" t="s">
        <v>93</v>
      </c>
      <c r="C503" s="93" t="s">
        <v>94</v>
      </c>
      <c r="D503" s="93" t="s">
        <v>503</v>
      </c>
      <c r="E503" s="93" t="s">
        <v>510</v>
      </c>
      <c r="F503" s="106">
        <v>267320</v>
      </c>
      <c r="G503" s="8" t="s">
        <v>505</v>
      </c>
    </row>
    <row r="504" spans="1:7" ht="15" customHeight="1" x14ac:dyDescent="0.3">
      <c r="A504" s="93" t="s">
        <v>543</v>
      </c>
      <c r="B504" s="93" t="s">
        <v>93</v>
      </c>
      <c r="C504" s="93" t="s">
        <v>94</v>
      </c>
      <c r="D504" s="93" t="s">
        <v>503</v>
      </c>
      <c r="E504" s="93" t="s">
        <v>511</v>
      </c>
      <c r="F504" s="106">
        <v>297784</v>
      </c>
      <c r="G504" s="8" t="s">
        <v>505</v>
      </c>
    </row>
    <row r="505" spans="1:7" ht="15" customHeight="1" x14ac:dyDescent="0.3">
      <c r="A505" s="93" t="s">
        <v>543</v>
      </c>
      <c r="B505" s="93" t="s">
        <v>93</v>
      </c>
      <c r="C505" s="93" t="s">
        <v>94</v>
      </c>
      <c r="D505" s="93" t="s">
        <v>503</v>
      </c>
      <c r="E505" s="93" t="s">
        <v>512</v>
      </c>
      <c r="F505" s="106">
        <v>298320</v>
      </c>
      <c r="G505" s="8" t="s">
        <v>505</v>
      </c>
    </row>
    <row r="506" spans="1:7" ht="15" customHeight="1" x14ac:dyDescent="0.3">
      <c r="A506" s="93" t="s">
        <v>543</v>
      </c>
      <c r="B506" s="93" t="s">
        <v>96</v>
      </c>
      <c r="C506" s="93" t="s">
        <v>94</v>
      </c>
      <c r="D506" s="93" t="s">
        <v>503</v>
      </c>
      <c r="E506" s="93" t="s">
        <v>504</v>
      </c>
      <c r="F506" s="106">
        <v>158348</v>
      </c>
      <c r="G506" s="8" t="s">
        <v>505</v>
      </c>
    </row>
    <row r="507" spans="1:7" ht="15" customHeight="1" x14ac:dyDescent="0.3">
      <c r="A507" s="93" t="s">
        <v>543</v>
      </c>
      <c r="B507" s="93" t="s">
        <v>96</v>
      </c>
      <c r="C507" s="93" t="s">
        <v>94</v>
      </c>
      <c r="D507" s="93" t="s">
        <v>503</v>
      </c>
      <c r="E507" s="93" t="s">
        <v>506</v>
      </c>
      <c r="F507" s="106">
        <v>170405</v>
      </c>
      <c r="G507" s="8" t="s">
        <v>505</v>
      </c>
    </row>
    <row r="508" spans="1:7" ht="15" customHeight="1" x14ac:dyDescent="0.3">
      <c r="A508" s="93" t="s">
        <v>543</v>
      </c>
      <c r="B508" s="93" t="s">
        <v>96</v>
      </c>
      <c r="C508" s="93" t="s">
        <v>94</v>
      </c>
      <c r="D508" s="93" t="s">
        <v>503</v>
      </c>
      <c r="E508" s="93" t="s">
        <v>507</v>
      </c>
      <c r="F508" s="106">
        <v>176745</v>
      </c>
      <c r="G508" s="8" t="s">
        <v>505</v>
      </c>
    </row>
    <row r="509" spans="1:7" ht="15" customHeight="1" x14ac:dyDescent="0.3">
      <c r="A509" s="93" t="s">
        <v>543</v>
      </c>
      <c r="B509" s="93" t="s">
        <v>96</v>
      </c>
      <c r="C509" s="93" t="s">
        <v>94</v>
      </c>
      <c r="D509" s="93" t="s">
        <v>503</v>
      </c>
      <c r="E509" s="93" t="s">
        <v>508</v>
      </c>
      <c r="F509" s="106">
        <v>206322</v>
      </c>
      <c r="G509" s="8" t="s">
        <v>505</v>
      </c>
    </row>
    <row r="510" spans="1:7" ht="15" customHeight="1" x14ac:dyDescent="0.3">
      <c r="A510" s="93" t="s">
        <v>543</v>
      </c>
      <c r="B510" s="93" t="s">
        <v>96</v>
      </c>
      <c r="C510" s="93" t="s">
        <v>94</v>
      </c>
      <c r="D510" s="93" t="s">
        <v>503</v>
      </c>
      <c r="E510" s="93" t="s">
        <v>509</v>
      </c>
      <c r="F510" s="106">
        <v>229909</v>
      </c>
      <c r="G510" s="8" t="s">
        <v>505</v>
      </c>
    </row>
    <row r="511" spans="1:7" ht="15" customHeight="1" x14ac:dyDescent="0.3">
      <c r="A511" s="93" t="s">
        <v>543</v>
      </c>
      <c r="B511" s="93" t="s">
        <v>96</v>
      </c>
      <c r="C511" s="93" t="s">
        <v>94</v>
      </c>
      <c r="D511" s="93" t="s">
        <v>503</v>
      </c>
      <c r="E511" s="93" t="s">
        <v>510</v>
      </c>
      <c r="F511" s="106">
        <v>310425</v>
      </c>
      <c r="G511" s="8" t="s">
        <v>505</v>
      </c>
    </row>
    <row r="512" spans="1:7" ht="15" customHeight="1" x14ac:dyDescent="0.3">
      <c r="A512" s="93" t="s">
        <v>543</v>
      </c>
      <c r="B512" s="93" t="s">
        <v>96</v>
      </c>
      <c r="C512" s="93" t="s">
        <v>94</v>
      </c>
      <c r="D512" s="93" t="s">
        <v>503</v>
      </c>
      <c r="E512" s="93" t="s">
        <v>511</v>
      </c>
      <c r="F512" s="106">
        <v>345901</v>
      </c>
      <c r="G512" s="8" t="s">
        <v>505</v>
      </c>
    </row>
    <row r="513" spans="1:7" ht="15" customHeight="1" x14ac:dyDescent="0.3">
      <c r="A513" s="93" t="s">
        <v>543</v>
      </c>
      <c r="B513" s="93" t="s">
        <v>96</v>
      </c>
      <c r="C513" s="93" t="s">
        <v>94</v>
      </c>
      <c r="D513" s="93" t="s">
        <v>503</v>
      </c>
      <c r="E513" s="93" t="s">
        <v>512</v>
      </c>
      <c r="F513" s="106">
        <v>346526</v>
      </c>
      <c r="G513" s="8" t="s">
        <v>505</v>
      </c>
    </row>
    <row r="514" spans="1:7" ht="15" customHeight="1" x14ac:dyDescent="0.3">
      <c r="A514" s="93" t="s">
        <v>544</v>
      </c>
      <c r="B514" s="93" t="s">
        <v>93</v>
      </c>
      <c r="C514" s="93" t="s">
        <v>94</v>
      </c>
      <c r="D514" s="93" t="s">
        <v>503</v>
      </c>
      <c r="E514" s="93" t="s">
        <v>504</v>
      </c>
      <c r="F514" s="106">
        <v>119432</v>
      </c>
      <c r="G514" s="8" t="s">
        <v>505</v>
      </c>
    </row>
    <row r="515" spans="1:7" ht="15" customHeight="1" x14ac:dyDescent="0.3">
      <c r="A515" s="93" t="s">
        <v>544</v>
      </c>
      <c r="B515" s="93" t="s">
        <v>93</v>
      </c>
      <c r="C515" s="93" t="s">
        <v>94</v>
      </c>
      <c r="D515" s="93" t="s">
        <v>503</v>
      </c>
      <c r="E515" s="93" t="s">
        <v>506</v>
      </c>
      <c r="F515" s="106">
        <v>146677</v>
      </c>
      <c r="G515" s="8" t="s">
        <v>505</v>
      </c>
    </row>
    <row r="516" spans="1:7" ht="15" customHeight="1" x14ac:dyDescent="0.3">
      <c r="A516" s="93" t="s">
        <v>544</v>
      </c>
      <c r="B516" s="93" t="s">
        <v>93</v>
      </c>
      <c r="C516" s="93" t="s">
        <v>94</v>
      </c>
      <c r="D516" s="93" t="s">
        <v>503</v>
      </c>
      <c r="E516" s="93" t="s">
        <v>507</v>
      </c>
      <c r="F516" s="106">
        <v>165192</v>
      </c>
      <c r="G516" s="8" t="s">
        <v>505</v>
      </c>
    </row>
    <row r="517" spans="1:7" ht="15" customHeight="1" x14ac:dyDescent="0.3">
      <c r="A517" s="93" t="s">
        <v>544</v>
      </c>
      <c r="B517" s="93" t="s">
        <v>93</v>
      </c>
      <c r="C517" s="93" t="s">
        <v>94</v>
      </c>
      <c r="D517" s="93" t="s">
        <v>503</v>
      </c>
      <c r="E517" s="93" t="s">
        <v>508</v>
      </c>
      <c r="F517" s="106">
        <v>177677</v>
      </c>
      <c r="G517" s="8" t="s">
        <v>505</v>
      </c>
    </row>
    <row r="518" spans="1:7" ht="15" customHeight="1" x14ac:dyDescent="0.3">
      <c r="A518" s="93" t="s">
        <v>544</v>
      </c>
      <c r="B518" s="93" t="s">
        <v>93</v>
      </c>
      <c r="C518" s="93" t="s">
        <v>94</v>
      </c>
      <c r="D518" s="93" t="s">
        <v>503</v>
      </c>
      <c r="E518" s="93" t="s">
        <v>509</v>
      </c>
      <c r="F518" s="106">
        <v>197966</v>
      </c>
      <c r="G518" s="8" t="s">
        <v>505</v>
      </c>
    </row>
    <row r="519" spans="1:7" ht="15" customHeight="1" x14ac:dyDescent="0.3">
      <c r="A519" s="93" t="s">
        <v>544</v>
      </c>
      <c r="B519" s="93" t="s">
        <v>93</v>
      </c>
      <c r="C519" s="93" t="s">
        <v>94</v>
      </c>
      <c r="D519" s="93" t="s">
        <v>503</v>
      </c>
      <c r="E519" s="93" t="s">
        <v>510</v>
      </c>
      <c r="F519" s="106">
        <v>267320</v>
      </c>
      <c r="G519" s="8" t="s">
        <v>505</v>
      </c>
    </row>
    <row r="520" spans="1:7" ht="15" customHeight="1" x14ac:dyDescent="0.3">
      <c r="A520" s="93" t="s">
        <v>544</v>
      </c>
      <c r="B520" s="93" t="s">
        <v>93</v>
      </c>
      <c r="C520" s="93" t="s">
        <v>94</v>
      </c>
      <c r="D520" s="93" t="s">
        <v>503</v>
      </c>
      <c r="E520" s="93" t="s">
        <v>511</v>
      </c>
      <c r="F520" s="106">
        <v>297784</v>
      </c>
      <c r="G520" s="8" t="s">
        <v>505</v>
      </c>
    </row>
    <row r="521" spans="1:7" ht="15" customHeight="1" x14ac:dyDescent="0.3">
      <c r="A521" s="93" t="s">
        <v>544</v>
      </c>
      <c r="B521" s="93" t="s">
        <v>93</v>
      </c>
      <c r="C521" s="93" t="s">
        <v>94</v>
      </c>
      <c r="D521" s="93" t="s">
        <v>503</v>
      </c>
      <c r="E521" s="93" t="s">
        <v>512</v>
      </c>
      <c r="F521" s="106">
        <v>298320</v>
      </c>
      <c r="G521" s="8" t="s">
        <v>505</v>
      </c>
    </row>
    <row r="522" spans="1:7" ht="15" customHeight="1" x14ac:dyDescent="0.3">
      <c r="A522" s="93" t="s">
        <v>544</v>
      </c>
      <c r="B522" s="93" t="s">
        <v>96</v>
      </c>
      <c r="C522" s="93" t="s">
        <v>94</v>
      </c>
      <c r="D522" s="93" t="s">
        <v>503</v>
      </c>
      <c r="E522" s="93" t="s">
        <v>504</v>
      </c>
      <c r="F522" s="106">
        <v>158348</v>
      </c>
      <c r="G522" s="8" t="s">
        <v>505</v>
      </c>
    </row>
    <row r="523" spans="1:7" ht="15" customHeight="1" x14ac:dyDescent="0.3">
      <c r="A523" s="93" t="s">
        <v>544</v>
      </c>
      <c r="B523" s="93" t="s">
        <v>96</v>
      </c>
      <c r="C523" s="93" t="s">
        <v>94</v>
      </c>
      <c r="D523" s="93" t="s">
        <v>503</v>
      </c>
      <c r="E523" s="93" t="s">
        <v>506</v>
      </c>
      <c r="F523" s="106">
        <v>170405</v>
      </c>
      <c r="G523" s="8" t="s">
        <v>505</v>
      </c>
    </row>
    <row r="524" spans="1:7" ht="15" customHeight="1" x14ac:dyDescent="0.3">
      <c r="A524" s="93" t="s">
        <v>544</v>
      </c>
      <c r="B524" s="93" t="s">
        <v>96</v>
      </c>
      <c r="C524" s="93" t="s">
        <v>94</v>
      </c>
      <c r="D524" s="93" t="s">
        <v>503</v>
      </c>
      <c r="E524" s="93" t="s">
        <v>507</v>
      </c>
      <c r="F524" s="106">
        <v>176745</v>
      </c>
      <c r="G524" s="8" t="s">
        <v>505</v>
      </c>
    </row>
    <row r="525" spans="1:7" ht="15" customHeight="1" x14ac:dyDescent="0.3">
      <c r="A525" s="93" t="s">
        <v>544</v>
      </c>
      <c r="B525" s="93" t="s">
        <v>96</v>
      </c>
      <c r="C525" s="93" t="s">
        <v>94</v>
      </c>
      <c r="D525" s="93" t="s">
        <v>503</v>
      </c>
      <c r="E525" s="93" t="s">
        <v>508</v>
      </c>
      <c r="F525" s="106">
        <v>206322</v>
      </c>
      <c r="G525" s="8" t="s">
        <v>505</v>
      </c>
    </row>
    <row r="526" spans="1:7" ht="15" customHeight="1" x14ac:dyDescent="0.3">
      <c r="A526" s="93" t="s">
        <v>544</v>
      </c>
      <c r="B526" s="93" t="s">
        <v>96</v>
      </c>
      <c r="C526" s="93" t="s">
        <v>94</v>
      </c>
      <c r="D526" s="93" t="s">
        <v>503</v>
      </c>
      <c r="E526" s="93" t="s">
        <v>509</v>
      </c>
      <c r="F526" s="106">
        <v>229909</v>
      </c>
      <c r="G526" s="8" t="s">
        <v>505</v>
      </c>
    </row>
    <row r="527" spans="1:7" ht="15" customHeight="1" x14ac:dyDescent="0.3">
      <c r="A527" s="93" t="s">
        <v>544</v>
      </c>
      <c r="B527" s="93" t="s">
        <v>96</v>
      </c>
      <c r="C527" s="93" t="s">
        <v>94</v>
      </c>
      <c r="D527" s="93" t="s">
        <v>503</v>
      </c>
      <c r="E527" s="93" t="s">
        <v>510</v>
      </c>
      <c r="F527" s="106">
        <v>310425</v>
      </c>
      <c r="G527" s="8" t="s">
        <v>505</v>
      </c>
    </row>
    <row r="528" spans="1:7" ht="15" customHeight="1" x14ac:dyDescent="0.3">
      <c r="A528" s="93" t="s">
        <v>544</v>
      </c>
      <c r="B528" s="93" t="s">
        <v>96</v>
      </c>
      <c r="C528" s="93" t="s">
        <v>94</v>
      </c>
      <c r="D528" s="93" t="s">
        <v>503</v>
      </c>
      <c r="E528" s="93" t="s">
        <v>511</v>
      </c>
      <c r="F528" s="106">
        <v>345901</v>
      </c>
      <c r="G528" s="8" t="s">
        <v>505</v>
      </c>
    </row>
    <row r="529" spans="1:7" ht="15" customHeight="1" x14ac:dyDescent="0.3">
      <c r="A529" s="93" t="s">
        <v>544</v>
      </c>
      <c r="B529" s="93" t="s">
        <v>96</v>
      </c>
      <c r="C529" s="93" t="s">
        <v>94</v>
      </c>
      <c r="D529" s="93" t="s">
        <v>503</v>
      </c>
      <c r="E529" s="93" t="s">
        <v>512</v>
      </c>
      <c r="F529" s="106">
        <v>346526</v>
      </c>
      <c r="G529" s="8" t="s">
        <v>505</v>
      </c>
    </row>
    <row r="530" spans="1:7" ht="15" customHeight="1" x14ac:dyDescent="0.3">
      <c r="A530" s="93" t="s">
        <v>545</v>
      </c>
      <c r="B530" s="93" t="s">
        <v>93</v>
      </c>
      <c r="C530" s="93" t="s">
        <v>94</v>
      </c>
      <c r="D530" s="93" t="s">
        <v>503</v>
      </c>
      <c r="E530" s="93" t="s">
        <v>504</v>
      </c>
      <c r="F530" s="106">
        <v>119432</v>
      </c>
      <c r="G530" s="8" t="s">
        <v>505</v>
      </c>
    </row>
    <row r="531" spans="1:7" ht="15" customHeight="1" x14ac:dyDescent="0.3">
      <c r="A531" s="93" t="s">
        <v>545</v>
      </c>
      <c r="B531" s="93" t="s">
        <v>93</v>
      </c>
      <c r="C531" s="93" t="s">
        <v>94</v>
      </c>
      <c r="D531" s="93" t="s">
        <v>503</v>
      </c>
      <c r="E531" s="93" t="s">
        <v>506</v>
      </c>
      <c r="F531" s="106">
        <v>146677</v>
      </c>
      <c r="G531" s="8" t="s">
        <v>505</v>
      </c>
    </row>
    <row r="532" spans="1:7" ht="15" customHeight="1" x14ac:dyDescent="0.3">
      <c r="A532" s="93" t="s">
        <v>545</v>
      </c>
      <c r="B532" s="93" t="s">
        <v>93</v>
      </c>
      <c r="C532" s="93" t="s">
        <v>94</v>
      </c>
      <c r="D532" s="93" t="s">
        <v>503</v>
      </c>
      <c r="E532" s="93" t="s">
        <v>507</v>
      </c>
      <c r="F532" s="106">
        <v>165192</v>
      </c>
      <c r="G532" s="8" t="s">
        <v>505</v>
      </c>
    </row>
    <row r="533" spans="1:7" ht="15" customHeight="1" x14ac:dyDescent="0.3">
      <c r="A533" s="93" t="s">
        <v>545</v>
      </c>
      <c r="B533" s="93" t="s">
        <v>93</v>
      </c>
      <c r="C533" s="93" t="s">
        <v>94</v>
      </c>
      <c r="D533" s="93" t="s">
        <v>503</v>
      </c>
      <c r="E533" s="93" t="s">
        <v>508</v>
      </c>
      <c r="F533" s="106">
        <v>177677</v>
      </c>
      <c r="G533" s="8" t="s">
        <v>505</v>
      </c>
    </row>
    <row r="534" spans="1:7" ht="15" customHeight="1" x14ac:dyDescent="0.3">
      <c r="A534" s="93" t="s">
        <v>545</v>
      </c>
      <c r="B534" s="93" t="s">
        <v>93</v>
      </c>
      <c r="C534" s="93" t="s">
        <v>94</v>
      </c>
      <c r="D534" s="93" t="s">
        <v>503</v>
      </c>
      <c r="E534" s="93" t="s">
        <v>509</v>
      </c>
      <c r="F534" s="106">
        <v>197966</v>
      </c>
      <c r="G534" s="8" t="s">
        <v>505</v>
      </c>
    </row>
    <row r="535" spans="1:7" ht="15" customHeight="1" x14ac:dyDescent="0.3">
      <c r="A535" s="93" t="s">
        <v>545</v>
      </c>
      <c r="B535" s="93" t="s">
        <v>93</v>
      </c>
      <c r="C535" s="93" t="s">
        <v>94</v>
      </c>
      <c r="D535" s="93" t="s">
        <v>503</v>
      </c>
      <c r="E535" s="93" t="s">
        <v>510</v>
      </c>
      <c r="F535" s="106">
        <v>267320</v>
      </c>
      <c r="G535" s="8" t="s">
        <v>505</v>
      </c>
    </row>
    <row r="536" spans="1:7" ht="15" customHeight="1" x14ac:dyDescent="0.3">
      <c r="A536" s="93" t="s">
        <v>545</v>
      </c>
      <c r="B536" s="93" t="s">
        <v>93</v>
      </c>
      <c r="C536" s="93" t="s">
        <v>94</v>
      </c>
      <c r="D536" s="93" t="s">
        <v>503</v>
      </c>
      <c r="E536" s="93" t="s">
        <v>511</v>
      </c>
      <c r="F536" s="106">
        <v>297784</v>
      </c>
      <c r="G536" s="8" t="s">
        <v>505</v>
      </c>
    </row>
    <row r="537" spans="1:7" ht="15" customHeight="1" x14ac:dyDescent="0.3">
      <c r="A537" s="93" t="s">
        <v>545</v>
      </c>
      <c r="B537" s="93" t="s">
        <v>93</v>
      </c>
      <c r="C537" s="93" t="s">
        <v>94</v>
      </c>
      <c r="D537" s="93" t="s">
        <v>503</v>
      </c>
      <c r="E537" s="93" t="s">
        <v>512</v>
      </c>
      <c r="F537" s="106">
        <v>298320</v>
      </c>
      <c r="G537" s="8" t="s">
        <v>505</v>
      </c>
    </row>
    <row r="538" spans="1:7" ht="15" customHeight="1" x14ac:dyDescent="0.3">
      <c r="A538" s="93" t="s">
        <v>545</v>
      </c>
      <c r="B538" s="93" t="s">
        <v>96</v>
      </c>
      <c r="C538" s="93" t="s">
        <v>94</v>
      </c>
      <c r="D538" s="93" t="s">
        <v>503</v>
      </c>
      <c r="E538" s="93" t="s">
        <v>504</v>
      </c>
      <c r="F538" s="106">
        <v>158348</v>
      </c>
      <c r="G538" s="8" t="s">
        <v>505</v>
      </c>
    </row>
    <row r="539" spans="1:7" ht="15" customHeight="1" x14ac:dyDescent="0.3">
      <c r="A539" s="93" t="s">
        <v>545</v>
      </c>
      <c r="B539" s="93" t="s">
        <v>96</v>
      </c>
      <c r="C539" s="93" t="s">
        <v>94</v>
      </c>
      <c r="D539" s="93" t="s">
        <v>503</v>
      </c>
      <c r="E539" s="93" t="s">
        <v>506</v>
      </c>
      <c r="F539" s="106">
        <v>170405</v>
      </c>
      <c r="G539" s="8" t="s">
        <v>505</v>
      </c>
    </row>
    <row r="540" spans="1:7" ht="15" customHeight="1" x14ac:dyDescent="0.3">
      <c r="A540" s="93" t="s">
        <v>545</v>
      </c>
      <c r="B540" s="93" t="s">
        <v>96</v>
      </c>
      <c r="C540" s="93" t="s">
        <v>94</v>
      </c>
      <c r="D540" s="93" t="s">
        <v>503</v>
      </c>
      <c r="E540" s="93" t="s">
        <v>507</v>
      </c>
      <c r="F540" s="106">
        <v>176745</v>
      </c>
      <c r="G540" s="8" t="s">
        <v>505</v>
      </c>
    </row>
    <row r="541" spans="1:7" ht="15" customHeight="1" x14ac:dyDescent="0.3">
      <c r="A541" s="93" t="s">
        <v>545</v>
      </c>
      <c r="B541" s="93" t="s">
        <v>96</v>
      </c>
      <c r="C541" s="93" t="s">
        <v>94</v>
      </c>
      <c r="D541" s="93" t="s">
        <v>503</v>
      </c>
      <c r="E541" s="93" t="s">
        <v>508</v>
      </c>
      <c r="F541" s="106">
        <v>206322</v>
      </c>
      <c r="G541" s="8" t="s">
        <v>505</v>
      </c>
    </row>
    <row r="542" spans="1:7" ht="15" customHeight="1" x14ac:dyDescent="0.3">
      <c r="A542" s="93" t="s">
        <v>545</v>
      </c>
      <c r="B542" s="93" t="s">
        <v>96</v>
      </c>
      <c r="C542" s="93" t="s">
        <v>94</v>
      </c>
      <c r="D542" s="93" t="s">
        <v>503</v>
      </c>
      <c r="E542" s="93" t="s">
        <v>509</v>
      </c>
      <c r="F542" s="106">
        <v>229909</v>
      </c>
      <c r="G542" s="8" t="s">
        <v>505</v>
      </c>
    </row>
    <row r="543" spans="1:7" ht="15" customHeight="1" x14ac:dyDescent="0.3">
      <c r="A543" s="93" t="s">
        <v>545</v>
      </c>
      <c r="B543" s="93" t="s">
        <v>96</v>
      </c>
      <c r="C543" s="93" t="s">
        <v>94</v>
      </c>
      <c r="D543" s="93" t="s">
        <v>503</v>
      </c>
      <c r="E543" s="93" t="s">
        <v>510</v>
      </c>
      <c r="F543" s="106">
        <v>310425</v>
      </c>
      <c r="G543" s="8" t="s">
        <v>505</v>
      </c>
    </row>
    <row r="544" spans="1:7" ht="15" customHeight="1" x14ac:dyDescent="0.3">
      <c r="A544" s="93" t="s">
        <v>545</v>
      </c>
      <c r="B544" s="93" t="s">
        <v>96</v>
      </c>
      <c r="C544" s="93" t="s">
        <v>94</v>
      </c>
      <c r="D544" s="93" t="s">
        <v>503</v>
      </c>
      <c r="E544" s="93" t="s">
        <v>511</v>
      </c>
      <c r="F544" s="106">
        <v>345901</v>
      </c>
      <c r="G544" s="8" t="s">
        <v>505</v>
      </c>
    </row>
    <row r="545" spans="1:7" ht="15" customHeight="1" x14ac:dyDescent="0.3">
      <c r="A545" s="93" t="s">
        <v>545</v>
      </c>
      <c r="B545" s="93" t="s">
        <v>96</v>
      </c>
      <c r="C545" s="93" t="s">
        <v>94</v>
      </c>
      <c r="D545" s="93" t="s">
        <v>503</v>
      </c>
      <c r="E545" s="93" t="s">
        <v>512</v>
      </c>
      <c r="F545" s="106">
        <v>346526</v>
      </c>
      <c r="G545" s="8" t="s">
        <v>505</v>
      </c>
    </row>
    <row r="546" spans="1:7" ht="15" customHeight="1" x14ac:dyDescent="0.3">
      <c r="A546" s="93" t="s">
        <v>546</v>
      </c>
      <c r="B546" s="93" t="s">
        <v>93</v>
      </c>
      <c r="C546" s="93" t="s">
        <v>94</v>
      </c>
      <c r="D546" s="93" t="s">
        <v>503</v>
      </c>
      <c r="E546" s="93" t="s">
        <v>504</v>
      </c>
      <c r="F546" s="106">
        <v>119432</v>
      </c>
      <c r="G546" s="8" t="s">
        <v>505</v>
      </c>
    </row>
    <row r="547" spans="1:7" ht="15" customHeight="1" x14ac:dyDescent="0.3">
      <c r="A547" s="93" t="s">
        <v>546</v>
      </c>
      <c r="B547" s="93" t="s">
        <v>93</v>
      </c>
      <c r="C547" s="93" t="s">
        <v>94</v>
      </c>
      <c r="D547" s="93" t="s">
        <v>503</v>
      </c>
      <c r="E547" s="93" t="s">
        <v>506</v>
      </c>
      <c r="F547" s="106">
        <v>146677</v>
      </c>
      <c r="G547" s="8" t="s">
        <v>505</v>
      </c>
    </row>
    <row r="548" spans="1:7" ht="15" customHeight="1" x14ac:dyDescent="0.3">
      <c r="A548" s="93" t="s">
        <v>546</v>
      </c>
      <c r="B548" s="93" t="s">
        <v>93</v>
      </c>
      <c r="C548" s="93" t="s">
        <v>94</v>
      </c>
      <c r="D548" s="93" t="s">
        <v>503</v>
      </c>
      <c r="E548" s="93" t="s">
        <v>507</v>
      </c>
      <c r="F548" s="106">
        <v>165192</v>
      </c>
      <c r="G548" s="8" t="s">
        <v>505</v>
      </c>
    </row>
    <row r="549" spans="1:7" ht="15" customHeight="1" x14ac:dyDescent="0.3">
      <c r="A549" s="93" t="s">
        <v>546</v>
      </c>
      <c r="B549" s="93" t="s">
        <v>93</v>
      </c>
      <c r="C549" s="93" t="s">
        <v>94</v>
      </c>
      <c r="D549" s="93" t="s">
        <v>503</v>
      </c>
      <c r="E549" s="93" t="s">
        <v>508</v>
      </c>
      <c r="F549" s="106">
        <v>177677</v>
      </c>
      <c r="G549" s="8" t="s">
        <v>505</v>
      </c>
    </row>
    <row r="550" spans="1:7" ht="15" customHeight="1" x14ac:dyDescent="0.3">
      <c r="A550" s="93" t="s">
        <v>546</v>
      </c>
      <c r="B550" s="93" t="s">
        <v>93</v>
      </c>
      <c r="C550" s="93" t="s">
        <v>94</v>
      </c>
      <c r="D550" s="93" t="s">
        <v>503</v>
      </c>
      <c r="E550" s="93" t="s">
        <v>509</v>
      </c>
      <c r="F550" s="106">
        <v>197966</v>
      </c>
      <c r="G550" s="8" t="s">
        <v>505</v>
      </c>
    </row>
    <row r="551" spans="1:7" ht="15" customHeight="1" x14ac:dyDescent="0.3">
      <c r="A551" s="93" t="s">
        <v>546</v>
      </c>
      <c r="B551" s="93" t="s">
        <v>93</v>
      </c>
      <c r="C551" s="93" t="s">
        <v>94</v>
      </c>
      <c r="D551" s="93" t="s">
        <v>503</v>
      </c>
      <c r="E551" s="93" t="s">
        <v>510</v>
      </c>
      <c r="F551" s="106">
        <v>267320</v>
      </c>
      <c r="G551" s="8" t="s">
        <v>505</v>
      </c>
    </row>
    <row r="552" spans="1:7" ht="15" customHeight="1" x14ac:dyDescent="0.3">
      <c r="A552" s="93" t="s">
        <v>546</v>
      </c>
      <c r="B552" s="93" t="s">
        <v>93</v>
      </c>
      <c r="C552" s="93" t="s">
        <v>94</v>
      </c>
      <c r="D552" s="93" t="s">
        <v>503</v>
      </c>
      <c r="E552" s="93" t="s">
        <v>511</v>
      </c>
      <c r="F552" s="106">
        <v>297784</v>
      </c>
      <c r="G552" s="8" t="s">
        <v>505</v>
      </c>
    </row>
    <row r="553" spans="1:7" ht="15" customHeight="1" x14ac:dyDescent="0.3">
      <c r="A553" s="93" t="s">
        <v>546</v>
      </c>
      <c r="B553" s="93" t="s">
        <v>93</v>
      </c>
      <c r="C553" s="93" t="s">
        <v>94</v>
      </c>
      <c r="D553" s="93" t="s">
        <v>503</v>
      </c>
      <c r="E553" s="93" t="s">
        <v>512</v>
      </c>
      <c r="F553" s="106">
        <v>298320</v>
      </c>
      <c r="G553" s="8" t="s">
        <v>505</v>
      </c>
    </row>
    <row r="554" spans="1:7" ht="15" customHeight="1" x14ac:dyDescent="0.3">
      <c r="A554" s="93" t="s">
        <v>546</v>
      </c>
      <c r="B554" s="93" t="s">
        <v>96</v>
      </c>
      <c r="C554" s="93" t="s">
        <v>94</v>
      </c>
      <c r="D554" s="93" t="s">
        <v>503</v>
      </c>
      <c r="E554" s="93" t="s">
        <v>504</v>
      </c>
      <c r="F554" s="106">
        <v>158348</v>
      </c>
      <c r="G554" s="8" t="s">
        <v>505</v>
      </c>
    </row>
    <row r="555" spans="1:7" ht="15" customHeight="1" x14ac:dyDescent="0.3">
      <c r="A555" s="93" t="s">
        <v>546</v>
      </c>
      <c r="B555" s="93" t="s">
        <v>96</v>
      </c>
      <c r="C555" s="93" t="s">
        <v>94</v>
      </c>
      <c r="D555" s="93" t="s">
        <v>503</v>
      </c>
      <c r="E555" s="93" t="s">
        <v>506</v>
      </c>
      <c r="F555" s="106">
        <v>170405</v>
      </c>
      <c r="G555" s="8" t="s">
        <v>505</v>
      </c>
    </row>
    <row r="556" spans="1:7" ht="15" customHeight="1" x14ac:dyDescent="0.3">
      <c r="A556" s="93" t="s">
        <v>546</v>
      </c>
      <c r="B556" s="93" t="s">
        <v>96</v>
      </c>
      <c r="C556" s="93" t="s">
        <v>94</v>
      </c>
      <c r="D556" s="93" t="s">
        <v>503</v>
      </c>
      <c r="E556" s="93" t="s">
        <v>507</v>
      </c>
      <c r="F556" s="106">
        <v>176745</v>
      </c>
      <c r="G556" s="8" t="s">
        <v>505</v>
      </c>
    </row>
    <row r="557" spans="1:7" ht="15" customHeight="1" x14ac:dyDescent="0.3">
      <c r="A557" s="93" t="s">
        <v>546</v>
      </c>
      <c r="B557" s="93" t="s">
        <v>96</v>
      </c>
      <c r="C557" s="93" t="s">
        <v>94</v>
      </c>
      <c r="D557" s="93" t="s">
        <v>503</v>
      </c>
      <c r="E557" s="93" t="s">
        <v>508</v>
      </c>
      <c r="F557" s="106">
        <v>206322</v>
      </c>
      <c r="G557" s="8" t="s">
        <v>505</v>
      </c>
    </row>
    <row r="558" spans="1:7" ht="15" customHeight="1" x14ac:dyDescent="0.3">
      <c r="A558" s="93" t="s">
        <v>546</v>
      </c>
      <c r="B558" s="93" t="s">
        <v>96</v>
      </c>
      <c r="C558" s="93" t="s">
        <v>94</v>
      </c>
      <c r="D558" s="93" t="s">
        <v>503</v>
      </c>
      <c r="E558" s="93" t="s">
        <v>509</v>
      </c>
      <c r="F558" s="106">
        <v>229909</v>
      </c>
      <c r="G558" s="8" t="s">
        <v>505</v>
      </c>
    </row>
    <row r="559" spans="1:7" ht="15" customHeight="1" x14ac:dyDescent="0.3">
      <c r="A559" s="93" t="s">
        <v>546</v>
      </c>
      <c r="B559" s="93" t="s">
        <v>96</v>
      </c>
      <c r="C559" s="93" t="s">
        <v>94</v>
      </c>
      <c r="D559" s="93" t="s">
        <v>503</v>
      </c>
      <c r="E559" s="93" t="s">
        <v>510</v>
      </c>
      <c r="F559" s="106">
        <v>310425</v>
      </c>
      <c r="G559" s="8" t="s">
        <v>505</v>
      </c>
    </row>
    <row r="560" spans="1:7" ht="15" customHeight="1" x14ac:dyDescent="0.3">
      <c r="A560" s="93" t="s">
        <v>546</v>
      </c>
      <c r="B560" s="93" t="s">
        <v>96</v>
      </c>
      <c r="C560" s="93" t="s">
        <v>94</v>
      </c>
      <c r="D560" s="93" t="s">
        <v>503</v>
      </c>
      <c r="E560" s="93" t="s">
        <v>511</v>
      </c>
      <c r="F560" s="106">
        <v>345901</v>
      </c>
      <c r="G560" s="8" t="s">
        <v>505</v>
      </c>
    </row>
    <row r="561" spans="1:7" ht="15" customHeight="1" x14ac:dyDescent="0.3">
      <c r="A561" s="93" t="s">
        <v>546</v>
      </c>
      <c r="B561" s="93" t="s">
        <v>96</v>
      </c>
      <c r="C561" s="93" t="s">
        <v>94</v>
      </c>
      <c r="D561" s="93" t="s">
        <v>503</v>
      </c>
      <c r="E561" s="93" t="s">
        <v>512</v>
      </c>
      <c r="F561" s="106">
        <v>346526</v>
      </c>
      <c r="G561" s="8" t="s">
        <v>505</v>
      </c>
    </row>
    <row r="562" spans="1:7" ht="15" customHeight="1" x14ac:dyDescent="0.3">
      <c r="A562" s="93" t="s">
        <v>626</v>
      </c>
      <c r="B562" s="93" t="s">
        <v>93</v>
      </c>
      <c r="C562" s="93" t="s">
        <v>94</v>
      </c>
      <c r="D562" s="93">
        <v>1.83</v>
      </c>
      <c r="E562" s="93">
        <v>6</v>
      </c>
      <c r="F562" s="106">
        <v>67953</v>
      </c>
      <c r="G562" s="8" t="s">
        <v>505</v>
      </c>
    </row>
    <row r="563" spans="1:7" ht="15" customHeight="1" x14ac:dyDescent="0.3">
      <c r="A563" s="93" t="s">
        <v>626</v>
      </c>
      <c r="B563" s="93" t="s">
        <v>93</v>
      </c>
      <c r="C563" s="93" t="s">
        <v>94</v>
      </c>
      <c r="D563" s="93">
        <v>1.83</v>
      </c>
      <c r="E563" s="93">
        <v>9</v>
      </c>
      <c r="F563" s="106">
        <v>78108</v>
      </c>
      <c r="G563" s="8" t="s">
        <v>505</v>
      </c>
    </row>
    <row r="564" spans="1:7" ht="15" customHeight="1" x14ac:dyDescent="0.3">
      <c r="A564" s="93" t="s">
        <v>626</v>
      </c>
      <c r="B564" s="93" t="s">
        <v>93</v>
      </c>
      <c r="C564" s="93" t="s">
        <v>94</v>
      </c>
      <c r="D564" s="93">
        <v>1.83</v>
      </c>
      <c r="E564" s="93">
        <v>12</v>
      </c>
      <c r="F564" s="106">
        <v>96567</v>
      </c>
      <c r="G564" s="8" t="s">
        <v>505</v>
      </c>
    </row>
    <row r="565" spans="1:7" ht="15" customHeight="1" x14ac:dyDescent="0.3">
      <c r="A565" s="93" t="s">
        <v>626</v>
      </c>
      <c r="B565" s="93" t="s">
        <v>93</v>
      </c>
      <c r="C565" s="93" t="s">
        <v>94</v>
      </c>
      <c r="D565" s="93">
        <v>1.83</v>
      </c>
      <c r="E565" s="93">
        <v>15</v>
      </c>
      <c r="F565" s="106">
        <v>112773</v>
      </c>
      <c r="G565" s="8" t="s">
        <v>505</v>
      </c>
    </row>
    <row r="566" spans="1:7" ht="15" customHeight="1" x14ac:dyDescent="0.3">
      <c r="A566" s="93" t="s">
        <v>626</v>
      </c>
      <c r="B566" s="93" t="s">
        <v>93</v>
      </c>
      <c r="C566" s="93" t="s">
        <v>94</v>
      </c>
      <c r="D566" s="93">
        <v>1.83</v>
      </c>
      <c r="E566" s="93">
        <v>18</v>
      </c>
      <c r="F566" s="106">
        <v>132689</v>
      </c>
      <c r="G566" s="8" t="s">
        <v>505</v>
      </c>
    </row>
    <row r="567" spans="1:7" ht="15" customHeight="1" x14ac:dyDescent="0.3">
      <c r="A567" s="93" t="s">
        <v>626</v>
      </c>
      <c r="B567" s="93" t="s">
        <v>93</v>
      </c>
      <c r="C567" s="93" t="s">
        <v>94</v>
      </c>
      <c r="D567" s="93">
        <v>1.83</v>
      </c>
      <c r="E567" s="93">
        <v>25</v>
      </c>
      <c r="F567" s="106">
        <v>184018</v>
      </c>
      <c r="G567" s="8" t="s">
        <v>505</v>
      </c>
    </row>
    <row r="568" spans="1:7" ht="15" customHeight="1" x14ac:dyDescent="0.3">
      <c r="A568" s="93" t="s">
        <v>626</v>
      </c>
      <c r="B568" s="93" t="s">
        <v>93</v>
      </c>
      <c r="C568" s="93" t="s">
        <v>94</v>
      </c>
      <c r="D568" s="93">
        <v>1.83</v>
      </c>
      <c r="E568" s="93">
        <v>30</v>
      </c>
      <c r="F568" s="106">
        <v>220934</v>
      </c>
      <c r="G568" s="8" t="s">
        <v>505</v>
      </c>
    </row>
    <row r="569" spans="1:7" ht="15" customHeight="1" x14ac:dyDescent="0.3">
      <c r="A569" s="93" t="s">
        <v>626</v>
      </c>
      <c r="B569" s="93" t="s">
        <v>93</v>
      </c>
      <c r="C569" s="93" t="s">
        <v>94</v>
      </c>
      <c r="D569" s="93">
        <v>1.83</v>
      </c>
      <c r="E569" s="93">
        <v>36</v>
      </c>
      <c r="F569" s="106">
        <v>257394</v>
      </c>
      <c r="G569" s="8" t="s">
        <v>505</v>
      </c>
    </row>
    <row r="570" spans="1:7" ht="15" customHeight="1" x14ac:dyDescent="0.3">
      <c r="A570" s="93" t="s">
        <v>626</v>
      </c>
      <c r="B570" s="93" t="s">
        <v>96</v>
      </c>
      <c r="C570" s="93" t="s">
        <v>94</v>
      </c>
      <c r="D570" s="93">
        <v>1.83</v>
      </c>
      <c r="E570" s="93">
        <v>6</v>
      </c>
      <c r="F570" s="106">
        <v>84263</v>
      </c>
      <c r="G570" s="8" t="s">
        <v>505</v>
      </c>
    </row>
    <row r="571" spans="1:7" ht="15" customHeight="1" x14ac:dyDescent="0.3">
      <c r="A571" s="93" t="s">
        <v>626</v>
      </c>
      <c r="B571" s="93" t="s">
        <v>96</v>
      </c>
      <c r="C571" s="93" t="s">
        <v>94</v>
      </c>
      <c r="D571" s="93">
        <v>1.83</v>
      </c>
      <c r="E571" s="93">
        <v>9</v>
      </c>
      <c r="F571" s="106">
        <v>96817</v>
      </c>
      <c r="G571" s="8" t="s">
        <v>505</v>
      </c>
    </row>
    <row r="572" spans="1:7" ht="15" customHeight="1" x14ac:dyDescent="0.3">
      <c r="A572" s="93" t="s">
        <v>626</v>
      </c>
      <c r="B572" s="93" t="s">
        <v>96</v>
      </c>
      <c r="C572" s="93" t="s">
        <v>94</v>
      </c>
      <c r="D572" s="93">
        <v>1.83</v>
      </c>
      <c r="E572" s="93">
        <v>12</v>
      </c>
      <c r="F572" s="106">
        <v>119658</v>
      </c>
      <c r="G572" s="8" t="s">
        <v>505</v>
      </c>
    </row>
    <row r="573" spans="1:7" ht="15" customHeight="1" x14ac:dyDescent="0.3">
      <c r="A573" s="93" t="s">
        <v>626</v>
      </c>
      <c r="B573" s="93" t="s">
        <v>96</v>
      </c>
      <c r="C573" s="93" t="s">
        <v>94</v>
      </c>
      <c r="D573" s="93">
        <v>1.83</v>
      </c>
      <c r="E573" s="93">
        <v>15</v>
      </c>
      <c r="F573" s="106">
        <v>139792</v>
      </c>
      <c r="G573" s="8" t="s">
        <v>505</v>
      </c>
    </row>
    <row r="574" spans="1:7" ht="15" customHeight="1" x14ac:dyDescent="0.3">
      <c r="A574" s="93" t="s">
        <v>626</v>
      </c>
      <c r="B574" s="93" t="s">
        <v>96</v>
      </c>
      <c r="C574" s="93" t="s">
        <v>94</v>
      </c>
      <c r="D574" s="93">
        <v>1.83</v>
      </c>
      <c r="E574" s="93">
        <v>18</v>
      </c>
      <c r="F574" s="106">
        <v>173380</v>
      </c>
      <c r="G574" s="8" t="s">
        <v>505</v>
      </c>
    </row>
    <row r="575" spans="1:7" ht="15" customHeight="1" x14ac:dyDescent="0.3">
      <c r="A575" s="93" t="s">
        <v>626</v>
      </c>
      <c r="B575" s="93" t="s">
        <v>96</v>
      </c>
      <c r="C575" s="93" t="s">
        <v>94</v>
      </c>
      <c r="D575" s="93">
        <v>1.83</v>
      </c>
      <c r="E575" s="93">
        <v>25</v>
      </c>
      <c r="F575" s="106">
        <v>228004</v>
      </c>
      <c r="G575" s="8" t="s">
        <v>505</v>
      </c>
    </row>
    <row r="576" spans="1:7" ht="15" customHeight="1" x14ac:dyDescent="0.3">
      <c r="A576" s="93" t="s">
        <v>626</v>
      </c>
      <c r="B576" s="93" t="s">
        <v>96</v>
      </c>
      <c r="C576" s="93" t="s">
        <v>94</v>
      </c>
      <c r="D576" s="93">
        <v>1.83</v>
      </c>
      <c r="E576" s="93">
        <v>30</v>
      </c>
      <c r="F576" s="106">
        <v>273590</v>
      </c>
      <c r="G576" s="8" t="s">
        <v>505</v>
      </c>
    </row>
    <row r="577" spans="1:7" ht="15" customHeight="1" x14ac:dyDescent="0.3">
      <c r="A577" s="93" t="s">
        <v>626</v>
      </c>
      <c r="B577" s="93" t="s">
        <v>96</v>
      </c>
      <c r="C577" s="93" t="s">
        <v>94</v>
      </c>
      <c r="D577" s="93">
        <v>1.83</v>
      </c>
      <c r="E577" s="93">
        <v>36</v>
      </c>
      <c r="F577" s="106">
        <v>318827</v>
      </c>
      <c r="G577" s="8" t="s">
        <v>505</v>
      </c>
    </row>
    <row r="578" spans="1:7" ht="15" customHeight="1" x14ac:dyDescent="0.3">
      <c r="A578" s="93" t="s">
        <v>547</v>
      </c>
      <c r="B578" s="93" t="s">
        <v>93</v>
      </c>
      <c r="C578" s="93" t="s">
        <v>94</v>
      </c>
      <c r="D578" s="93" t="s">
        <v>503</v>
      </c>
      <c r="E578" s="93" t="s">
        <v>504</v>
      </c>
      <c r="F578" s="106">
        <v>126272</v>
      </c>
      <c r="G578" s="8" t="s">
        <v>505</v>
      </c>
    </row>
    <row r="579" spans="1:7" ht="15" customHeight="1" x14ac:dyDescent="0.3">
      <c r="A579" s="93" t="s">
        <v>547</v>
      </c>
      <c r="B579" s="93" t="s">
        <v>93</v>
      </c>
      <c r="C579" s="93" t="s">
        <v>94</v>
      </c>
      <c r="D579" s="93" t="s">
        <v>503</v>
      </c>
      <c r="E579" s="93" t="s">
        <v>506</v>
      </c>
      <c r="F579" s="106">
        <v>150861</v>
      </c>
      <c r="G579" s="8" t="s">
        <v>505</v>
      </c>
    </row>
    <row r="580" spans="1:7" ht="15" customHeight="1" x14ac:dyDescent="0.3">
      <c r="A580" s="93" t="s">
        <v>547</v>
      </c>
      <c r="B580" s="93" t="s">
        <v>93</v>
      </c>
      <c r="C580" s="93" t="s">
        <v>94</v>
      </c>
      <c r="D580" s="93" t="s">
        <v>503</v>
      </c>
      <c r="E580" s="93" t="s">
        <v>507</v>
      </c>
      <c r="F580" s="106">
        <v>169635</v>
      </c>
      <c r="G580" s="8" t="s">
        <v>505</v>
      </c>
    </row>
    <row r="581" spans="1:7" ht="15" customHeight="1" x14ac:dyDescent="0.3">
      <c r="A581" s="93" t="s">
        <v>547</v>
      </c>
      <c r="B581" s="93" t="s">
        <v>93</v>
      </c>
      <c r="C581" s="93" t="s">
        <v>94</v>
      </c>
      <c r="D581" s="93" t="s">
        <v>503</v>
      </c>
      <c r="E581" s="93" t="s">
        <v>508</v>
      </c>
      <c r="F581" s="106">
        <v>178311</v>
      </c>
      <c r="G581" s="8" t="s">
        <v>505</v>
      </c>
    </row>
    <row r="582" spans="1:7" ht="15" customHeight="1" x14ac:dyDescent="0.3">
      <c r="A582" s="93" t="s">
        <v>547</v>
      </c>
      <c r="B582" s="93" t="s">
        <v>93</v>
      </c>
      <c r="C582" s="93" t="s">
        <v>94</v>
      </c>
      <c r="D582" s="93" t="s">
        <v>503</v>
      </c>
      <c r="E582" s="93" t="s">
        <v>509</v>
      </c>
      <c r="F582" s="106">
        <v>197322</v>
      </c>
      <c r="G582" s="8" t="s">
        <v>505</v>
      </c>
    </row>
    <row r="583" spans="1:7" ht="15" customHeight="1" x14ac:dyDescent="0.3">
      <c r="A583" s="93" t="s">
        <v>547</v>
      </c>
      <c r="B583" s="93" t="s">
        <v>93</v>
      </c>
      <c r="C583" s="93" t="s">
        <v>94</v>
      </c>
      <c r="D583" s="93" t="s">
        <v>503</v>
      </c>
      <c r="E583" s="93" t="s">
        <v>510</v>
      </c>
      <c r="F583" s="106">
        <v>274534</v>
      </c>
      <c r="G583" s="8" t="s">
        <v>505</v>
      </c>
    </row>
    <row r="584" spans="1:7" ht="15" customHeight="1" x14ac:dyDescent="0.3">
      <c r="A584" s="93" t="s">
        <v>547</v>
      </c>
      <c r="B584" s="93" t="s">
        <v>93</v>
      </c>
      <c r="C584" s="93" t="s">
        <v>94</v>
      </c>
      <c r="D584" s="93" t="s">
        <v>503</v>
      </c>
      <c r="E584" s="93" t="s">
        <v>511</v>
      </c>
      <c r="F584" s="106">
        <v>306044</v>
      </c>
      <c r="G584" s="8" t="s">
        <v>505</v>
      </c>
    </row>
    <row r="585" spans="1:7" ht="15" customHeight="1" x14ac:dyDescent="0.3">
      <c r="A585" s="93" t="s">
        <v>547</v>
      </c>
      <c r="B585" s="93" t="s">
        <v>93</v>
      </c>
      <c r="C585" s="93" t="s">
        <v>94</v>
      </c>
      <c r="D585" s="93" t="s">
        <v>503</v>
      </c>
      <c r="E585" s="93" t="s">
        <v>512</v>
      </c>
      <c r="F585" s="106">
        <v>306392</v>
      </c>
      <c r="G585" s="8" t="s">
        <v>505</v>
      </c>
    </row>
    <row r="586" spans="1:7" ht="15" customHeight="1" x14ac:dyDescent="0.3">
      <c r="A586" s="93" t="s">
        <v>547</v>
      </c>
      <c r="B586" s="93" t="s">
        <v>96</v>
      </c>
      <c r="C586" s="93" t="s">
        <v>94</v>
      </c>
      <c r="D586" s="93" t="s">
        <v>503</v>
      </c>
      <c r="E586" s="93" t="s">
        <v>504</v>
      </c>
      <c r="F586" s="106">
        <v>152506</v>
      </c>
      <c r="G586" s="8" t="s">
        <v>505</v>
      </c>
    </row>
    <row r="587" spans="1:7" ht="15" customHeight="1" x14ac:dyDescent="0.3">
      <c r="A587" s="93" t="s">
        <v>547</v>
      </c>
      <c r="B587" s="93" t="s">
        <v>96</v>
      </c>
      <c r="C587" s="93" t="s">
        <v>94</v>
      </c>
      <c r="D587" s="93" t="s">
        <v>503</v>
      </c>
      <c r="E587" s="93" t="s">
        <v>506</v>
      </c>
      <c r="F587" s="106">
        <v>173728</v>
      </c>
      <c r="G587" s="8" t="s">
        <v>505</v>
      </c>
    </row>
    <row r="588" spans="1:7" ht="15" customHeight="1" x14ac:dyDescent="0.3">
      <c r="A588" s="93" t="s">
        <v>547</v>
      </c>
      <c r="B588" s="93" t="s">
        <v>96</v>
      </c>
      <c r="C588" s="93" t="s">
        <v>94</v>
      </c>
      <c r="D588" s="93" t="s">
        <v>503</v>
      </c>
      <c r="E588" s="93" t="s">
        <v>507</v>
      </c>
      <c r="F588" s="106">
        <v>180102</v>
      </c>
      <c r="G588" s="8" t="s">
        <v>505</v>
      </c>
    </row>
    <row r="589" spans="1:7" ht="15" customHeight="1" x14ac:dyDescent="0.3">
      <c r="A589" s="93" t="s">
        <v>547</v>
      </c>
      <c r="B589" s="93" t="s">
        <v>96</v>
      </c>
      <c r="C589" s="93" t="s">
        <v>94</v>
      </c>
      <c r="D589" s="93" t="s">
        <v>503</v>
      </c>
      <c r="E589" s="93" t="s">
        <v>508</v>
      </c>
      <c r="F589" s="106">
        <v>198711</v>
      </c>
      <c r="G589" s="8" t="s">
        <v>505</v>
      </c>
    </row>
    <row r="590" spans="1:7" ht="15" customHeight="1" x14ac:dyDescent="0.3">
      <c r="A590" s="93" t="s">
        <v>547</v>
      </c>
      <c r="B590" s="93" t="s">
        <v>96</v>
      </c>
      <c r="C590" s="93" t="s">
        <v>94</v>
      </c>
      <c r="D590" s="93" t="s">
        <v>503</v>
      </c>
      <c r="E590" s="93" t="s">
        <v>509</v>
      </c>
      <c r="F590" s="106">
        <v>220308</v>
      </c>
      <c r="G590" s="8" t="s">
        <v>505</v>
      </c>
    </row>
    <row r="591" spans="1:7" ht="15" customHeight="1" x14ac:dyDescent="0.3">
      <c r="A591" s="93" t="s">
        <v>547</v>
      </c>
      <c r="B591" s="93" t="s">
        <v>96</v>
      </c>
      <c r="C591" s="93" t="s">
        <v>94</v>
      </c>
      <c r="D591" s="93" t="s">
        <v>503</v>
      </c>
      <c r="E591" s="93" t="s">
        <v>510</v>
      </c>
      <c r="F591" s="106">
        <v>316175</v>
      </c>
      <c r="G591" s="8" t="s">
        <v>505</v>
      </c>
    </row>
    <row r="592" spans="1:7" ht="15" customHeight="1" x14ac:dyDescent="0.3">
      <c r="A592" s="93" t="s">
        <v>547</v>
      </c>
      <c r="B592" s="93" t="s">
        <v>96</v>
      </c>
      <c r="C592" s="93" t="s">
        <v>94</v>
      </c>
      <c r="D592" s="93" t="s">
        <v>503</v>
      </c>
      <c r="E592" s="93" t="s">
        <v>511</v>
      </c>
      <c r="F592" s="106">
        <v>352354</v>
      </c>
      <c r="G592" s="8" t="s">
        <v>505</v>
      </c>
    </row>
    <row r="593" spans="1:7" ht="15" customHeight="1" x14ac:dyDescent="0.3">
      <c r="A593" s="93" t="s">
        <v>547</v>
      </c>
      <c r="B593" s="93" t="s">
        <v>96</v>
      </c>
      <c r="C593" s="93" t="s">
        <v>94</v>
      </c>
      <c r="D593" s="93" t="s">
        <v>503</v>
      </c>
      <c r="E593" s="93" t="s">
        <v>512</v>
      </c>
      <c r="F593" s="106">
        <v>353038</v>
      </c>
      <c r="G593" s="8" t="s">
        <v>505</v>
      </c>
    </row>
    <row r="594" spans="1:7" ht="15" customHeight="1" x14ac:dyDescent="0.3">
      <c r="A594" s="93" t="s">
        <v>548</v>
      </c>
      <c r="B594" s="93" t="s">
        <v>93</v>
      </c>
      <c r="C594" s="93" t="s">
        <v>94</v>
      </c>
      <c r="D594" s="93" t="s">
        <v>503</v>
      </c>
      <c r="E594" s="93" t="s">
        <v>504</v>
      </c>
      <c r="F594" s="106">
        <v>0</v>
      </c>
      <c r="G594" s="8" t="s">
        <v>549</v>
      </c>
    </row>
    <row r="595" spans="1:7" ht="15" customHeight="1" x14ac:dyDescent="0.3">
      <c r="A595" s="93" t="s">
        <v>548</v>
      </c>
      <c r="B595" s="93" t="s">
        <v>93</v>
      </c>
      <c r="C595" s="93" t="s">
        <v>94</v>
      </c>
      <c r="D595" s="93" t="s">
        <v>503</v>
      </c>
      <c r="E595" s="93" t="s">
        <v>506</v>
      </c>
      <c r="F595" s="106">
        <v>0</v>
      </c>
      <c r="G595" s="8" t="s">
        <v>549</v>
      </c>
    </row>
    <row r="596" spans="1:7" ht="15" customHeight="1" x14ac:dyDescent="0.3">
      <c r="A596" s="93" t="s">
        <v>548</v>
      </c>
      <c r="B596" s="93" t="s">
        <v>93</v>
      </c>
      <c r="C596" s="93" t="s">
        <v>94</v>
      </c>
      <c r="D596" s="93" t="s">
        <v>503</v>
      </c>
      <c r="E596" s="93" t="s">
        <v>507</v>
      </c>
      <c r="F596" s="106">
        <v>0</v>
      </c>
      <c r="G596" s="8" t="s">
        <v>549</v>
      </c>
    </row>
    <row r="597" spans="1:7" ht="15" customHeight="1" x14ac:dyDescent="0.3">
      <c r="A597" s="93" t="s">
        <v>548</v>
      </c>
      <c r="B597" s="93" t="s">
        <v>93</v>
      </c>
      <c r="C597" s="93" t="s">
        <v>94</v>
      </c>
      <c r="D597" s="93" t="s">
        <v>503</v>
      </c>
      <c r="E597" s="93" t="s">
        <v>508</v>
      </c>
      <c r="F597" s="106">
        <v>0</v>
      </c>
      <c r="G597" s="8" t="s">
        <v>549</v>
      </c>
    </row>
    <row r="598" spans="1:7" ht="15" customHeight="1" x14ac:dyDescent="0.3">
      <c r="A598" s="93" t="s">
        <v>548</v>
      </c>
      <c r="B598" s="93" t="s">
        <v>93</v>
      </c>
      <c r="C598" s="93" t="s">
        <v>94</v>
      </c>
      <c r="D598" s="93" t="s">
        <v>503</v>
      </c>
      <c r="E598" s="93" t="s">
        <v>509</v>
      </c>
      <c r="F598" s="106">
        <v>0</v>
      </c>
      <c r="G598" s="8" t="s">
        <v>549</v>
      </c>
    </row>
    <row r="599" spans="1:7" ht="15" customHeight="1" x14ac:dyDescent="0.3">
      <c r="A599" s="93" t="s">
        <v>548</v>
      </c>
      <c r="B599" s="93" t="s">
        <v>93</v>
      </c>
      <c r="C599" s="93" t="s">
        <v>94</v>
      </c>
      <c r="D599" s="93" t="s">
        <v>503</v>
      </c>
      <c r="E599" s="93" t="s">
        <v>510</v>
      </c>
      <c r="F599" s="106">
        <v>0</v>
      </c>
      <c r="G599" s="8" t="s">
        <v>549</v>
      </c>
    </row>
    <row r="600" spans="1:7" ht="15" customHeight="1" x14ac:dyDescent="0.3">
      <c r="A600" s="93" t="s">
        <v>548</v>
      </c>
      <c r="B600" s="93" t="s">
        <v>93</v>
      </c>
      <c r="C600" s="93" t="s">
        <v>94</v>
      </c>
      <c r="D600" s="93" t="s">
        <v>503</v>
      </c>
      <c r="E600" s="93" t="s">
        <v>511</v>
      </c>
      <c r="F600" s="106">
        <v>0</v>
      </c>
      <c r="G600" s="8" t="s">
        <v>549</v>
      </c>
    </row>
    <row r="601" spans="1:7" ht="15" customHeight="1" x14ac:dyDescent="0.3">
      <c r="A601" s="93" t="s">
        <v>548</v>
      </c>
      <c r="B601" s="93" t="s">
        <v>93</v>
      </c>
      <c r="C601" s="93" t="s">
        <v>94</v>
      </c>
      <c r="D601" s="93" t="s">
        <v>503</v>
      </c>
      <c r="E601" s="93" t="s">
        <v>512</v>
      </c>
      <c r="F601" s="106">
        <v>0</v>
      </c>
      <c r="G601" s="8" t="s">
        <v>549</v>
      </c>
    </row>
    <row r="602" spans="1:7" ht="15" customHeight="1" x14ac:dyDescent="0.3">
      <c r="A602" s="93" t="s">
        <v>548</v>
      </c>
      <c r="B602" s="93" t="s">
        <v>96</v>
      </c>
      <c r="C602" s="93" t="s">
        <v>94</v>
      </c>
      <c r="D602" s="93" t="s">
        <v>503</v>
      </c>
      <c r="E602" s="93" t="s">
        <v>504</v>
      </c>
      <c r="F602" s="106">
        <v>0</v>
      </c>
      <c r="G602" s="8" t="s">
        <v>549</v>
      </c>
    </row>
    <row r="603" spans="1:7" ht="15" customHeight="1" x14ac:dyDescent="0.3">
      <c r="A603" s="93" t="s">
        <v>548</v>
      </c>
      <c r="B603" s="93" t="s">
        <v>96</v>
      </c>
      <c r="C603" s="93" t="s">
        <v>94</v>
      </c>
      <c r="D603" s="93" t="s">
        <v>503</v>
      </c>
      <c r="E603" s="93" t="s">
        <v>506</v>
      </c>
      <c r="F603" s="106">
        <v>0</v>
      </c>
      <c r="G603" s="8" t="s">
        <v>549</v>
      </c>
    </row>
    <row r="604" spans="1:7" ht="15" customHeight="1" x14ac:dyDescent="0.3">
      <c r="A604" s="93" t="s">
        <v>548</v>
      </c>
      <c r="B604" s="93" t="s">
        <v>96</v>
      </c>
      <c r="C604" s="93" t="s">
        <v>94</v>
      </c>
      <c r="D604" s="93" t="s">
        <v>503</v>
      </c>
      <c r="E604" s="93" t="s">
        <v>507</v>
      </c>
      <c r="F604" s="106">
        <v>0</v>
      </c>
      <c r="G604" s="8" t="s">
        <v>549</v>
      </c>
    </row>
    <row r="605" spans="1:7" ht="15" customHeight="1" x14ac:dyDescent="0.3">
      <c r="A605" s="93" t="s">
        <v>548</v>
      </c>
      <c r="B605" s="93" t="s">
        <v>96</v>
      </c>
      <c r="C605" s="93" t="s">
        <v>94</v>
      </c>
      <c r="D605" s="93" t="s">
        <v>503</v>
      </c>
      <c r="E605" s="93" t="s">
        <v>508</v>
      </c>
      <c r="F605" s="106">
        <v>0</v>
      </c>
      <c r="G605" s="8" t="s">
        <v>549</v>
      </c>
    </row>
    <row r="606" spans="1:7" ht="15" customHeight="1" x14ac:dyDescent="0.3">
      <c r="A606" s="93" t="s">
        <v>548</v>
      </c>
      <c r="B606" s="93" t="s">
        <v>96</v>
      </c>
      <c r="C606" s="93" t="s">
        <v>94</v>
      </c>
      <c r="D606" s="93" t="s">
        <v>503</v>
      </c>
      <c r="E606" s="93" t="s">
        <v>509</v>
      </c>
      <c r="F606" s="106">
        <v>0</v>
      </c>
      <c r="G606" s="8" t="s">
        <v>549</v>
      </c>
    </row>
    <row r="607" spans="1:7" ht="15" customHeight="1" x14ac:dyDescent="0.3">
      <c r="A607" s="93" t="s">
        <v>548</v>
      </c>
      <c r="B607" s="93" t="s">
        <v>96</v>
      </c>
      <c r="C607" s="93" t="s">
        <v>94</v>
      </c>
      <c r="D607" s="93" t="s">
        <v>503</v>
      </c>
      <c r="E607" s="93" t="s">
        <v>510</v>
      </c>
      <c r="F607" s="106">
        <v>0</v>
      </c>
      <c r="G607" s="8" t="s">
        <v>549</v>
      </c>
    </row>
    <row r="608" spans="1:7" ht="15" customHeight="1" x14ac:dyDescent="0.3">
      <c r="A608" s="93" t="s">
        <v>548</v>
      </c>
      <c r="B608" s="93" t="s">
        <v>96</v>
      </c>
      <c r="C608" s="93" t="s">
        <v>94</v>
      </c>
      <c r="D608" s="93" t="s">
        <v>503</v>
      </c>
      <c r="E608" s="93" t="s">
        <v>511</v>
      </c>
      <c r="F608" s="106">
        <v>0</v>
      </c>
      <c r="G608" s="8" t="s">
        <v>549</v>
      </c>
    </row>
    <row r="609" spans="1:7" ht="15" customHeight="1" x14ac:dyDescent="0.3">
      <c r="A609" s="93" t="s">
        <v>548</v>
      </c>
      <c r="B609" s="93" t="s">
        <v>96</v>
      </c>
      <c r="C609" s="93" t="s">
        <v>94</v>
      </c>
      <c r="D609" s="93" t="s">
        <v>503</v>
      </c>
      <c r="E609" s="93" t="s">
        <v>512</v>
      </c>
      <c r="F609" s="106">
        <v>0</v>
      </c>
      <c r="G609" s="8" t="s">
        <v>549</v>
      </c>
    </row>
    <row r="610" spans="1:7" ht="15" customHeight="1" x14ac:dyDescent="0.3">
      <c r="A610" s="93" t="s">
        <v>550</v>
      </c>
      <c r="B610" s="93" t="s">
        <v>93</v>
      </c>
      <c r="C610" s="93" t="s">
        <v>94</v>
      </c>
      <c r="D610" s="93" t="s">
        <v>503</v>
      </c>
      <c r="E610" s="93" t="s">
        <v>504</v>
      </c>
      <c r="F610" s="106">
        <v>0</v>
      </c>
      <c r="G610" s="8" t="s">
        <v>549</v>
      </c>
    </row>
    <row r="611" spans="1:7" ht="15" customHeight="1" x14ac:dyDescent="0.3">
      <c r="A611" s="93" t="s">
        <v>550</v>
      </c>
      <c r="B611" s="93" t="s">
        <v>93</v>
      </c>
      <c r="C611" s="93" t="s">
        <v>94</v>
      </c>
      <c r="D611" s="93" t="s">
        <v>503</v>
      </c>
      <c r="E611" s="93" t="s">
        <v>506</v>
      </c>
      <c r="F611" s="106">
        <v>0</v>
      </c>
      <c r="G611" s="8" t="s">
        <v>549</v>
      </c>
    </row>
    <row r="612" spans="1:7" ht="15" customHeight="1" x14ac:dyDescent="0.3">
      <c r="A612" s="93" t="s">
        <v>550</v>
      </c>
      <c r="B612" s="93" t="s">
        <v>93</v>
      </c>
      <c r="C612" s="93" t="s">
        <v>94</v>
      </c>
      <c r="D612" s="93" t="s">
        <v>503</v>
      </c>
      <c r="E612" s="93" t="s">
        <v>507</v>
      </c>
      <c r="F612" s="106">
        <v>0</v>
      </c>
      <c r="G612" s="8" t="s">
        <v>549</v>
      </c>
    </row>
    <row r="613" spans="1:7" ht="15" customHeight="1" x14ac:dyDescent="0.3">
      <c r="A613" s="93" t="s">
        <v>550</v>
      </c>
      <c r="B613" s="93" t="s">
        <v>93</v>
      </c>
      <c r="C613" s="93" t="s">
        <v>94</v>
      </c>
      <c r="D613" s="93" t="s">
        <v>503</v>
      </c>
      <c r="E613" s="93" t="s">
        <v>508</v>
      </c>
      <c r="F613" s="106">
        <v>0</v>
      </c>
      <c r="G613" s="8" t="s">
        <v>549</v>
      </c>
    </row>
    <row r="614" spans="1:7" ht="15" customHeight="1" x14ac:dyDescent="0.3">
      <c r="A614" s="93" t="s">
        <v>550</v>
      </c>
      <c r="B614" s="93" t="s">
        <v>93</v>
      </c>
      <c r="C614" s="93" t="s">
        <v>94</v>
      </c>
      <c r="D614" s="93" t="s">
        <v>503</v>
      </c>
      <c r="E614" s="93" t="s">
        <v>509</v>
      </c>
      <c r="F614" s="106">
        <v>0</v>
      </c>
      <c r="G614" s="8" t="s">
        <v>549</v>
      </c>
    </row>
    <row r="615" spans="1:7" ht="15" customHeight="1" x14ac:dyDescent="0.3">
      <c r="A615" s="93" t="s">
        <v>550</v>
      </c>
      <c r="B615" s="93" t="s">
        <v>93</v>
      </c>
      <c r="C615" s="93" t="s">
        <v>94</v>
      </c>
      <c r="D615" s="93" t="s">
        <v>503</v>
      </c>
      <c r="E615" s="93" t="s">
        <v>510</v>
      </c>
      <c r="F615" s="106">
        <v>0</v>
      </c>
      <c r="G615" s="8" t="s">
        <v>549</v>
      </c>
    </row>
    <row r="616" spans="1:7" ht="15" customHeight="1" x14ac:dyDescent="0.3">
      <c r="A616" s="93" t="s">
        <v>550</v>
      </c>
      <c r="B616" s="93" t="s">
        <v>93</v>
      </c>
      <c r="C616" s="93" t="s">
        <v>94</v>
      </c>
      <c r="D616" s="93" t="s">
        <v>503</v>
      </c>
      <c r="E616" s="93" t="s">
        <v>511</v>
      </c>
      <c r="F616" s="106">
        <v>0</v>
      </c>
      <c r="G616" s="8" t="s">
        <v>549</v>
      </c>
    </row>
    <row r="617" spans="1:7" ht="15" customHeight="1" x14ac:dyDescent="0.3">
      <c r="A617" s="93" t="s">
        <v>550</v>
      </c>
      <c r="B617" s="93" t="s">
        <v>93</v>
      </c>
      <c r="C617" s="93" t="s">
        <v>94</v>
      </c>
      <c r="D617" s="93" t="s">
        <v>503</v>
      </c>
      <c r="E617" s="93" t="s">
        <v>512</v>
      </c>
      <c r="F617" s="106">
        <v>0</v>
      </c>
      <c r="G617" s="8" t="s">
        <v>549</v>
      </c>
    </row>
    <row r="618" spans="1:7" ht="15" customHeight="1" x14ac:dyDescent="0.3">
      <c r="A618" s="93" t="s">
        <v>550</v>
      </c>
      <c r="B618" s="93" t="s">
        <v>96</v>
      </c>
      <c r="C618" s="93" t="s">
        <v>94</v>
      </c>
      <c r="D618" s="93" t="s">
        <v>503</v>
      </c>
      <c r="E618" s="93" t="s">
        <v>504</v>
      </c>
      <c r="F618" s="106">
        <v>0</v>
      </c>
      <c r="G618" s="8" t="s">
        <v>549</v>
      </c>
    </row>
    <row r="619" spans="1:7" ht="15" customHeight="1" x14ac:dyDescent="0.3">
      <c r="A619" s="93" t="s">
        <v>550</v>
      </c>
      <c r="B619" s="93" t="s">
        <v>96</v>
      </c>
      <c r="C619" s="93" t="s">
        <v>94</v>
      </c>
      <c r="D619" s="93" t="s">
        <v>503</v>
      </c>
      <c r="E619" s="93" t="s">
        <v>506</v>
      </c>
      <c r="F619" s="106">
        <v>0</v>
      </c>
      <c r="G619" s="8" t="s">
        <v>549</v>
      </c>
    </row>
    <row r="620" spans="1:7" ht="15" customHeight="1" x14ac:dyDescent="0.3">
      <c r="A620" s="93" t="s">
        <v>550</v>
      </c>
      <c r="B620" s="93" t="s">
        <v>96</v>
      </c>
      <c r="C620" s="93" t="s">
        <v>94</v>
      </c>
      <c r="D620" s="93" t="s">
        <v>503</v>
      </c>
      <c r="E620" s="93" t="s">
        <v>507</v>
      </c>
      <c r="F620" s="106">
        <v>0</v>
      </c>
      <c r="G620" s="8" t="s">
        <v>549</v>
      </c>
    </row>
    <row r="621" spans="1:7" ht="15" customHeight="1" x14ac:dyDescent="0.3">
      <c r="A621" s="93" t="s">
        <v>550</v>
      </c>
      <c r="B621" s="93" t="s">
        <v>96</v>
      </c>
      <c r="C621" s="93" t="s">
        <v>94</v>
      </c>
      <c r="D621" s="93" t="s">
        <v>503</v>
      </c>
      <c r="E621" s="93" t="s">
        <v>508</v>
      </c>
      <c r="F621" s="106">
        <v>0</v>
      </c>
      <c r="G621" s="8" t="s">
        <v>549</v>
      </c>
    </row>
    <row r="622" spans="1:7" ht="15" customHeight="1" x14ac:dyDescent="0.3">
      <c r="A622" s="93" t="s">
        <v>550</v>
      </c>
      <c r="B622" s="93" t="s">
        <v>96</v>
      </c>
      <c r="C622" s="93" t="s">
        <v>94</v>
      </c>
      <c r="D622" s="93" t="s">
        <v>503</v>
      </c>
      <c r="E622" s="93" t="s">
        <v>509</v>
      </c>
      <c r="F622" s="106">
        <v>0</v>
      </c>
      <c r="G622" s="8" t="s">
        <v>549</v>
      </c>
    </row>
    <row r="623" spans="1:7" ht="15" customHeight="1" x14ac:dyDescent="0.3">
      <c r="A623" s="93" t="s">
        <v>550</v>
      </c>
      <c r="B623" s="93" t="s">
        <v>96</v>
      </c>
      <c r="C623" s="93" t="s">
        <v>94</v>
      </c>
      <c r="D623" s="93" t="s">
        <v>503</v>
      </c>
      <c r="E623" s="93" t="s">
        <v>510</v>
      </c>
      <c r="F623" s="106">
        <v>0</v>
      </c>
      <c r="G623" s="8" t="s">
        <v>549</v>
      </c>
    </row>
    <row r="624" spans="1:7" ht="15" customHeight="1" x14ac:dyDescent="0.3">
      <c r="A624" s="93" t="s">
        <v>550</v>
      </c>
      <c r="B624" s="93" t="s">
        <v>96</v>
      </c>
      <c r="C624" s="93" t="s">
        <v>94</v>
      </c>
      <c r="D624" s="93" t="s">
        <v>503</v>
      </c>
      <c r="E624" s="93" t="s">
        <v>511</v>
      </c>
      <c r="F624" s="106">
        <v>0</v>
      </c>
      <c r="G624" s="8" t="s">
        <v>549</v>
      </c>
    </row>
    <row r="625" spans="1:7" ht="15" customHeight="1" x14ac:dyDescent="0.3">
      <c r="A625" s="93" t="s">
        <v>550</v>
      </c>
      <c r="B625" s="93" t="s">
        <v>96</v>
      </c>
      <c r="C625" s="93" t="s">
        <v>94</v>
      </c>
      <c r="D625" s="93" t="s">
        <v>503</v>
      </c>
      <c r="E625" s="93" t="s">
        <v>512</v>
      </c>
      <c r="F625" s="106">
        <v>0</v>
      </c>
      <c r="G625" s="8" t="s">
        <v>549</v>
      </c>
    </row>
    <row r="626" spans="1:7" ht="15" customHeight="1" x14ac:dyDescent="0.3">
      <c r="A626" s="93" t="s">
        <v>551</v>
      </c>
      <c r="B626" s="93" t="s">
        <v>93</v>
      </c>
      <c r="C626" s="93" t="s">
        <v>94</v>
      </c>
      <c r="D626" s="93" t="s">
        <v>503</v>
      </c>
      <c r="E626" s="93" t="s">
        <v>504</v>
      </c>
      <c r="F626" s="106">
        <v>0</v>
      </c>
      <c r="G626" s="8" t="s">
        <v>549</v>
      </c>
    </row>
    <row r="627" spans="1:7" ht="15" customHeight="1" x14ac:dyDescent="0.3">
      <c r="A627" s="93" t="s">
        <v>551</v>
      </c>
      <c r="B627" s="93" t="s">
        <v>93</v>
      </c>
      <c r="C627" s="93" t="s">
        <v>94</v>
      </c>
      <c r="D627" s="93" t="s">
        <v>503</v>
      </c>
      <c r="E627" s="93" t="s">
        <v>506</v>
      </c>
      <c r="F627" s="106">
        <v>0</v>
      </c>
      <c r="G627" s="8" t="s">
        <v>549</v>
      </c>
    </row>
    <row r="628" spans="1:7" ht="15" customHeight="1" x14ac:dyDescent="0.3">
      <c r="A628" s="93" t="s">
        <v>551</v>
      </c>
      <c r="B628" s="93" t="s">
        <v>93</v>
      </c>
      <c r="C628" s="93" t="s">
        <v>94</v>
      </c>
      <c r="D628" s="93" t="s">
        <v>503</v>
      </c>
      <c r="E628" s="93" t="s">
        <v>507</v>
      </c>
      <c r="F628" s="106">
        <v>0</v>
      </c>
      <c r="G628" s="8" t="s">
        <v>549</v>
      </c>
    </row>
    <row r="629" spans="1:7" ht="15" customHeight="1" x14ac:dyDescent="0.3">
      <c r="A629" s="93" t="s">
        <v>551</v>
      </c>
      <c r="B629" s="93" t="s">
        <v>93</v>
      </c>
      <c r="C629" s="93" t="s">
        <v>94</v>
      </c>
      <c r="D629" s="93" t="s">
        <v>503</v>
      </c>
      <c r="E629" s="93" t="s">
        <v>508</v>
      </c>
      <c r="F629" s="106">
        <v>0</v>
      </c>
      <c r="G629" s="8" t="s">
        <v>549</v>
      </c>
    </row>
    <row r="630" spans="1:7" ht="15" customHeight="1" x14ac:dyDescent="0.3">
      <c r="A630" s="93" t="s">
        <v>551</v>
      </c>
      <c r="B630" s="93" t="s">
        <v>93</v>
      </c>
      <c r="C630" s="93" t="s">
        <v>94</v>
      </c>
      <c r="D630" s="93" t="s">
        <v>503</v>
      </c>
      <c r="E630" s="93" t="s">
        <v>509</v>
      </c>
      <c r="F630" s="106">
        <v>0</v>
      </c>
      <c r="G630" s="8" t="s">
        <v>549</v>
      </c>
    </row>
    <row r="631" spans="1:7" ht="15" customHeight="1" x14ac:dyDescent="0.3">
      <c r="A631" s="93" t="s">
        <v>551</v>
      </c>
      <c r="B631" s="93" t="s">
        <v>93</v>
      </c>
      <c r="C631" s="93" t="s">
        <v>94</v>
      </c>
      <c r="D631" s="93" t="s">
        <v>503</v>
      </c>
      <c r="E631" s="93" t="s">
        <v>510</v>
      </c>
      <c r="F631" s="106">
        <v>0</v>
      </c>
      <c r="G631" s="8" t="s">
        <v>549</v>
      </c>
    </row>
    <row r="632" spans="1:7" ht="15" customHeight="1" x14ac:dyDescent="0.3">
      <c r="A632" s="93" t="s">
        <v>551</v>
      </c>
      <c r="B632" s="93" t="s">
        <v>93</v>
      </c>
      <c r="C632" s="93" t="s">
        <v>94</v>
      </c>
      <c r="D632" s="93" t="s">
        <v>503</v>
      </c>
      <c r="E632" s="93" t="s">
        <v>511</v>
      </c>
      <c r="F632" s="106">
        <v>0</v>
      </c>
      <c r="G632" s="8" t="s">
        <v>549</v>
      </c>
    </row>
    <row r="633" spans="1:7" ht="15" customHeight="1" x14ac:dyDescent="0.3">
      <c r="A633" s="93" t="s">
        <v>551</v>
      </c>
      <c r="B633" s="93" t="s">
        <v>93</v>
      </c>
      <c r="C633" s="93" t="s">
        <v>94</v>
      </c>
      <c r="D633" s="93" t="s">
        <v>503</v>
      </c>
      <c r="E633" s="93" t="s">
        <v>512</v>
      </c>
      <c r="F633" s="106">
        <v>0</v>
      </c>
      <c r="G633" s="8" t="s">
        <v>549</v>
      </c>
    </row>
    <row r="634" spans="1:7" ht="15" customHeight="1" x14ac:dyDescent="0.3">
      <c r="A634" s="93" t="s">
        <v>551</v>
      </c>
      <c r="B634" s="93" t="s">
        <v>96</v>
      </c>
      <c r="C634" s="93" t="s">
        <v>94</v>
      </c>
      <c r="D634" s="93" t="s">
        <v>503</v>
      </c>
      <c r="E634" s="93" t="s">
        <v>504</v>
      </c>
      <c r="F634" s="106">
        <v>0</v>
      </c>
      <c r="G634" s="8" t="s">
        <v>549</v>
      </c>
    </row>
    <row r="635" spans="1:7" ht="15" customHeight="1" x14ac:dyDescent="0.3">
      <c r="A635" s="93" t="s">
        <v>551</v>
      </c>
      <c r="B635" s="93" t="s">
        <v>96</v>
      </c>
      <c r="C635" s="93" t="s">
        <v>94</v>
      </c>
      <c r="D635" s="93" t="s">
        <v>503</v>
      </c>
      <c r="E635" s="93" t="s">
        <v>506</v>
      </c>
      <c r="F635" s="106">
        <v>0</v>
      </c>
      <c r="G635" s="8" t="s">
        <v>549</v>
      </c>
    </row>
    <row r="636" spans="1:7" ht="15" customHeight="1" x14ac:dyDescent="0.3">
      <c r="A636" s="93" t="s">
        <v>551</v>
      </c>
      <c r="B636" s="93" t="s">
        <v>96</v>
      </c>
      <c r="C636" s="93" t="s">
        <v>94</v>
      </c>
      <c r="D636" s="93" t="s">
        <v>503</v>
      </c>
      <c r="E636" s="93" t="s">
        <v>507</v>
      </c>
      <c r="F636" s="106">
        <v>0</v>
      </c>
      <c r="G636" s="8" t="s">
        <v>549</v>
      </c>
    </row>
    <row r="637" spans="1:7" ht="15" customHeight="1" x14ac:dyDescent="0.3">
      <c r="A637" s="93" t="s">
        <v>551</v>
      </c>
      <c r="B637" s="93" t="s">
        <v>96</v>
      </c>
      <c r="C637" s="93" t="s">
        <v>94</v>
      </c>
      <c r="D637" s="93" t="s">
        <v>503</v>
      </c>
      <c r="E637" s="93" t="s">
        <v>508</v>
      </c>
      <c r="F637" s="106">
        <v>0</v>
      </c>
      <c r="G637" s="8" t="s">
        <v>549</v>
      </c>
    </row>
    <row r="638" spans="1:7" ht="15" customHeight="1" x14ac:dyDescent="0.3">
      <c r="A638" s="93" t="s">
        <v>551</v>
      </c>
      <c r="B638" s="93" t="s">
        <v>96</v>
      </c>
      <c r="C638" s="93" t="s">
        <v>94</v>
      </c>
      <c r="D638" s="93" t="s">
        <v>503</v>
      </c>
      <c r="E638" s="93" t="s">
        <v>509</v>
      </c>
      <c r="F638" s="106">
        <v>0</v>
      </c>
      <c r="G638" s="8" t="s">
        <v>549</v>
      </c>
    </row>
    <row r="639" spans="1:7" ht="15" customHeight="1" x14ac:dyDescent="0.3">
      <c r="A639" s="93" t="s">
        <v>551</v>
      </c>
      <c r="B639" s="93" t="s">
        <v>96</v>
      </c>
      <c r="C639" s="93" t="s">
        <v>94</v>
      </c>
      <c r="D639" s="93" t="s">
        <v>503</v>
      </c>
      <c r="E639" s="93" t="s">
        <v>510</v>
      </c>
      <c r="F639" s="106">
        <v>0</v>
      </c>
      <c r="G639" s="8" t="s">
        <v>549</v>
      </c>
    </row>
    <row r="640" spans="1:7" ht="15" customHeight="1" x14ac:dyDescent="0.3">
      <c r="A640" s="93" t="s">
        <v>551</v>
      </c>
      <c r="B640" s="93" t="s">
        <v>96</v>
      </c>
      <c r="C640" s="93" t="s">
        <v>94</v>
      </c>
      <c r="D640" s="93" t="s">
        <v>503</v>
      </c>
      <c r="E640" s="93" t="s">
        <v>511</v>
      </c>
      <c r="F640" s="106">
        <v>0</v>
      </c>
      <c r="G640" s="8" t="s">
        <v>549</v>
      </c>
    </row>
    <row r="641" spans="1:7" ht="15" customHeight="1" x14ac:dyDescent="0.3">
      <c r="A641" s="93" t="s">
        <v>551</v>
      </c>
      <c r="B641" s="93" t="s">
        <v>96</v>
      </c>
      <c r="C641" s="93" t="s">
        <v>94</v>
      </c>
      <c r="D641" s="93" t="s">
        <v>503</v>
      </c>
      <c r="E641" s="93" t="s">
        <v>512</v>
      </c>
      <c r="F641" s="106">
        <v>0</v>
      </c>
      <c r="G641" s="8" t="s">
        <v>549</v>
      </c>
    </row>
    <row r="642" spans="1:7" ht="15" customHeight="1" x14ac:dyDescent="0.3">
      <c r="A642" s="93" t="s">
        <v>552</v>
      </c>
      <c r="B642" s="93" t="s">
        <v>93</v>
      </c>
      <c r="C642" s="93" t="s">
        <v>94</v>
      </c>
      <c r="D642" s="93" t="s">
        <v>503</v>
      </c>
      <c r="E642" s="93" t="s">
        <v>504</v>
      </c>
      <c r="F642" s="106">
        <v>0</v>
      </c>
      <c r="G642" s="8" t="s">
        <v>549</v>
      </c>
    </row>
    <row r="643" spans="1:7" ht="15" customHeight="1" x14ac:dyDescent="0.3">
      <c r="A643" s="93" t="s">
        <v>552</v>
      </c>
      <c r="B643" s="93" t="s">
        <v>93</v>
      </c>
      <c r="C643" s="93" t="s">
        <v>94</v>
      </c>
      <c r="D643" s="93" t="s">
        <v>503</v>
      </c>
      <c r="E643" s="93" t="s">
        <v>506</v>
      </c>
      <c r="F643" s="106">
        <v>0</v>
      </c>
      <c r="G643" s="8" t="s">
        <v>549</v>
      </c>
    </row>
    <row r="644" spans="1:7" ht="15" customHeight="1" x14ac:dyDescent="0.3">
      <c r="A644" s="93" t="s">
        <v>552</v>
      </c>
      <c r="B644" s="93" t="s">
        <v>93</v>
      </c>
      <c r="C644" s="93" t="s">
        <v>94</v>
      </c>
      <c r="D644" s="93" t="s">
        <v>503</v>
      </c>
      <c r="E644" s="93" t="s">
        <v>507</v>
      </c>
      <c r="F644" s="106">
        <v>0</v>
      </c>
      <c r="G644" s="8" t="s">
        <v>549</v>
      </c>
    </row>
    <row r="645" spans="1:7" ht="15" customHeight="1" x14ac:dyDescent="0.3">
      <c r="A645" s="93" t="s">
        <v>552</v>
      </c>
      <c r="B645" s="93" t="s">
        <v>93</v>
      </c>
      <c r="C645" s="93" t="s">
        <v>94</v>
      </c>
      <c r="D645" s="93" t="s">
        <v>503</v>
      </c>
      <c r="E645" s="93" t="s">
        <v>508</v>
      </c>
      <c r="F645" s="106">
        <v>0</v>
      </c>
      <c r="G645" s="8" t="s">
        <v>549</v>
      </c>
    </row>
    <row r="646" spans="1:7" ht="15" customHeight="1" x14ac:dyDescent="0.3">
      <c r="A646" s="93" t="s">
        <v>552</v>
      </c>
      <c r="B646" s="93" t="s">
        <v>93</v>
      </c>
      <c r="C646" s="93" t="s">
        <v>94</v>
      </c>
      <c r="D646" s="93" t="s">
        <v>503</v>
      </c>
      <c r="E646" s="93" t="s">
        <v>509</v>
      </c>
      <c r="F646" s="106">
        <v>0</v>
      </c>
      <c r="G646" s="8" t="s">
        <v>549</v>
      </c>
    </row>
    <row r="647" spans="1:7" ht="15" customHeight="1" x14ac:dyDescent="0.3">
      <c r="A647" s="93" t="s">
        <v>552</v>
      </c>
      <c r="B647" s="93" t="s">
        <v>93</v>
      </c>
      <c r="C647" s="93" t="s">
        <v>94</v>
      </c>
      <c r="D647" s="93" t="s">
        <v>503</v>
      </c>
      <c r="E647" s="93" t="s">
        <v>510</v>
      </c>
      <c r="F647" s="106">
        <v>0</v>
      </c>
      <c r="G647" s="8" t="s">
        <v>549</v>
      </c>
    </row>
    <row r="648" spans="1:7" ht="15" customHeight="1" x14ac:dyDescent="0.3">
      <c r="A648" s="93" t="s">
        <v>552</v>
      </c>
      <c r="B648" s="93" t="s">
        <v>93</v>
      </c>
      <c r="C648" s="93" t="s">
        <v>94</v>
      </c>
      <c r="D648" s="93" t="s">
        <v>503</v>
      </c>
      <c r="E648" s="93" t="s">
        <v>511</v>
      </c>
      <c r="F648" s="106">
        <v>0</v>
      </c>
      <c r="G648" s="8" t="s">
        <v>549</v>
      </c>
    </row>
    <row r="649" spans="1:7" ht="15" customHeight="1" x14ac:dyDescent="0.3">
      <c r="A649" s="93" t="s">
        <v>552</v>
      </c>
      <c r="B649" s="93" t="s">
        <v>93</v>
      </c>
      <c r="C649" s="93" t="s">
        <v>94</v>
      </c>
      <c r="D649" s="93" t="s">
        <v>503</v>
      </c>
      <c r="E649" s="93" t="s">
        <v>512</v>
      </c>
      <c r="F649" s="106">
        <v>0</v>
      </c>
      <c r="G649" s="8" t="s">
        <v>549</v>
      </c>
    </row>
    <row r="650" spans="1:7" ht="15" customHeight="1" x14ac:dyDescent="0.3">
      <c r="A650" s="93" t="s">
        <v>552</v>
      </c>
      <c r="B650" s="93" t="s">
        <v>96</v>
      </c>
      <c r="C650" s="93" t="s">
        <v>94</v>
      </c>
      <c r="D650" s="93" t="s">
        <v>503</v>
      </c>
      <c r="E650" s="93" t="s">
        <v>504</v>
      </c>
      <c r="F650" s="106">
        <v>0</v>
      </c>
      <c r="G650" s="8" t="s">
        <v>549</v>
      </c>
    </row>
    <row r="651" spans="1:7" ht="15" customHeight="1" x14ac:dyDescent="0.3">
      <c r="A651" s="93" t="s">
        <v>552</v>
      </c>
      <c r="B651" s="93" t="s">
        <v>96</v>
      </c>
      <c r="C651" s="93" t="s">
        <v>94</v>
      </c>
      <c r="D651" s="93" t="s">
        <v>503</v>
      </c>
      <c r="E651" s="93" t="s">
        <v>506</v>
      </c>
      <c r="F651" s="106">
        <v>0</v>
      </c>
      <c r="G651" s="8" t="s">
        <v>549</v>
      </c>
    </row>
    <row r="652" spans="1:7" ht="15" customHeight="1" x14ac:dyDescent="0.3">
      <c r="A652" s="93" t="s">
        <v>552</v>
      </c>
      <c r="B652" s="93" t="s">
        <v>96</v>
      </c>
      <c r="C652" s="93" t="s">
        <v>94</v>
      </c>
      <c r="D652" s="93" t="s">
        <v>503</v>
      </c>
      <c r="E652" s="93" t="s">
        <v>507</v>
      </c>
      <c r="F652" s="106">
        <v>0</v>
      </c>
      <c r="G652" s="8" t="s">
        <v>549</v>
      </c>
    </row>
    <row r="653" spans="1:7" ht="15" customHeight="1" x14ac:dyDescent="0.3">
      <c r="A653" s="93" t="s">
        <v>552</v>
      </c>
      <c r="B653" s="93" t="s">
        <v>96</v>
      </c>
      <c r="C653" s="93" t="s">
        <v>94</v>
      </c>
      <c r="D653" s="93" t="s">
        <v>503</v>
      </c>
      <c r="E653" s="93" t="s">
        <v>508</v>
      </c>
      <c r="F653" s="106">
        <v>0</v>
      </c>
      <c r="G653" s="8" t="s">
        <v>549</v>
      </c>
    </row>
    <row r="654" spans="1:7" ht="15" customHeight="1" x14ac:dyDescent="0.3">
      <c r="A654" s="93" t="s">
        <v>552</v>
      </c>
      <c r="B654" s="93" t="s">
        <v>96</v>
      </c>
      <c r="C654" s="93" t="s">
        <v>94</v>
      </c>
      <c r="D654" s="93" t="s">
        <v>503</v>
      </c>
      <c r="E654" s="93" t="s">
        <v>509</v>
      </c>
      <c r="F654" s="106">
        <v>0</v>
      </c>
      <c r="G654" s="8" t="s">
        <v>549</v>
      </c>
    </row>
    <row r="655" spans="1:7" ht="15" customHeight="1" x14ac:dyDescent="0.3">
      <c r="A655" s="93" t="s">
        <v>552</v>
      </c>
      <c r="B655" s="93" t="s">
        <v>96</v>
      </c>
      <c r="C655" s="93" t="s">
        <v>94</v>
      </c>
      <c r="D655" s="93" t="s">
        <v>503</v>
      </c>
      <c r="E655" s="93" t="s">
        <v>510</v>
      </c>
      <c r="F655" s="106">
        <v>0</v>
      </c>
      <c r="G655" s="8" t="s">
        <v>549</v>
      </c>
    </row>
    <row r="656" spans="1:7" ht="15" customHeight="1" x14ac:dyDescent="0.3">
      <c r="A656" s="93" t="s">
        <v>552</v>
      </c>
      <c r="B656" s="93" t="s">
        <v>96</v>
      </c>
      <c r="C656" s="93" t="s">
        <v>94</v>
      </c>
      <c r="D656" s="93" t="s">
        <v>503</v>
      </c>
      <c r="E656" s="93" t="s">
        <v>511</v>
      </c>
      <c r="F656" s="106">
        <v>0</v>
      </c>
      <c r="G656" s="8" t="s">
        <v>549</v>
      </c>
    </row>
    <row r="657" spans="1:7" ht="15" customHeight="1" x14ac:dyDescent="0.3">
      <c r="A657" s="93" t="s">
        <v>552</v>
      </c>
      <c r="B657" s="93" t="s">
        <v>96</v>
      </c>
      <c r="C657" s="93" t="s">
        <v>94</v>
      </c>
      <c r="D657" s="93" t="s">
        <v>503</v>
      </c>
      <c r="E657" s="93" t="s">
        <v>512</v>
      </c>
      <c r="F657" s="106">
        <v>0</v>
      </c>
      <c r="G657" s="8" t="s">
        <v>549</v>
      </c>
    </row>
    <row r="658" spans="1:7" ht="15" customHeight="1" x14ac:dyDescent="0.3">
      <c r="A658" s="93" t="s">
        <v>553</v>
      </c>
      <c r="B658" s="93" t="s">
        <v>93</v>
      </c>
      <c r="C658" s="93" t="s">
        <v>94</v>
      </c>
      <c r="D658" s="93" t="s">
        <v>503</v>
      </c>
      <c r="E658" s="93" t="s">
        <v>504</v>
      </c>
      <c r="F658" s="106">
        <v>0</v>
      </c>
      <c r="G658" s="8" t="s">
        <v>549</v>
      </c>
    </row>
    <row r="659" spans="1:7" ht="15" customHeight="1" x14ac:dyDescent="0.3">
      <c r="A659" s="93" t="s">
        <v>553</v>
      </c>
      <c r="B659" s="93" t="s">
        <v>93</v>
      </c>
      <c r="C659" s="93" t="s">
        <v>94</v>
      </c>
      <c r="D659" s="93" t="s">
        <v>503</v>
      </c>
      <c r="E659" s="93" t="s">
        <v>506</v>
      </c>
      <c r="F659" s="106">
        <v>0</v>
      </c>
      <c r="G659" s="8" t="s">
        <v>549</v>
      </c>
    </row>
    <row r="660" spans="1:7" ht="15" customHeight="1" x14ac:dyDescent="0.3">
      <c r="A660" s="93" t="s">
        <v>553</v>
      </c>
      <c r="B660" s="93" t="s">
        <v>93</v>
      </c>
      <c r="C660" s="93" t="s">
        <v>94</v>
      </c>
      <c r="D660" s="93" t="s">
        <v>503</v>
      </c>
      <c r="E660" s="93" t="s">
        <v>507</v>
      </c>
      <c r="F660" s="106">
        <v>0</v>
      </c>
      <c r="G660" s="8" t="s">
        <v>549</v>
      </c>
    </row>
    <row r="661" spans="1:7" ht="15" customHeight="1" x14ac:dyDescent="0.3">
      <c r="A661" s="93" t="s">
        <v>553</v>
      </c>
      <c r="B661" s="93" t="s">
        <v>93</v>
      </c>
      <c r="C661" s="93" t="s">
        <v>94</v>
      </c>
      <c r="D661" s="93" t="s">
        <v>503</v>
      </c>
      <c r="E661" s="93" t="s">
        <v>508</v>
      </c>
      <c r="F661" s="106">
        <v>0</v>
      </c>
      <c r="G661" s="8" t="s">
        <v>549</v>
      </c>
    </row>
    <row r="662" spans="1:7" ht="15" customHeight="1" x14ac:dyDescent="0.3">
      <c r="A662" s="93" t="s">
        <v>553</v>
      </c>
      <c r="B662" s="93" t="s">
        <v>93</v>
      </c>
      <c r="C662" s="93" t="s">
        <v>94</v>
      </c>
      <c r="D662" s="93" t="s">
        <v>503</v>
      </c>
      <c r="E662" s="93" t="s">
        <v>509</v>
      </c>
      <c r="F662" s="106">
        <v>0</v>
      </c>
      <c r="G662" s="8" t="s">
        <v>549</v>
      </c>
    </row>
    <row r="663" spans="1:7" ht="15" customHeight="1" x14ac:dyDescent="0.3">
      <c r="A663" s="93" t="s">
        <v>553</v>
      </c>
      <c r="B663" s="93" t="s">
        <v>93</v>
      </c>
      <c r="C663" s="93" t="s">
        <v>94</v>
      </c>
      <c r="D663" s="93" t="s">
        <v>503</v>
      </c>
      <c r="E663" s="93" t="s">
        <v>510</v>
      </c>
      <c r="F663" s="106">
        <v>0</v>
      </c>
      <c r="G663" s="8" t="s">
        <v>549</v>
      </c>
    </row>
    <row r="664" spans="1:7" ht="15" customHeight="1" x14ac:dyDescent="0.3">
      <c r="A664" s="93" t="s">
        <v>553</v>
      </c>
      <c r="B664" s="93" t="s">
        <v>93</v>
      </c>
      <c r="C664" s="93" t="s">
        <v>94</v>
      </c>
      <c r="D664" s="93" t="s">
        <v>503</v>
      </c>
      <c r="E664" s="93" t="s">
        <v>511</v>
      </c>
      <c r="F664" s="106">
        <v>0</v>
      </c>
      <c r="G664" s="8" t="s">
        <v>549</v>
      </c>
    </row>
    <row r="665" spans="1:7" ht="15" customHeight="1" x14ac:dyDescent="0.3">
      <c r="A665" s="93" t="s">
        <v>553</v>
      </c>
      <c r="B665" s="93" t="s">
        <v>93</v>
      </c>
      <c r="C665" s="93" t="s">
        <v>94</v>
      </c>
      <c r="D665" s="93" t="s">
        <v>503</v>
      </c>
      <c r="E665" s="93" t="s">
        <v>512</v>
      </c>
      <c r="F665" s="106">
        <v>0</v>
      </c>
      <c r="G665" s="8" t="s">
        <v>549</v>
      </c>
    </row>
    <row r="666" spans="1:7" ht="15" customHeight="1" x14ac:dyDescent="0.3">
      <c r="A666" s="93" t="s">
        <v>553</v>
      </c>
      <c r="B666" s="93" t="s">
        <v>96</v>
      </c>
      <c r="C666" s="93" t="s">
        <v>94</v>
      </c>
      <c r="D666" s="93" t="s">
        <v>503</v>
      </c>
      <c r="E666" s="93" t="s">
        <v>504</v>
      </c>
      <c r="F666" s="106">
        <v>0</v>
      </c>
      <c r="G666" s="8" t="s">
        <v>549</v>
      </c>
    </row>
    <row r="667" spans="1:7" ht="15" customHeight="1" x14ac:dyDescent="0.3">
      <c r="A667" s="93" t="s">
        <v>553</v>
      </c>
      <c r="B667" s="93" t="s">
        <v>96</v>
      </c>
      <c r="C667" s="93" t="s">
        <v>94</v>
      </c>
      <c r="D667" s="93" t="s">
        <v>503</v>
      </c>
      <c r="E667" s="93" t="s">
        <v>506</v>
      </c>
      <c r="F667" s="106">
        <v>0</v>
      </c>
      <c r="G667" s="8" t="s">
        <v>549</v>
      </c>
    </row>
    <row r="668" spans="1:7" ht="15" customHeight="1" x14ac:dyDescent="0.3">
      <c r="A668" s="93" t="s">
        <v>553</v>
      </c>
      <c r="B668" s="93" t="s">
        <v>96</v>
      </c>
      <c r="C668" s="93" t="s">
        <v>94</v>
      </c>
      <c r="D668" s="93" t="s">
        <v>503</v>
      </c>
      <c r="E668" s="93" t="s">
        <v>507</v>
      </c>
      <c r="F668" s="106">
        <v>0</v>
      </c>
      <c r="G668" s="8" t="s">
        <v>549</v>
      </c>
    </row>
    <row r="669" spans="1:7" ht="15" customHeight="1" x14ac:dyDescent="0.3">
      <c r="A669" s="93" t="s">
        <v>553</v>
      </c>
      <c r="B669" s="93" t="s">
        <v>96</v>
      </c>
      <c r="C669" s="93" t="s">
        <v>94</v>
      </c>
      <c r="D669" s="93" t="s">
        <v>503</v>
      </c>
      <c r="E669" s="93" t="s">
        <v>508</v>
      </c>
      <c r="F669" s="106">
        <v>0</v>
      </c>
      <c r="G669" s="8" t="s">
        <v>549</v>
      </c>
    </row>
    <row r="670" spans="1:7" ht="15" customHeight="1" x14ac:dyDescent="0.3">
      <c r="A670" s="93" t="s">
        <v>553</v>
      </c>
      <c r="B670" s="93" t="s">
        <v>96</v>
      </c>
      <c r="C670" s="93" t="s">
        <v>94</v>
      </c>
      <c r="D670" s="93" t="s">
        <v>503</v>
      </c>
      <c r="E670" s="93" t="s">
        <v>509</v>
      </c>
      <c r="F670" s="106">
        <v>0</v>
      </c>
      <c r="G670" s="8" t="s">
        <v>549</v>
      </c>
    </row>
    <row r="671" spans="1:7" ht="15" customHeight="1" x14ac:dyDescent="0.3">
      <c r="A671" s="93" t="s">
        <v>553</v>
      </c>
      <c r="B671" s="93" t="s">
        <v>96</v>
      </c>
      <c r="C671" s="93" t="s">
        <v>94</v>
      </c>
      <c r="D671" s="93" t="s">
        <v>503</v>
      </c>
      <c r="E671" s="93" t="s">
        <v>510</v>
      </c>
      <c r="F671" s="106">
        <v>0</v>
      </c>
      <c r="G671" s="8" t="s">
        <v>549</v>
      </c>
    </row>
    <row r="672" spans="1:7" ht="15" customHeight="1" x14ac:dyDescent="0.3">
      <c r="A672" s="93" t="s">
        <v>553</v>
      </c>
      <c r="B672" s="93" t="s">
        <v>96</v>
      </c>
      <c r="C672" s="93" t="s">
        <v>94</v>
      </c>
      <c r="D672" s="93" t="s">
        <v>503</v>
      </c>
      <c r="E672" s="93" t="s">
        <v>511</v>
      </c>
      <c r="F672" s="106">
        <v>0</v>
      </c>
      <c r="G672" s="8" t="s">
        <v>549</v>
      </c>
    </row>
    <row r="673" spans="1:7" ht="15" customHeight="1" x14ac:dyDescent="0.3">
      <c r="A673" s="93" t="s">
        <v>553</v>
      </c>
      <c r="B673" s="93" t="s">
        <v>96</v>
      </c>
      <c r="C673" s="93" t="s">
        <v>94</v>
      </c>
      <c r="D673" s="93" t="s">
        <v>503</v>
      </c>
      <c r="E673" s="93" t="s">
        <v>512</v>
      </c>
      <c r="F673" s="106">
        <v>0</v>
      </c>
      <c r="G673" s="8" t="s">
        <v>549</v>
      </c>
    </row>
    <row r="674" spans="1:7" ht="15" customHeight="1" x14ac:dyDescent="0.3">
      <c r="A674" s="93" t="s">
        <v>554</v>
      </c>
      <c r="B674" s="93" t="s">
        <v>93</v>
      </c>
      <c r="C674" s="93" t="s">
        <v>94</v>
      </c>
      <c r="D674" s="93" t="s">
        <v>503</v>
      </c>
      <c r="E674" s="93" t="s">
        <v>504</v>
      </c>
      <c r="F674" s="106">
        <v>0</v>
      </c>
      <c r="G674" s="8" t="s">
        <v>549</v>
      </c>
    </row>
    <row r="675" spans="1:7" ht="15" customHeight="1" x14ac:dyDescent="0.3">
      <c r="A675" s="93" t="s">
        <v>554</v>
      </c>
      <c r="B675" s="93" t="s">
        <v>93</v>
      </c>
      <c r="C675" s="93" t="s">
        <v>94</v>
      </c>
      <c r="D675" s="93" t="s">
        <v>503</v>
      </c>
      <c r="E675" s="93" t="s">
        <v>506</v>
      </c>
      <c r="F675" s="106">
        <v>0</v>
      </c>
      <c r="G675" s="8" t="s">
        <v>549</v>
      </c>
    </row>
    <row r="676" spans="1:7" ht="15" customHeight="1" x14ac:dyDescent="0.3">
      <c r="A676" s="93" t="s">
        <v>554</v>
      </c>
      <c r="B676" s="93" t="s">
        <v>93</v>
      </c>
      <c r="C676" s="93" t="s">
        <v>94</v>
      </c>
      <c r="D676" s="93" t="s">
        <v>503</v>
      </c>
      <c r="E676" s="93" t="s">
        <v>507</v>
      </c>
      <c r="F676" s="106">
        <v>0</v>
      </c>
      <c r="G676" s="8" t="s">
        <v>549</v>
      </c>
    </row>
    <row r="677" spans="1:7" ht="15" customHeight="1" x14ac:dyDescent="0.3">
      <c r="A677" s="93" t="s">
        <v>554</v>
      </c>
      <c r="B677" s="93" t="s">
        <v>93</v>
      </c>
      <c r="C677" s="93" t="s">
        <v>94</v>
      </c>
      <c r="D677" s="93" t="s">
        <v>503</v>
      </c>
      <c r="E677" s="93" t="s">
        <v>508</v>
      </c>
      <c r="F677" s="106">
        <v>0</v>
      </c>
      <c r="G677" s="8" t="s">
        <v>549</v>
      </c>
    </row>
    <row r="678" spans="1:7" ht="15" customHeight="1" x14ac:dyDescent="0.3">
      <c r="A678" s="93" t="s">
        <v>554</v>
      </c>
      <c r="B678" s="93" t="s">
        <v>93</v>
      </c>
      <c r="C678" s="93" t="s">
        <v>94</v>
      </c>
      <c r="D678" s="93" t="s">
        <v>503</v>
      </c>
      <c r="E678" s="93" t="s">
        <v>509</v>
      </c>
      <c r="F678" s="106">
        <v>0</v>
      </c>
      <c r="G678" s="8" t="s">
        <v>549</v>
      </c>
    </row>
    <row r="679" spans="1:7" ht="15" customHeight="1" x14ac:dyDescent="0.3">
      <c r="A679" s="93" t="s">
        <v>554</v>
      </c>
      <c r="B679" s="93" t="s">
        <v>93</v>
      </c>
      <c r="C679" s="93" t="s">
        <v>94</v>
      </c>
      <c r="D679" s="93" t="s">
        <v>503</v>
      </c>
      <c r="E679" s="93" t="s">
        <v>510</v>
      </c>
      <c r="F679" s="106">
        <v>0</v>
      </c>
      <c r="G679" s="8" t="s">
        <v>549</v>
      </c>
    </row>
    <row r="680" spans="1:7" ht="15" customHeight="1" x14ac:dyDescent="0.3">
      <c r="A680" s="93" t="s">
        <v>554</v>
      </c>
      <c r="B680" s="93" t="s">
        <v>93</v>
      </c>
      <c r="C680" s="93" t="s">
        <v>94</v>
      </c>
      <c r="D680" s="93" t="s">
        <v>503</v>
      </c>
      <c r="E680" s="93" t="s">
        <v>511</v>
      </c>
      <c r="F680" s="106">
        <v>0</v>
      </c>
      <c r="G680" s="8" t="s">
        <v>549</v>
      </c>
    </row>
    <row r="681" spans="1:7" ht="15" customHeight="1" x14ac:dyDescent="0.3">
      <c r="A681" s="93" t="s">
        <v>554</v>
      </c>
      <c r="B681" s="93" t="s">
        <v>93</v>
      </c>
      <c r="C681" s="93" t="s">
        <v>94</v>
      </c>
      <c r="D681" s="93" t="s">
        <v>503</v>
      </c>
      <c r="E681" s="93" t="s">
        <v>512</v>
      </c>
      <c r="F681" s="106">
        <v>0</v>
      </c>
      <c r="G681" s="8" t="s">
        <v>549</v>
      </c>
    </row>
    <row r="682" spans="1:7" ht="15" customHeight="1" x14ac:dyDescent="0.3">
      <c r="A682" s="93" t="s">
        <v>554</v>
      </c>
      <c r="B682" s="93" t="s">
        <v>96</v>
      </c>
      <c r="C682" s="93" t="s">
        <v>94</v>
      </c>
      <c r="D682" s="93" t="s">
        <v>503</v>
      </c>
      <c r="E682" s="93" t="s">
        <v>504</v>
      </c>
      <c r="F682" s="106">
        <v>0</v>
      </c>
      <c r="G682" s="8" t="s">
        <v>549</v>
      </c>
    </row>
    <row r="683" spans="1:7" ht="15" customHeight="1" x14ac:dyDescent="0.3">
      <c r="A683" s="93" t="s">
        <v>554</v>
      </c>
      <c r="B683" s="93" t="s">
        <v>96</v>
      </c>
      <c r="C683" s="93" t="s">
        <v>94</v>
      </c>
      <c r="D683" s="93" t="s">
        <v>503</v>
      </c>
      <c r="E683" s="93" t="s">
        <v>506</v>
      </c>
      <c r="F683" s="106">
        <v>0</v>
      </c>
      <c r="G683" s="8" t="s">
        <v>549</v>
      </c>
    </row>
    <row r="684" spans="1:7" ht="15" customHeight="1" x14ac:dyDescent="0.3">
      <c r="A684" s="93" t="s">
        <v>554</v>
      </c>
      <c r="B684" s="93" t="s">
        <v>96</v>
      </c>
      <c r="C684" s="93" t="s">
        <v>94</v>
      </c>
      <c r="D684" s="93" t="s">
        <v>503</v>
      </c>
      <c r="E684" s="93" t="s">
        <v>507</v>
      </c>
      <c r="F684" s="106">
        <v>0</v>
      </c>
      <c r="G684" s="8" t="s">
        <v>549</v>
      </c>
    </row>
    <row r="685" spans="1:7" ht="15" customHeight="1" x14ac:dyDescent="0.3">
      <c r="A685" s="93" t="s">
        <v>554</v>
      </c>
      <c r="B685" s="93" t="s">
        <v>96</v>
      </c>
      <c r="C685" s="93" t="s">
        <v>94</v>
      </c>
      <c r="D685" s="93" t="s">
        <v>503</v>
      </c>
      <c r="E685" s="93" t="s">
        <v>508</v>
      </c>
      <c r="F685" s="106">
        <v>0</v>
      </c>
      <c r="G685" s="8" t="s">
        <v>549</v>
      </c>
    </row>
    <row r="686" spans="1:7" ht="15" customHeight="1" x14ac:dyDescent="0.3">
      <c r="A686" s="93" t="s">
        <v>554</v>
      </c>
      <c r="B686" s="93" t="s">
        <v>96</v>
      </c>
      <c r="C686" s="93" t="s">
        <v>94</v>
      </c>
      <c r="D686" s="93" t="s">
        <v>503</v>
      </c>
      <c r="E686" s="93" t="s">
        <v>509</v>
      </c>
      <c r="F686" s="106">
        <v>0</v>
      </c>
      <c r="G686" s="8" t="s">
        <v>549</v>
      </c>
    </row>
    <row r="687" spans="1:7" ht="15" customHeight="1" x14ac:dyDescent="0.3">
      <c r="A687" s="93" t="s">
        <v>554</v>
      </c>
      <c r="B687" s="93" t="s">
        <v>96</v>
      </c>
      <c r="C687" s="93" t="s">
        <v>94</v>
      </c>
      <c r="D687" s="93" t="s">
        <v>503</v>
      </c>
      <c r="E687" s="93" t="s">
        <v>510</v>
      </c>
      <c r="F687" s="106">
        <v>0</v>
      </c>
      <c r="G687" s="8" t="s">
        <v>549</v>
      </c>
    </row>
    <row r="688" spans="1:7" ht="15" customHeight="1" x14ac:dyDescent="0.3">
      <c r="A688" s="93" t="s">
        <v>554</v>
      </c>
      <c r="B688" s="93" t="s">
        <v>96</v>
      </c>
      <c r="C688" s="93" t="s">
        <v>94</v>
      </c>
      <c r="D688" s="93" t="s">
        <v>503</v>
      </c>
      <c r="E688" s="93" t="s">
        <v>511</v>
      </c>
      <c r="F688" s="106">
        <v>0</v>
      </c>
      <c r="G688" s="8" t="s">
        <v>549</v>
      </c>
    </row>
    <row r="689" spans="1:7" ht="15" customHeight="1" x14ac:dyDescent="0.3">
      <c r="A689" s="93" t="s">
        <v>554</v>
      </c>
      <c r="B689" s="93" t="s">
        <v>96</v>
      </c>
      <c r="C689" s="93" t="s">
        <v>94</v>
      </c>
      <c r="D689" s="93" t="s">
        <v>503</v>
      </c>
      <c r="E689" s="93" t="s">
        <v>512</v>
      </c>
      <c r="F689" s="106">
        <v>0</v>
      </c>
      <c r="G689" s="8" t="s">
        <v>549</v>
      </c>
    </row>
    <row r="690" spans="1:7" ht="15" customHeight="1" x14ac:dyDescent="0.3">
      <c r="A690" s="93" t="s">
        <v>555</v>
      </c>
      <c r="B690" s="93" t="s">
        <v>93</v>
      </c>
      <c r="C690" s="93" t="s">
        <v>94</v>
      </c>
      <c r="D690" s="93" t="s">
        <v>503</v>
      </c>
      <c r="E690" s="93" t="s">
        <v>504</v>
      </c>
      <c r="F690" s="106">
        <v>0</v>
      </c>
      <c r="G690" s="8" t="s">
        <v>549</v>
      </c>
    </row>
    <row r="691" spans="1:7" ht="15" customHeight="1" x14ac:dyDescent="0.3">
      <c r="A691" s="93" t="s">
        <v>555</v>
      </c>
      <c r="B691" s="93" t="s">
        <v>93</v>
      </c>
      <c r="C691" s="93" t="s">
        <v>94</v>
      </c>
      <c r="D691" s="93" t="s">
        <v>503</v>
      </c>
      <c r="E691" s="93" t="s">
        <v>506</v>
      </c>
      <c r="F691" s="106">
        <v>0</v>
      </c>
      <c r="G691" s="8" t="s">
        <v>549</v>
      </c>
    </row>
    <row r="692" spans="1:7" ht="15" customHeight="1" x14ac:dyDescent="0.3">
      <c r="A692" s="93" t="s">
        <v>555</v>
      </c>
      <c r="B692" s="93" t="s">
        <v>93</v>
      </c>
      <c r="C692" s="93" t="s">
        <v>94</v>
      </c>
      <c r="D692" s="93" t="s">
        <v>503</v>
      </c>
      <c r="E692" s="93" t="s">
        <v>507</v>
      </c>
      <c r="F692" s="106">
        <v>0</v>
      </c>
      <c r="G692" s="8" t="s">
        <v>549</v>
      </c>
    </row>
    <row r="693" spans="1:7" ht="15" customHeight="1" x14ac:dyDescent="0.3">
      <c r="A693" s="93" t="s">
        <v>555</v>
      </c>
      <c r="B693" s="93" t="s">
        <v>93</v>
      </c>
      <c r="C693" s="93" t="s">
        <v>94</v>
      </c>
      <c r="D693" s="93" t="s">
        <v>503</v>
      </c>
      <c r="E693" s="93" t="s">
        <v>508</v>
      </c>
      <c r="F693" s="106">
        <v>0</v>
      </c>
      <c r="G693" s="8" t="s">
        <v>549</v>
      </c>
    </row>
    <row r="694" spans="1:7" ht="15" customHeight="1" x14ac:dyDescent="0.3">
      <c r="A694" s="93" t="s">
        <v>555</v>
      </c>
      <c r="B694" s="93" t="s">
        <v>93</v>
      </c>
      <c r="C694" s="93" t="s">
        <v>94</v>
      </c>
      <c r="D694" s="93" t="s">
        <v>503</v>
      </c>
      <c r="E694" s="93" t="s">
        <v>509</v>
      </c>
      <c r="F694" s="106">
        <v>0</v>
      </c>
      <c r="G694" s="8" t="s">
        <v>549</v>
      </c>
    </row>
    <row r="695" spans="1:7" ht="15" customHeight="1" x14ac:dyDescent="0.3">
      <c r="A695" s="93" t="s">
        <v>555</v>
      </c>
      <c r="B695" s="93" t="s">
        <v>93</v>
      </c>
      <c r="C695" s="93" t="s">
        <v>94</v>
      </c>
      <c r="D695" s="93" t="s">
        <v>503</v>
      </c>
      <c r="E695" s="93" t="s">
        <v>510</v>
      </c>
      <c r="F695" s="106">
        <v>0</v>
      </c>
      <c r="G695" s="8" t="s">
        <v>549</v>
      </c>
    </row>
    <row r="696" spans="1:7" ht="15" customHeight="1" x14ac:dyDescent="0.3">
      <c r="A696" s="93" t="s">
        <v>555</v>
      </c>
      <c r="B696" s="93" t="s">
        <v>93</v>
      </c>
      <c r="C696" s="93" t="s">
        <v>94</v>
      </c>
      <c r="D696" s="93" t="s">
        <v>503</v>
      </c>
      <c r="E696" s="93" t="s">
        <v>511</v>
      </c>
      <c r="F696" s="106">
        <v>0</v>
      </c>
      <c r="G696" s="8" t="s">
        <v>549</v>
      </c>
    </row>
    <row r="697" spans="1:7" ht="15" customHeight="1" x14ac:dyDescent="0.3">
      <c r="A697" s="93" t="s">
        <v>555</v>
      </c>
      <c r="B697" s="93" t="s">
        <v>93</v>
      </c>
      <c r="C697" s="93" t="s">
        <v>94</v>
      </c>
      <c r="D697" s="93" t="s">
        <v>503</v>
      </c>
      <c r="E697" s="93" t="s">
        <v>512</v>
      </c>
      <c r="F697" s="106">
        <v>0</v>
      </c>
      <c r="G697" s="8" t="s">
        <v>549</v>
      </c>
    </row>
    <row r="698" spans="1:7" ht="15" customHeight="1" x14ac:dyDescent="0.3">
      <c r="A698" s="93" t="s">
        <v>555</v>
      </c>
      <c r="B698" s="93" t="s">
        <v>96</v>
      </c>
      <c r="C698" s="93" t="s">
        <v>94</v>
      </c>
      <c r="D698" s="93" t="s">
        <v>503</v>
      </c>
      <c r="E698" s="93" t="s">
        <v>504</v>
      </c>
      <c r="F698" s="106">
        <v>0</v>
      </c>
      <c r="G698" s="8" t="s">
        <v>549</v>
      </c>
    </row>
    <row r="699" spans="1:7" ht="15" customHeight="1" x14ac:dyDescent="0.3">
      <c r="A699" s="93" t="s">
        <v>555</v>
      </c>
      <c r="B699" s="93" t="s">
        <v>96</v>
      </c>
      <c r="C699" s="93" t="s">
        <v>94</v>
      </c>
      <c r="D699" s="93" t="s">
        <v>503</v>
      </c>
      <c r="E699" s="93" t="s">
        <v>506</v>
      </c>
      <c r="F699" s="106">
        <v>0</v>
      </c>
      <c r="G699" s="8" t="s">
        <v>549</v>
      </c>
    </row>
    <row r="700" spans="1:7" ht="15" customHeight="1" x14ac:dyDescent="0.3">
      <c r="A700" s="93" t="s">
        <v>555</v>
      </c>
      <c r="B700" s="93" t="s">
        <v>96</v>
      </c>
      <c r="C700" s="93" t="s">
        <v>94</v>
      </c>
      <c r="D700" s="93" t="s">
        <v>503</v>
      </c>
      <c r="E700" s="93" t="s">
        <v>507</v>
      </c>
      <c r="F700" s="106">
        <v>0</v>
      </c>
      <c r="G700" s="8" t="s">
        <v>549</v>
      </c>
    </row>
    <row r="701" spans="1:7" ht="15" customHeight="1" x14ac:dyDescent="0.3">
      <c r="A701" s="93" t="s">
        <v>555</v>
      </c>
      <c r="B701" s="93" t="s">
        <v>96</v>
      </c>
      <c r="C701" s="93" t="s">
        <v>94</v>
      </c>
      <c r="D701" s="93" t="s">
        <v>503</v>
      </c>
      <c r="E701" s="93" t="s">
        <v>508</v>
      </c>
      <c r="F701" s="106">
        <v>0</v>
      </c>
      <c r="G701" s="8" t="s">
        <v>549</v>
      </c>
    </row>
    <row r="702" spans="1:7" ht="15" customHeight="1" x14ac:dyDescent="0.3">
      <c r="A702" s="93" t="s">
        <v>555</v>
      </c>
      <c r="B702" s="93" t="s">
        <v>96</v>
      </c>
      <c r="C702" s="93" t="s">
        <v>94</v>
      </c>
      <c r="D702" s="93" t="s">
        <v>503</v>
      </c>
      <c r="E702" s="93" t="s">
        <v>509</v>
      </c>
      <c r="F702" s="106">
        <v>0</v>
      </c>
      <c r="G702" s="8" t="s">
        <v>549</v>
      </c>
    </row>
    <row r="703" spans="1:7" ht="15" customHeight="1" x14ac:dyDescent="0.3">
      <c r="A703" s="93" t="s">
        <v>555</v>
      </c>
      <c r="B703" s="93" t="s">
        <v>96</v>
      </c>
      <c r="C703" s="93" t="s">
        <v>94</v>
      </c>
      <c r="D703" s="93" t="s">
        <v>503</v>
      </c>
      <c r="E703" s="93" t="s">
        <v>510</v>
      </c>
      <c r="F703" s="106">
        <v>0</v>
      </c>
      <c r="G703" s="8" t="s">
        <v>549</v>
      </c>
    </row>
    <row r="704" spans="1:7" ht="15" customHeight="1" x14ac:dyDescent="0.3">
      <c r="A704" s="93" t="s">
        <v>555</v>
      </c>
      <c r="B704" s="93" t="s">
        <v>96</v>
      </c>
      <c r="C704" s="93" t="s">
        <v>94</v>
      </c>
      <c r="D704" s="93" t="s">
        <v>503</v>
      </c>
      <c r="E704" s="93" t="s">
        <v>511</v>
      </c>
      <c r="F704" s="106">
        <v>0</v>
      </c>
      <c r="G704" s="8" t="s">
        <v>549</v>
      </c>
    </row>
    <row r="705" spans="1:7" ht="15" customHeight="1" x14ac:dyDescent="0.3">
      <c r="A705" s="93" t="s">
        <v>555</v>
      </c>
      <c r="B705" s="93" t="s">
        <v>96</v>
      </c>
      <c r="C705" s="93" t="s">
        <v>94</v>
      </c>
      <c r="D705" s="93" t="s">
        <v>503</v>
      </c>
      <c r="E705" s="93" t="s">
        <v>512</v>
      </c>
      <c r="F705" s="106">
        <v>0</v>
      </c>
      <c r="G705" s="8" t="s">
        <v>549</v>
      </c>
    </row>
    <row r="706" spans="1:7" ht="15" customHeight="1" x14ac:dyDescent="0.3">
      <c r="A706" s="93" t="s">
        <v>556</v>
      </c>
      <c r="B706" s="93" t="s">
        <v>93</v>
      </c>
      <c r="C706" s="93" t="s">
        <v>94</v>
      </c>
      <c r="D706" s="93" t="s">
        <v>503</v>
      </c>
      <c r="E706" s="93" t="s">
        <v>504</v>
      </c>
      <c r="F706" s="106">
        <v>0</v>
      </c>
      <c r="G706" s="8" t="s">
        <v>549</v>
      </c>
    </row>
    <row r="707" spans="1:7" ht="15" customHeight="1" x14ac:dyDescent="0.3">
      <c r="A707" s="93" t="s">
        <v>556</v>
      </c>
      <c r="B707" s="93" t="s">
        <v>93</v>
      </c>
      <c r="C707" s="93" t="s">
        <v>94</v>
      </c>
      <c r="D707" s="93" t="s">
        <v>503</v>
      </c>
      <c r="E707" s="93" t="s">
        <v>506</v>
      </c>
      <c r="F707" s="106">
        <v>0</v>
      </c>
      <c r="G707" s="8" t="s">
        <v>549</v>
      </c>
    </row>
    <row r="708" spans="1:7" ht="15" customHeight="1" x14ac:dyDescent="0.3">
      <c r="A708" s="93" t="s">
        <v>556</v>
      </c>
      <c r="B708" s="93" t="s">
        <v>93</v>
      </c>
      <c r="C708" s="93" t="s">
        <v>94</v>
      </c>
      <c r="D708" s="93" t="s">
        <v>503</v>
      </c>
      <c r="E708" s="93" t="s">
        <v>507</v>
      </c>
      <c r="F708" s="106">
        <v>0</v>
      </c>
      <c r="G708" s="8" t="s">
        <v>549</v>
      </c>
    </row>
    <row r="709" spans="1:7" ht="15" customHeight="1" x14ac:dyDescent="0.3">
      <c r="A709" s="93" t="s">
        <v>556</v>
      </c>
      <c r="B709" s="93" t="s">
        <v>93</v>
      </c>
      <c r="C709" s="93" t="s">
        <v>94</v>
      </c>
      <c r="D709" s="93" t="s">
        <v>503</v>
      </c>
      <c r="E709" s="93" t="s">
        <v>508</v>
      </c>
      <c r="F709" s="106">
        <v>0</v>
      </c>
      <c r="G709" s="8" t="s">
        <v>549</v>
      </c>
    </row>
    <row r="710" spans="1:7" ht="15" customHeight="1" x14ac:dyDescent="0.3">
      <c r="A710" s="93" t="s">
        <v>556</v>
      </c>
      <c r="B710" s="93" t="s">
        <v>93</v>
      </c>
      <c r="C710" s="93" t="s">
        <v>94</v>
      </c>
      <c r="D710" s="93" t="s">
        <v>503</v>
      </c>
      <c r="E710" s="93" t="s">
        <v>509</v>
      </c>
      <c r="F710" s="106">
        <v>0</v>
      </c>
      <c r="G710" s="8" t="s">
        <v>549</v>
      </c>
    </row>
    <row r="711" spans="1:7" ht="15" customHeight="1" x14ac:dyDescent="0.3">
      <c r="A711" s="93" t="s">
        <v>556</v>
      </c>
      <c r="B711" s="93" t="s">
        <v>93</v>
      </c>
      <c r="C711" s="93" t="s">
        <v>94</v>
      </c>
      <c r="D711" s="93" t="s">
        <v>503</v>
      </c>
      <c r="E711" s="93" t="s">
        <v>510</v>
      </c>
      <c r="F711" s="106">
        <v>0</v>
      </c>
      <c r="G711" s="8" t="s">
        <v>549</v>
      </c>
    </row>
    <row r="712" spans="1:7" ht="15" customHeight="1" x14ac:dyDescent="0.3">
      <c r="A712" s="93" t="s">
        <v>556</v>
      </c>
      <c r="B712" s="93" t="s">
        <v>93</v>
      </c>
      <c r="C712" s="93" t="s">
        <v>94</v>
      </c>
      <c r="D712" s="93" t="s">
        <v>503</v>
      </c>
      <c r="E712" s="93" t="s">
        <v>511</v>
      </c>
      <c r="F712" s="106">
        <v>0</v>
      </c>
      <c r="G712" s="8" t="s">
        <v>549</v>
      </c>
    </row>
    <row r="713" spans="1:7" ht="15" customHeight="1" x14ac:dyDescent="0.3">
      <c r="A713" s="93" t="s">
        <v>556</v>
      </c>
      <c r="B713" s="93" t="s">
        <v>93</v>
      </c>
      <c r="C713" s="93" t="s">
        <v>94</v>
      </c>
      <c r="D713" s="93" t="s">
        <v>503</v>
      </c>
      <c r="E713" s="93" t="s">
        <v>512</v>
      </c>
      <c r="F713" s="106">
        <v>0</v>
      </c>
      <c r="G713" s="8" t="s">
        <v>549</v>
      </c>
    </row>
    <row r="714" spans="1:7" ht="15" customHeight="1" x14ac:dyDescent="0.3">
      <c r="A714" s="93" t="s">
        <v>556</v>
      </c>
      <c r="B714" s="93" t="s">
        <v>96</v>
      </c>
      <c r="C714" s="93" t="s">
        <v>94</v>
      </c>
      <c r="D714" s="93" t="s">
        <v>503</v>
      </c>
      <c r="E714" s="93" t="s">
        <v>504</v>
      </c>
      <c r="F714" s="106">
        <v>0</v>
      </c>
      <c r="G714" s="8" t="s">
        <v>549</v>
      </c>
    </row>
    <row r="715" spans="1:7" ht="15" customHeight="1" x14ac:dyDescent="0.3">
      <c r="A715" s="93" t="s">
        <v>556</v>
      </c>
      <c r="B715" s="93" t="s">
        <v>96</v>
      </c>
      <c r="C715" s="93" t="s">
        <v>94</v>
      </c>
      <c r="D715" s="93" t="s">
        <v>503</v>
      </c>
      <c r="E715" s="93" t="s">
        <v>506</v>
      </c>
      <c r="F715" s="106">
        <v>0</v>
      </c>
      <c r="G715" s="8" t="s">
        <v>549</v>
      </c>
    </row>
    <row r="716" spans="1:7" ht="15" customHeight="1" x14ac:dyDescent="0.3">
      <c r="A716" s="93" t="s">
        <v>556</v>
      </c>
      <c r="B716" s="93" t="s">
        <v>96</v>
      </c>
      <c r="C716" s="93" t="s">
        <v>94</v>
      </c>
      <c r="D716" s="93" t="s">
        <v>503</v>
      </c>
      <c r="E716" s="93" t="s">
        <v>507</v>
      </c>
      <c r="F716" s="106">
        <v>0</v>
      </c>
      <c r="G716" s="8" t="s">
        <v>549</v>
      </c>
    </row>
    <row r="717" spans="1:7" ht="15" customHeight="1" x14ac:dyDescent="0.3">
      <c r="A717" s="93" t="s">
        <v>556</v>
      </c>
      <c r="B717" s="93" t="s">
        <v>96</v>
      </c>
      <c r="C717" s="93" t="s">
        <v>94</v>
      </c>
      <c r="D717" s="93" t="s">
        <v>503</v>
      </c>
      <c r="E717" s="93" t="s">
        <v>508</v>
      </c>
      <c r="F717" s="106">
        <v>0</v>
      </c>
      <c r="G717" s="8" t="s">
        <v>549</v>
      </c>
    </row>
    <row r="718" spans="1:7" ht="15" customHeight="1" x14ac:dyDescent="0.3">
      <c r="A718" s="93" t="s">
        <v>556</v>
      </c>
      <c r="B718" s="93" t="s">
        <v>96</v>
      </c>
      <c r="C718" s="93" t="s">
        <v>94</v>
      </c>
      <c r="D718" s="93" t="s">
        <v>503</v>
      </c>
      <c r="E718" s="93" t="s">
        <v>509</v>
      </c>
      <c r="F718" s="106">
        <v>0</v>
      </c>
      <c r="G718" s="8" t="s">
        <v>549</v>
      </c>
    </row>
    <row r="719" spans="1:7" ht="15" customHeight="1" x14ac:dyDescent="0.3">
      <c r="A719" s="93" t="s">
        <v>556</v>
      </c>
      <c r="B719" s="93" t="s">
        <v>96</v>
      </c>
      <c r="C719" s="93" t="s">
        <v>94</v>
      </c>
      <c r="D719" s="93" t="s">
        <v>503</v>
      </c>
      <c r="E719" s="93" t="s">
        <v>510</v>
      </c>
      <c r="F719" s="106">
        <v>0</v>
      </c>
      <c r="G719" s="8" t="s">
        <v>549</v>
      </c>
    </row>
    <row r="720" spans="1:7" ht="15" customHeight="1" x14ac:dyDescent="0.3">
      <c r="A720" s="93" t="s">
        <v>556</v>
      </c>
      <c r="B720" s="93" t="s">
        <v>96</v>
      </c>
      <c r="C720" s="93" t="s">
        <v>94</v>
      </c>
      <c r="D720" s="93" t="s">
        <v>503</v>
      </c>
      <c r="E720" s="93" t="s">
        <v>511</v>
      </c>
      <c r="F720" s="106">
        <v>0</v>
      </c>
      <c r="G720" s="8" t="s">
        <v>549</v>
      </c>
    </row>
    <row r="721" spans="1:7" ht="15" customHeight="1" x14ac:dyDescent="0.3">
      <c r="A721" s="93" t="s">
        <v>556</v>
      </c>
      <c r="B721" s="93" t="s">
        <v>96</v>
      </c>
      <c r="C721" s="93" t="s">
        <v>94</v>
      </c>
      <c r="D721" s="93" t="s">
        <v>503</v>
      </c>
      <c r="E721" s="93" t="s">
        <v>512</v>
      </c>
      <c r="F721" s="106">
        <v>0</v>
      </c>
      <c r="G721" s="8" t="s">
        <v>549</v>
      </c>
    </row>
    <row r="722" spans="1:7" ht="15" customHeight="1" x14ac:dyDescent="0.3">
      <c r="A722" s="93" t="s">
        <v>557</v>
      </c>
      <c r="B722" s="93" t="s">
        <v>93</v>
      </c>
      <c r="C722" s="93" t="s">
        <v>94</v>
      </c>
      <c r="D722" s="93" t="s">
        <v>503</v>
      </c>
      <c r="E722" s="93" t="s">
        <v>504</v>
      </c>
      <c r="F722" s="106">
        <v>0</v>
      </c>
      <c r="G722" s="8" t="s">
        <v>549</v>
      </c>
    </row>
    <row r="723" spans="1:7" ht="15" customHeight="1" x14ac:dyDescent="0.3">
      <c r="A723" s="93" t="s">
        <v>557</v>
      </c>
      <c r="B723" s="93" t="s">
        <v>93</v>
      </c>
      <c r="C723" s="93" t="s">
        <v>94</v>
      </c>
      <c r="D723" s="93" t="s">
        <v>503</v>
      </c>
      <c r="E723" s="93" t="s">
        <v>506</v>
      </c>
      <c r="F723" s="106">
        <v>0</v>
      </c>
      <c r="G723" s="8" t="s">
        <v>549</v>
      </c>
    </row>
    <row r="724" spans="1:7" ht="15" customHeight="1" x14ac:dyDescent="0.3">
      <c r="A724" s="93" t="s">
        <v>557</v>
      </c>
      <c r="B724" s="93" t="s">
        <v>93</v>
      </c>
      <c r="C724" s="93" t="s">
        <v>94</v>
      </c>
      <c r="D724" s="93" t="s">
        <v>503</v>
      </c>
      <c r="E724" s="93" t="s">
        <v>507</v>
      </c>
      <c r="F724" s="106">
        <v>0</v>
      </c>
      <c r="G724" s="8" t="s">
        <v>549</v>
      </c>
    </row>
    <row r="725" spans="1:7" ht="15" customHeight="1" x14ac:dyDescent="0.3">
      <c r="A725" s="93" t="s">
        <v>557</v>
      </c>
      <c r="B725" s="93" t="s">
        <v>93</v>
      </c>
      <c r="C725" s="93" t="s">
        <v>94</v>
      </c>
      <c r="D725" s="93" t="s">
        <v>503</v>
      </c>
      <c r="E725" s="93" t="s">
        <v>508</v>
      </c>
      <c r="F725" s="106">
        <v>0</v>
      </c>
      <c r="G725" s="8" t="s">
        <v>549</v>
      </c>
    </row>
    <row r="726" spans="1:7" ht="15" customHeight="1" x14ac:dyDescent="0.3">
      <c r="A726" s="93" t="s">
        <v>557</v>
      </c>
      <c r="B726" s="93" t="s">
        <v>93</v>
      </c>
      <c r="C726" s="93" t="s">
        <v>94</v>
      </c>
      <c r="D726" s="93" t="s">
        <v>503</v>
      </c>
      <c r="E726" s="93" t="s">
        <v>509</v>
      </c>
      <c r="F726" s="106">
        <v>0</v>
      </c>
      <c r="G726" s="8" t="s">
        <v>549</v>
      </c>
    </row>
    <row r="727" spans="1:7" ht="15" customHeight="1" x14ac:dyDescent="0.3">
      <c r="A727" s="93" t="s">
        <v>557</v>
      </c>
      <c r="B727" s="93" t="s">
        <v>93</v>
      </c>
      <c r="C727" s="93" t="s">
        <v>94</v>
      </c>
      <c r="D727" s="93" t="s">
        <v>503</v>
      </c>
      <c r="E727" s="93" t="s">
        <v>510</v>
      </c>
      <c r="F727" s="106">
        <v>0</v>
      </c>
      <c r="G727" s="8" t="s">
        <v>549</v>
      </c>
    </row>
    <row r="728" spans="1:7" ht="15" customHeight="1" x14ac:dyDescent="0.3">
      <c r="A728" s="93" t="s">
        <v>557</v>
      </c>
      <c r="B728" s="93" t="s">
        <v>93</v>
      </c>
      <c r="C728" s="93" t="s">
        <v>94</v>
      </c>
      <c r="D728" s="93" t="s">
        <v>503</v>
      </c>
      <c r="E728" s="93" t="s">
        <v>511</v>
      </c>
      <c r="F728" s="106">
        <v>0</v>
      </c>
      <c r="G728" s="8" t="s">
        <v>549</v>
      </c>
    </row>
    <row r="729" spans="1:7" ht="15" customHeight="1" x14ac:dyDescent="0.3">
      <c r="A729" s="93" t="s">
        <v>557</v>
      </c>
      <c r="B729" s="93" t="s">
        <v>93</v>
      </c>
      <c r="C729" s="93" t="s">
        <v>94</v>
      </c>
      <c r="D729" s="93" t="s">
        <v>503</v>
      </c>
      <c r="E729" s="93" t="s">
        <v>512</v>
      </c>
      <c r="F729" s="106">
        <v>0</v>
      </c>
      <c r="G729" s="8" t="s">
        <v>549</v>
      </c>
    </row>
    <row r="730" spans="1:7" ht="15" customHeight="1" x14ac:dyDescent="0.3">
      <c r="A730" s="93" t="s">
        <v>557</v>
      </c>
      <c r="B730" s="93" t="s">
        <v>96</v>
      </c>
      <c r="C730" s="93" t="s">
        <v>94</v>
      </c>
      <c r="D730" s="93" t="s">
        <v>503</v>
      </c>
      <c r="E730" s="93" t="s">
        <v>504</v>
      </c>
      <c r="F730" s="106">
        <v>0</v>
      </c>
      <c r="G730" s="8" t="s">
        <v>549</v>
      </c>
    </row>
    <row r="731" spans="1:7" ht="15" customHeight="1" x14ac:dyDescent="0.3">
      <c r="A731" s="93" t="s">
        <v>557</v>
      </c>
      <c r="B731" s="93" t="s">
        <v>96</v>
      </c>
      <c r="C731" s="93" t="s">
        <v>94</v>
      </c>
      <c r="D731" s="93" t="s">
        <v>503</v>
      </c>
      <c r="E731" s="93" t="s">
        <v>506</v>
      </c>
      <c r="F731" s="106">
        <v>0</v>
      </c>
      <c r="G731" s="8" t="s">
        <v>549</v>
      </c>
    </row>
    <row r="732" spans="1:7" ht="15" customHeight="1" x14ac:dyDescent="0.3">
      <c r="A732" s="93" t="s">
        <v>557</v>
      </c>
      <c r="B732" s="93" t="s">
        <v>96</v>
      </c>
      <c r="C732" s="93" t="s">
        <v>94</v>
      </c>
      <c r="D732" s="93" t="s">
        <v>503</v>
      </c>
      <c r="E732" s="93" t="s">
        <v>507</v>
      </c>
      <c r="F732" s="106">
        <v>0</v>
      </c>
      <c r="G732" s="8" t="s">
        <v>549</v>
      </c>
    </row>
    <row r="733" spans="1:7" ht="15" customHeight="1" x14ac:dyDescent="0.3">
      <c r="A733" s="93" t="s">
        <v>557</v>
      </c>
      <c r="B733" s="93" t="s">
        <v>96</v>
      </c>
      <c r="C733" s="93" t="s">
        <v>94</v>
      </c>
      <c r="D733" s="93" t="s">
        <v>503</v>
      </c>
      <c r="E733" s="93" t="s">
        <v>508</v>
      </c>
      <c r="F733" s="106">
        <v>0</v>
      </c>
      <c r="G733" s="8" t="s">
        <v>549</v>
      </c>
    </row>
    <row r="734" spans="1:7" ht="15" customHeight="1" x14ac:dyDescent="0.3">
      <c r="A734" s="93" t="s">
        <v>557</v>
      </c>
      <c r="B734" s="93" t="s">
        <v>96</v>
      </c>
      <c r="C734" s="93" t="s">
        <v>94</v>
      </c>
      <c r="D734" s="93" t="s">
        <v>503</v>
      </c>
      <c r="E734" s="93" t="s">
        <v>509</v>
      </c>
      <c r="F734" s="106">
        <v>0</v>
      </c>
      <c r="G734" s="8" t="s">
        <v>549</v>
      </c>
    </row>
    <row r="735" spans="1:7" ht="15" customHeight="1" x14ac:dyDescent="0.3">
      <c r="A735" s="93" t="s">
        <v>557</v>
      </c>
      <c r="B735" s="93" t="s">
        <v>96</v>
      </c>
      <c r="C735" s="93" t="s">
        <v>94</v>
      </c>
      <c r="D735" s="93" t="s">
        <v>503</v>
      </c>
      <c r="E735" s="93" t="s">
        <v>510</v>
      </c>
      <c r="F735" s="106">
        <v>0</v>
      </c>
      <c r="G735" s="8" t="s">
        <v>549</v>
      </c>
    </row>
    <row r="736" spans="1:7" ht="15" customHeight="1" x14ac:dyDescent="0.3">
      <c r="A736" s="93" t="s">
        <v>557</v>
      </c>
      <c r="B736" s="93" t="s">
        <v>96</v>
      </c>
      <c r="C736" s="93" t="s">
        <v>94</v>
      </c>
      <c r="D736" s="93" t="s">
        <v>503</v>
      </c>
      <c r="E736" s="93" t="s">
        <v>511</v>
      </c>
      <c r="F736" s="106">
        <v>0</v>
      </c>
      <c r="G736" s="8" t="s">
        <v>549</v>
      </c>
    </row>
    <row r="737" spans="1:7" ht="15" customHeight="1" x14ac:dyDescent="0.3">
      <c r="A737" s="93" t="s">
        <v>557</v>
      </c>
      <c r="B737" s="93" t="s">
        <v>96</v>
      </c>
      <c r="C737" s="93" t="s">
        <v>94</v>
      </c>
      <c r="D737" s="93" t="s">
        <v>503</v>
      </c>
      <c r="E737" s="93" t="s">
        <v>512</v>
      </c>
      <c r="F737" s="106">
        <v>0</v>
      </c>
      <c r="G737" s="8" t="s">
        <v>549</v>
      </c>
    </row>
    <row r="738" spans="1:7" ht="15" customHeight="1" x14ac:dyDescent="0.3">
      <c r="A738" s="93" t="s">
        <v>558</v>
      </c>
      <c r="B738" s="93" t="s">
        <v>93</v>
      </c>
      <c r="C738" s="93" t="s">
        <v>94</v>
      </c>
      <c r="D738" s="93" t="s">
        <v>503</v>
      </c>
      <c r="E738" s="93" t="s">
        <v>504</v>
      </c>
      <c r="F738" s="106">
        <v>0</v>
      </c>
      <c r="G738" s="8" t="s">
        <v>549</v>
      </c>
    </row>
    <row r="739" spans="1:7" ht="15" customHeight="1" x14ac:dyDescent="0.3">
      <c r="A739" s="93" t="s">
        <v>558</v>
      </c>
      <c r="B739" s="93" t="s">
        <v>93</v>
      </c>
      <c r="C739" s="93" t="s">
        <v>94</v>
      </c>
      <c r="D739" s="93" t="s">
        <v>503</v>
      </c>
      <c r="E739" s="93" t="s">
        <v>506</v>
      </c>
      <c r="F739" s="106">
        <v>0</v>
      </c>
      <c r="G739" s="8" t="s">
        <v>549</v>
      </c>
    </row>
    <row r="740" spans="1:7" ht="15" customHeight="1" x14ac:dyDescent="0.3">
      <c r="A740" s="93" t="s">
        <v>558</v>
      </c>
      <c r="B740" s="93" t="s">
        <v>93</v>
      </c>
      <c r="C740" s="93" t="s">
        <v>94</v>
      </c>
      <c r="D740" s="93" t="s">
        <v>503</v>
      </c>
      <c r="E740" s="93" t="s">
        <v>507</v>
      </c>
      <c r="F740" s="106">
        <v>0</v>
      </c>
      <c r="G740" s="8" t="s">
        <v>549</v>
      </c>
    </row>
    <row r="741" spans="1:7" ht="15" customHeight="1" x14ac:dyDescent="0.3">
      <c r="A741" s="93" t="s">
        <v>558</v>
      </c>
      <c r="B741" s="93" t="s">
        <v>93</v>
      </c>
      <c r="C741" s="93" t="s">
        <v>94</v>
      </c>
      <c r="D741" s="93" t="s">
        <v>503</v>
      </c>
      <c r="E741" s="93" t="s">
        <v>508</v>
      </c>
      <c r="F741" s="106">
        <v>0</v>
      </c>
      <c r="G741" s="8" t="s">
        <v>549</v>
      </c>
    </row>
    <row r="742" spans="1:7" ht="15" customHeight="1" x14ac:dyDescent="0.3">
      <c r="A742" s="93" t="s">
        <v>558</v>
      </c>
      <c r="B742" s="93" t="s">
        <v>93</v>
      </c>
      <c r="C742" s="93" t="s">
        <v>94</v>
      </c>
      <c r="D742" s="93" t="s">
        <v>503</v>
      </c>
      <c r="E742" s="93" t="s">
        <v>509</v>
      </c>
      <c r="F742" s="106">
        <v>0</v>
      </c>
      <c r="G742" s="8" t="s">
        <v>549</v>
      </c>
    </row>
    <row r="743" spans="1:7" ht="15" customHeight="1" x14ac:dyDescent="0.3">
      <c r="A743" s="93" t="s">
        <v>558</v>
      </c>
      <c r="B743" s="93" t="s">
        <v>93</v>
      </c>
      <c r="C743" s="93" t="s">
        <v>94</v>
      </c>
      <c r="D743" s="93" t="s">
        <v>503</v>
      </c>
      <c r="E743" s="93" t="s">
        <v>510</v>
      </c>
      <c r="F743" s="106">
        <v>0</v>
      </c>
      <c r="G743" s="8" t="s">
        <v>549</v>
      </c>
    </row>
    <row r="744" spans="1:7" ht="15" customHeight="1" x14ac:dyDescent="0.3">
      <c r="A744" s="93" t="s">
        <v>558</v>
      </c>
      <c r="B744" s="93" t="s">
        <v>93</v>
      </c>
      <c r="C744" s="93" t="s">
        <v>94</v>
      </c>
      <c r="D744" s="93" t="s">
        <v>503</v>
      </c>
      <c r="E744" s="93" t="s">
        <v>511</v>
      </c>
      <c r="F744" s="106">
        <v>0</v>
      </c>
      <c r="G744" s="8" t="s">
        <v>549</v>
      </c>
    </row>
    <row r="745" spans="1:7" ht="15" customHeight="1" x14ac:dyDescent="0.3">
      <c r="A745" s="93" t="s">
        <v>558</v>
      </c>
      <c r="B745" s="93" t="s">
        <v>93</v>
      </c>
      <c r="C745" s="93" t="s">
        <v>94</v>
      </c>
      <c r="D745" s="93" t="s">
        <v>503</v>
      </c>
      <c r="E745" s="93" t="s">
        <v>512</v>
      </c>
      <c r="F745" s="106">
        <v>0</v>
      </c>
      <c r="G745" s="8" t="s">
        <v>549</v>
      </c>
    </row>
    <row r="746" spans="1:7" ht="15" customHeight="1" x14ac:dyDescent="0.3">
      <c r="A746" s="93" t="s">
        <v>558</v>
      </c>
      <c r="B746" s="93" t="s">
        <v>96</v>
      </c>
      <c r="C746" s="93" t="s">
        <v>94</v>
      </c>
      <c r="D746" s="93" t="s">
        <v>503</v>
      </c>
      <c r="E746" s="93" t="s">
        <v>504</v>
      </c>
      <c r="F746" s="106">
        <v>0</v>
      </c>
      <c r="G746" s="8" t="s">
        <v>549</v>
      </c>
    </row>
    <row r="747" spans="1:7" ht="15" customHeight="1" x14ac:dyDescent="0.3">
      <c r="A747" s="93" t="s">
        <v>558</v>
      </c>
      <c r="B747" s="93" t="s">
        <v>96</v>
      </c>
      <c r="C747" s="93" t="s">
        <v>94</v>
      </c>
      <c r="D747" s="93" t="s">
        <v>503</v>
      </c>
      <c r="E747" s="93" t="s">
        <v>506</v>
      </c>
      <c r="F747" s="106">
        <v>0</v>
      </c>
      <c r="G747" s="8" t="s">
        <v>549</v>
      </c>
    </row>
    <row r="748" spans="1:7" ht="15" customHeight="1" x14ac:dyDescent="0.3">
      <c r="A748" s="93" t="s">
        <v>558</v>
      </c>
      <c r="B748" s="93" t="s">
        <v>96</v>
      </c>
      <c r="C748" s="93" t="s">
        <v>94</v>
      </c>
      <c r="D748" s="93" t="s">
        <v>503</v>
      </c>
      <c r="E748" s="93" t="s">
        <v>507</v>
      </c>
      <c r="F748" s="106">
        <v>0</v>
      </c>
      <c r="G748" s="8" t="s">
        <v>549</v>
      </c>
    </row>
    <row r="749" spans="1:7" ht="15" customHeight="1" x14ac:dyDescent="0.3">
      <c r="A749" s="93" t="s">
        <v>558</v>
      </c>
      <c r="B749" s="93" t="s">
        <v>96</v>
      </c>
      <c r="C749" s="93" t="s">
        <v>94</v>
      </c>
      <c r="D749" s="93" t="s">
        <v>503</v>
      </c>
      <c r="E749" s="93" t="s">
        <v>508</v>
      </c>
      <c r="F749" s="106">
        <v>0</v>
      </c>
      <c r="G749" s="8" t="s">
        <v>549</v>
      </c>
    </row>
    <row r="750" spans="1:7" ht="15" customHeight="1" x14ac:dyDescent="0.3">
      <c r="A750" s="93" t="s">
        <v>558</v>
      </c>
      <c r="B750" s="93" t="s">
        <v>96</v>
      </c>
      <c r="C750" s="93" t="s">
        <v>94</v>
      </c>
      <c r="D750" s="93" t="s">
        <v>503</v>
      </c>
      <c r="E750" s="93" t="s">
        <v>509</v>
      </c>
      <c r="F750" s="106">
        <v>0</v>
      </c>
      <c r="G750" s="8" t="s">
        <v>549</v>
      </c>
    </row>
    <row r="751" spans="1:7" ht="15" customHeight="1" x14ac:dyDescent="0.3">
      <c r="A751" s="93" t="s">
        <v>558</v>
      </c>
      <c r="B751" s="93" t="s">
        <v>96</v>
      </c>
      <c r="C751" s="93" t="s">
        <v>94</v>
      </c>
      <c r="D751" s="93" t="s">
        <v>503</v>
      </c>
      <c r="E751" s="93" t="s">
        <v>510</v>
      </c>
      <c r="F751" s="106">
        <v>0</v>
      </c>
      <c r="G751" s="8" t="s">
        <v>549</v>
      </c>
    </row>
    <row r="752" spans="1:7" ht="15" customHeight="1" x14ac:dyDescent="0.3">
      <c r="A752" s="93" t="s">
        <v>558</v>
      </c>
      <c r="B752" s="93" t="s">
        <v>96</v>
      </c>
      <c r="C752" s="93" t="s">
        <v>94</v>
      </c>
      <c r="D752" s="93" t="s">
        <v>503</v>
      </c>
      <c r="E752" s="93" t="s">
        <v>511</v>
      </c>
      <c r="F752" s="106">
        <v>0</v>
      </c>
      <c r="G752" s="8" t="s">
        <v>549</v>
      </c>
    </row>
    <row r="753" spans="1:7" ht="15" customHeight="1" x14ac:dyDescent="0.3">
      <c r="A753" s="93" t="s">
        <v>558</v>
      </c>
      <c r="B753" s="93" t="s">
        <v>96</v>
      </c>
      <c r="C753" s="93" t="s">
        <v>94</v>
      </c>
      <c r="D753" s="93" t="s">
        <v>503</v>
      </c>
      <c r="E753" s="93" t="s">
        <v>512</v>
      </c>
      <c r="F753" s="106">
        <v>0</v>
      </c>
      <c r="G753" s="8" t="s">
        <v>549</v>
      </c>
    </row>
    <row r="754" spans="1:7" ht="15" customHeight="1" x14ac:dyDescent="0.3">
      <c r="A754" s="93" t="s">
        <v>559</v>
      </c>
      <c r="B754" s="93" t="s">
        <v>93</v>
      </c>
      <c r="C754" s="93" t="s">
        <v>94</v>
      </c>
      <c r="D754" s="93" t="s">
        <v>503</v>
      </c>
      <c r="E754" s="93" t="s">
        <v>504</v>
      </c>
      <c r="F754" s="106">
        <v>0</v>
      </c>
      <c r="G754" s="8" t="s">
        <v>549</v>
      </c>
    </row>
    <row r="755" spans="1:7" ht="15" customHeight="1" x14ac:dyDescent="0.3">
      <c r="A755" s="93" t="s">
        <v>559</v>
      </c>
      <c r="B755" s="93" t="s">
        <v>93</v>
      </c>
      <c r="C755" s="93" t="s">
        <v>94</v>
      </c>
      <c r="D755" s="93" t="s">
        <v>503</v>
      </c>
      <c r="E755" s="93" t="s">
        <v>506</v>
      </c>
      <c r="F755" s="106">
        <v>0</v>
      </c>
      <c r="G755" s="8" t="s">
        <v>549</v>
      </c>
    </row>
    <row r="756" spans="1:7" ht="15" customHeight="1" x14ac:dyDescent="0.3">
      <c r="A756" s="93" t="s">
        <v>559</v>
      </c>
      <c r="B756" s="93" t="s">
        <v>93</v>
      </c>
      <c r="C756" s="93" t="s">
        <v>94</v>
      </c>
      <c r="D756" s="93" t="s">
        <v>503</v>
      </c>
      <c r="E756" s="93" t="s">
        <v>507</v>
      </c>
      <c r="F756" s="106">
        <v>0</v>
      </c>
      <c r="G756" s="8" t="s">
        <v>549</v>
      </c>
    </row>
    <row r="757" spans="1:7" ht="15" customHeight="1" x14ac:dyDescent="0.3">
      <c r="A757" s="93" t="s">
        <v>559</v>
      </c>
      <c r="B757" s="93" t="s">
        <v>93</v>
      </c>
      <c r="C757" s="93" t="s">
        <v>94</v>
      </c>
      <c r="D757" s="93" t="s">
        <v>503</v>
      </c>
      <c r="E757" s="93" t="s">
        <v>508</v>
      </c>
      <c r="F757" s="106">
        <v>0</v>
      </c>
      <c r="G757" s="8" t="s">
        <v>549</v>
      </c>
    </row>
    <row r="758" spans="1:7" ht="15" customHeight="1" x14ac:dyDescent="0.3">
      <c r="A758" s="93" t="s">
        <v>559</v>
      </c>
      <c r="B758" s="93" t="s">
        <v>93</v>
      </c>
      <c r="C758" s="93" t="s">
        <v>94</v>
      </c>
      <c r="D758" s="93" t="s">
        <v>503</v>
      </c>
      <c r="E758" s="93" t="s">
        <v>509</v>
      </c>
      <c r="F758" s="106">
        <v>0</v>
      </c>
      <c r="G758" s="8" t="s">
        <v>549</v>
      </c>
    </row>
    <row r="759" spans="1:7" ht="15" customHeight="1" x14ac:dyDescent="0.3">
      <c r="A759" s="93" t="s">
        <v>559</v>
      </c>
      <c r="B759" s="93" t="s">
        <v>93</v>
      </c>
      <c r="C759" s="93" t="s">
        <v>94</v>
      </c>
      <c r="D759" s="93" t="s">
        <v>503</v>
      </c>
      <c r="E759" s="93" t="s">
        <v>510</v>
      </c>
      <c r="F759" s="106">
        <v>0</v>
      </c>
      <c r="G759" s="8" t="s">
        <v>549</v>
      </c>
    </row>
    <row r="760" spans="1:7" ht="15" customHeight="1" x14ac:dyDescent="0.3">
      <c r="A760" s="93" t="s">
        <v>559</v>
      </c>
      <c r="B760" s="93" t="s">
        <v>93</v>
      </c>
      <c r="C760" s="93" t="s">
        <v>94</v>
      </c>
      <c r="D760" s="93" t="s">
        <v>503</v>
      </c>
      <c r="E760" s="93" t="s">
        <v>511</v>
      </c>
      <c r="F760" s="106">
        <v>0</v>
      </c>
      <c r="G760" s="8" t="s">
        <v>549</v>
      </c>
    </row>
    <row r="761" spans="1:7" ht="15" customHeight="1" x14ac:dyDescent="0.3">
      <c r="A761" s="93" t="s">
        <v>559</v>
      </c>
      <c r="B761" s="93" t="s">
        <v>93</v>
      </c>
      <c r="C761" s="93" t="s">
        <v>94</v>
      </c>
      <c r="D761" s="93" t="s">
        <v>503</v>
      </c>
      <c r="E761" s="93" t="s">
        <v>512</v>
      </c>
      <c r="F761" s="106">
        <v>0</v>
      </c>
      <c r="G761" s="8" t="s">
        <v>549</v>
      </c>
    </row>
    <row r="762" spans="1:7" ht="15" customHeight="1" x14ac:dyDescent="0.3">
      <c r="A762" s="93" t="s">
        <v>559</v>
      </c>
      <c r="B762" s="93" t="s">
        <v>96</v>
      </c>
      <c r="C762" s="93" t="s">
        <v>94</v>
      </c>
      <c r="D762" s="93" t="s">
        <v>503</v>
      </c>
      <c r="E762" s="93" t="s">
        <v>504</v>
      </c>
      <c r="F762" s="106">
        <v>0</v>
      </c>
      <c r="G762" s="8" t="s">
        <v>549</v>
      </c>
    </row>
    <row r="763" spans="1:7" ht="15" customHeight="1" x14ac:dyDescent="0.3">
      <c r="A763" s="93" t="s">
        <v>559</v>
      </c>
      <c r="B763" s="93" t="s">
        <v>96</v>
      </c>
      <c r="C763" s="93" t="s">
        <v>94</v>
      </c>
      <c r="D763" s="93" t="s">
        <v>503</v>
      </c>
      <c r="E763" s="93" t="s">
        <v>506</v>
      </c>
      <c r="F763" s="106">
        <v>0</v>
      </c>
      <c r="G763" s="8" t="s">
        <v>549</v>
      </c>
    </row>
    <row r="764" spans="1:7" ht="15" customHeight="1" x14ac:dyDescent="0.3">
      <c r="A764" s="93" t="s">
        <v>559</v>
      </c>
      <c r="B764" s="93" t="s">
        <v>96</v>
      </c>
      <c r="C764" s="93" t="s">
        <v>94</v>
      </c>
      <c r="D764" s="93" t="s">
        <v>503</v>
      </c>
      <c r="E764" s="93" t="s">
        <v>507</v>
      </c>
      <c r="F764" s="106">
        <v>0</v>
      </c>
      <c r="G764" s="8" t="s">
        <v>549</v>
      </c>
    </row>
    <row r="765" spans="1:7" ht="15" customHeight="1" x14ac:dyDescent="0.3">
      <c r="A765" s="93" t="s">
        <v>559</v>
      </c>
      <c r="B765" s="93" t="s">
        <v>96</v>
      </c>
      <c r="C765" s="93" t="s">
        <v>94</v>
      </c>
      <c r="D765" s="93" t="s">
        <v>503</v>
      </c>
      <c r="E765" s="93" t="s">
        <v>508</v>
      </c>
      <c r="F765" s="106">
        <v>0</v>
      </c>
      <c r="G765" s="8" t="s">
        <v>549</v>
      </c>
    </row>
    <row r="766" spans="1:7" ht="15" customHeight="1" x14ac:dyDescent="0.3">
      <c r="A766" s="93" t="s">
        <v>559</v>
      </c>
      <c r="B766" s="93" t="s">
        <v>96</v>
      </c>
      <c r="C766" s="93" t="s">
        <v>94</v>
      </c>
      <c r="D766" s="93" t="s">
        <v>503</v>
      </c>
      <c r="E766" s="93" t="s">
        <v>509</v>
      </c>
      <c r="F766" s="106">
        <v>0</v>
      </c>
      <c r="G766" s="8" t="s">
        <v>549</v>
      </c>
    </row>
    <row r="767" spans="1:7" ht="15" customHeight="1" x14ac:dyDescent="0.3">
      <c r="A767" s="93" t="s">
        <v>559</v>
      </c>
      <c r="B767" s="93" t="s">
        <v>96</v>
      </c>
      <c r="C767" s="93" t="s">
        <v>94</v>
      </c>
      <c r="D767" s="93" t="s">
        <v>503</v>
      </c>
      <c r="E767" s="93" t="s">
        <v>510</v>
      </c>
      <c r="F767" s="106">
        <v>0</v>
      </c>
      <c r="G767" s="8" t="s">
        <v>549</v>
      </c>
    </row>
    <row r="768" spans="1:7" ht="15" customHeight="1" x14ac:dyDescent="0.3">
      <c r="A768" s="93" t="s">
        <v>559</v>
      </c>
      <c r="B768" s="93" t="s">
        <v>96</v>
      </c>
      <c r="C768" s="93" t="s">
        <v>94</v>
      </c>
      <c r="D768" s="93" t="s">
        <v>503</v>
      </c>
      <c r="E768" s="93" t="s">
        <v>511</v>
      </c>
      <c r="F768" s="106">
        <v>0</v>
      </c>
      <c r="G768" s="8" t="s">
        <v>549</v>
      </c>
    </row>
    <row r="769" spans="1:7" ht="15" customHeight="1" x14ac:dyDescent="0.3">
      <c r="A769" s="93" t="s">
        <v>559</v>
      </c>
      <c r="B769" s="93" t="s">
        <v>96</v>
      </c>
      <c r="C769" s="93" t="s">
        <v>94</v>
      </c>
      <c r="D769" s="93" t="s">
        <v>503</v>
      </c>
      <c r="E769" s="93" t="s">
        <v>512</v>
      </c>
      <c r="F769" s="106">
        <v>0</v>
      </c>
      <c r="G769" s="8" t="s">
        <v>549</v>
      </c>
    </row>
    <row r="770" spans="1:7" ht="15" customHeight="1" x14ac:dyDescent="0.3">
      <c r="A770" s="93" t="s">
        <v>560</v>
      </c>
      <c r="B770" s="93" t="s">
        <v>93</v>
      </c>
      <c r="C770" s="93" t="s">
        <v>94</v>
      </c>
      <c r="D770" s="93" t="s">
        <v>503</v>
      </c>
      <c r="E770" s="93" t="s">
        <v>504</v>
      </c>
      <c r="F770" s="106">
        <v>0</v>
      </c>
      <c r="G770" s="8" t="s">
        <v>549</v>
      </c>
    </row>
    <row r="771" spans="1:7" ht="15" customHeight="1" x14ac:dyDescent="0.3">
      <c r="A771" s="93" t="s">
        <v>560</v>
      </c>
      <c r="B771" s="93" t="s">
        <v>93</v>
      </c>
      <c r="C771" s="93" t="s">
        <v>94</v>
      </c>
      <c r="D771" s="93" t="s">
        <v>503</v>
      </c>
      <c r="E771" s="93" t="s">
        <v>506</v>
      </c>
      <c r="F771" s="106">
        <v>0</v>
      </c>
      <c r="G771" s="8" t="s">
        <v>549</v>
      </c>
    </row>
    <row r="772" spans="1:7" ht="15" customHeight="1" x14ac:dyDescent="0.3">
      <c r="A772" s="93" t="s">
        <v>560</v>
      </c>
      <c r="B772" s="93" t="s">
        <v>93</v>
      </c>
      <c r="C772" s="93" t="s">
        <v>94</v>
      </c>
      <c r="D772" s="93" t="s">
        <v>503</v>
      </c>
      <c r="E772" s="93" t="s">
        <v>507</v>
      </c>
      <c r="F772" s="106">
        <v>0</v>
      </c>
      <c r="G772" s="8" t="s">
        <v>549</v>
      </c>
    </row>
    <row r="773" spans="1:7" ht="15" customHeight="1" x14ac:dyDescent="0.3">
      <c r="A773" s="93" t="s">
        <v>560</v>
      </c>
      <c r="B773" s="93" t="s">
        <v>93</v>
      </c>
      <c r="C773" s="93" t="s">
        <v>94</v>
      </c>
      <c r="D773" s="93" t="s">
        <v>503</v>
      </c>
      <c r="E773" s="93" t="s">
        <v>508</v>
      </c>
      <c r="F773" s="106">
        <v>0</v>
      </c>
      <c r="G773" s="8" t="s">
        <v>549</v>
      </c>
    </row>
    <row r="774" spans="1:7" ht="15" customHeight="1" x14ac:dyDescent="0.3">
      <c r="A774" s="93" t="s">
        <v>560</v>
      </c>
      <c r="B774" s="93" t="s">
        <v>93</v>
      </c>
      <c r="C774" s="93" t="s">
        <v>94</v>
      </c>
      <c r="D774" s="93" t="s">
        <v>503</v>
      </c>
      <c r="E774" s="93" t="s">
        <v>509</v>
      </c>
      <c r="F774" s="106">
        <v>0</v>
      </c>
      <c r="G774" s="8" t="s">
        <v>549</v>
      </c>
    </row>
    <row r="775" spans="1:7" ht="15" customHeight="1" x14ac:dyDescent="0.3">
      <c r="A775" s="93" t="s">
        <v>560</v>
      </c>
      <c r="B775" s="93" t="s">
        <v>93</v>
      </c>
      <c r="C775" s="93" t="s">
        <v>94</v>
      </c>
      <c r="D775" s="93" t="s">
        <v>503</v>
      </c>
      <c r="E775" s="93" t="s">
        <v>510</v>
      </c>
      <c r="F775" s="106">
        <v>0</v>
      </c>
      <c r="G775" s="8" t="s">
        <v>549</v>
      </c>
    </row>
    <row r="776" spans="1:7" ht="15" customHeight="1" x14ac:dyDescent="0.3">
      <c r="A776" s="93" t="s">
        <v>560</v>
      </c>
      <c r="B776" s="93" t="s">
        <v>93</v>
      </c>
      <c r="C776" s="93" t="s">
        <v>94</v>
      </c>
      <c r="D776" s="93" t="s">
        <v>503</v>
      </c>
      <c r="E776" s="93" t="s">
        <v>511</v>
      </c>
      <c r="F776" s="106">
        <v>0</v>
      </c>
      <c r="G776" s="8" t="s">
        <v>549</v>
      </c>
    </row>
    <row r="777" spans="1:7" ht="15" customHeight="1" x14ac:dyDescent="0.3">
      <c r="A777" s="93" t="s">
        <v>560</v>
      </c>
      <c r="B777" s="93" t="s">
        <v>93</v>
      </c>
      <c r="C777" s="93" t="s">
        <v>94</v>
      </c>
      <c r="D777" s="93" t="s">
        <v>503</v>
      </c>
      <c r="E777" s="93" t="s">
        <v>512</v>
      </c>
      <c r="F777" s="106">
        <v>0</v>
      </c>
      <c r="G777" s="8" t="s">
        <v>549</v>
      </c>
    </row>
    <row r="778" spans="1:7" ht="15" customHeight="1" x14ac:dyDescent="0.3">
      <c r="A778" s="93" t="s">
        <v>560</v>
      </c>
      <c r="B778" s="93" t="s">
        <v>96</v>
      </c>
      <c r="C778" s="93" t="s">
        <v>94</v>
      </c>
      <c r="D778" s="93" t="s">
        <v>503</v>
      </c>
      <c r="E778" s="93" t="s">
        <v>504</v>
      </c>
      <c r="F778" s="106">
        <v>0</v>
      </c>
      <c r="G778" s="8" t="s">
        <v>549</v>
      </c>
    </row>
    <row r="779" spans="1:7" ht="15" customHeight="1" x14ac:dyDescent="0.3">
      <c r="A779" s="93" t="s">
        <v>560</v>
      </c>
      <c r="B779" s="93" t="s">
        <v>96</v>
      </c>
      <c r="C779" s="93" t="s">
        <v>94</v>
      </c>
      <c r="D779" s="93" t="s">
        <v>503</v>
      </c>
      <c r="E779" s="93" t="s">
        <v>506</v>
      </c>
      <c r="F779" s="106">
        <v>0</v>
      </c>
      <c r="G779" s="8" t="s">
        <v>549</v>
      </c>
    </row>
    <row r="780" spans="1:7" ht="15" customHeight="1" x14ac:dyDescent="0.3">
      <c r="A780" s="93" t="s">
        <v>560</v>
      </c>
      <c r="B780" s="93" t="s">
        <v>96</v>
      </c>
      <c r="C780" s="93" t="s">
        <v>94</v>
      </c>
      <c r="D780" s="93" t="s">
        <v>503</v>
      </c>
      <c r="E780" s="93" t="s">
        <v>507</v>
      </c>
      <c r="F780" s="106">
        <v>0</v>
      </c>
      <c r="G780" s="8" t="s">
        <v>549</v>
      </c>
    </row>
    <row r="781" spans="1:7" ht="15" customHeight="1" x14ac:dyDescent="0.3">
      <c r="A781" s="93" t="s">
        <v>560</v>
      </c>
      <c r="B781" s="93" t="s">
        <v>96</v>
      </c>
      <c r="C781" s="93" t="s">
        <v>94</v>
      </c>
      <c r="D781" s="93" t="s">
        <v>503</v>
      </c>
      <c r="E781" s="93" t="s">
        <v>508</v>
      </c>
      <c r="F781" s="106">
        <v>0</v>
      </c>
      <c r="G781" s="8" t="s">
        <v>549</v>
      </c>
    </row>
    <row r="782" spans="1:7" ht="15" customHeight="1" x14ac:dyDescent="0.3">
      <c r="A782" s="93" t="s">
        <v>560</v>
      </c>
      <c r="B782" s="93" t="s">
        <v>96</v>
      </c>
      <c r="C782" s="93" t="s">
        <v>94</v>
      </c>
      <c r="D782" s="93" t="s">
        <v>503</v>
      </c>
      <c r="E782" s="93" t="s">
        <v>509</v>
      </c>
      <c r="F782" s="106">
        <v>0</v>
      </c>
      <c r="G782" s="8" t="s">
        <v>549</v>
      </c>
    </row>
    <row r="783" spans="1:7" ht="15" customHeight="1" x14ac:dyDescent="0.3">
      <c r="A783" s="93" t="s">
        <v>560</v>
      </c>
      <c r="B783" s="93" t="s">
        <v>96</v>
      </c>
      <c r="C783" s="93" t="s">
        <v>94</v>
      </c>
      <c r="D783" s="93" t="s">
        <v>503</v>
      </c>
      <c r="E783" s="93" t="s">
        <v>510</v>
      </c>
      <c r="F783" s="106">
        <v>0</v>
      </c>
      <c r="G783" s="8" t="s">
        <v>549</v>
      </c>
    </row>
    <row r="784" spans="1:7" ht="15" customHeight="1" x14ac:dyDescent="0.3">
      <c r="A784" s="93" t="s">
        <v>560</v>
      </c>
      <c r="B784" s="93" t="s">
        <v>96</v>
      </c>
      <c r="C784" s="93" t="s">
        <v>94</v>
      </c>
      <c r="D784" s="93" t="s">
        <v>503</v>
      </c>
      <c r="E784" s="93" t="s">
        <v>511</v>
      </c>
      <c r="F784" s="106">
        <v>0</v>
      </c>
      <c r="G784" s="8" t="s">
        <v>549</v>
      </c>
    </row>
    <row r="785" spans="1:7" ht="15" customHeight="1" x14ac:dyDescent="0.3">
      <c r="A785" s="93" t="s">
        <v>560</v>
      </c>
      <c r="B785" s="93" t="s">
        <v>96</v>
      </c>
      <c r="C785" s="93" t="s">
        <v>94</v>
      </c>
      <c r="D785" s="93" t="s">
        <v>503</v>
      </c>
      <c r="E785" s="93" t="s">
        <v>512</v>
      </c>
      <c r="F785" s="106">
        <v>0</v>
      </c>
      <c r="G785" s="8" t="s">
        <v>549</v>
      </c>
    </row>
    <row r="786" spans="1:7" ht="15" customHeight="1" x14ac:dyDescent="0.3">
      <c r="A786" s="93" t="s">
        <v>561</v>
      </c>
      <c r="B786" s="93" t="s">
        <v>93</v>
      </c>
      <c r="C786" s="93" t="s">
        <v>94</v>
      </c>
      <c r="D786" s="93" t="s">
        <v>503</v>
      </c>
      <c r="E786" s="93" t="s">
        <v>504</v>
      </c>
      <c r="F786" s="106">
        <v>0</v>
      </c>
      <c r="G786" s="8" t="s">
        <v>549</v>
      </c>
    </row>
    <row r="787" spans="1:7" ht="15" customHeight="1" x14ac:dyDescent="0.3">
      <c r="A787" s="93" t="s">
        <v>561</v>
      </c>
      <c r="B787" s="93" t="s">
        <v>93</v>
      </c>
      <c r="C787" s="93" t="s">
        <v>94</v>
      </c>
      <c r="D787" s="93" t="s">
        <v>503</v>
      </c>
      <c r="E787" s="93" t="s">
        <v>506</v>
      </c>
      <c r="F787" s="106">
        <v>0</v>
      </c>
      <c r="G787" s="8" t="s">
        <v>549</v>
      </c>
    </row>
    <row r="788" spans="1:7" ht="15" customHeight="1" x14ac:dyDescent="0.3">
      <c r="A788" s="93" t="s">
        <v>561</v>
      </c>
      <c r="B788" s="93" t="s">
        <v>93</v>
      </c>
      <c r="C788" s="93" t="s">
        <v>94</v>
      </c>
      <c r="D788" s="93" t="s">
        <v>503</v>
      </c>
      <c r="E788" s="93" t="s">
        <v>507</v>
      </c>
      <c r="F788" s="106">
        <v>0</v>
      </c>
      <c r="G788" s="8" t="s">
        <v>549</v>
      </c>
    </row>
    <row r="789" spans="1:7" ht="15" customHeight="1" x14ac:dyDescent="0.3">
      <c r="A789" s="93" t="s">
        <v>561</v>
      </c>
      <c r="B789" s="93" t="s">
        <v>93</v>
      </c>
      <c r="C789" s="93" t="s">
        <v>94</v>
      </c>
      <c r="D789" s="93" t="s">
        <v>503</v>
      </c>
      <c r="E789" s="93" t="s">
        <v>508</v>
      </c>
      <c r="F789" s="106">
        <v>0</v>
      </c>
      <c r="G789" s="8" t="s">
        <v>549</v>
      </c>
    </row>
    <row r="790" spans="1:7" ht="15" customHeight="1" x14ac:dyDescent="0.3">
      <c r="A790" s="93" t="s">
        <v>561</v>
      </c>
      <c r="B790" s="93" t="s">
        <v>93</v>
      </c>
      <c r="C790" s="93" t="s">
        <v>94</v>
      </c>
      <c r="D790" s="93" t="s">
        <v>503</v>
      </c>
      <c r="E790" s="93" t="s">
        <v>509</v>
      </c>
      <c r="F790" s="106">
        <v>0</v>
      </c>
      <c r="G790" s="8" t="s">
        <v>549</v>
      </c>
    </row>
    <row r="791" spans="1:7" ht="15" customHeight="1" x14ac:dyDescent="0.3">
      <c r="A791" s="93" t="s">
        <v>561</v>
      </c>
      <c r="B791" s="93" t="s">
        <v>93</v>
      </c>
      <c r="C791" s="93" t="s">
        <v>94</v>
      </c>
      <c r="D791" s="93" t="s">
        <v>503</v>
      </c>
      <c r="E791" s="93" t="s">
        <v>510</v>
      </c>
      <c r="F791" s="106">
        <v>0</v>
      </c>
      <c r="G791" s="8" t="s">
        <v>549</v>
      </c>
    </row>
    <row r="792" spans="1:7" ht="15" customHeight="1" x14ac:dyDescent="0.3">
      <c r="A792" s="93" t="s">
        <v>561</v>
      </c>
      <c r="B792" s="93" t="s">
        <v>93</v>
      </c>
      <c r="C792" s="93" t="s">
        <v>94</v>
      </c>
      <c r="D792" s="93" t="s">
        <v>503</v>
      </c>
      <c r="E792" s="93" t="s">
        <v>511</v>
      </c>
      <c r="F792" s="106">
        <v>0</v>
      </c>
      <c r="G792" s="8" t="s">
        <v>549</v>
      </c>
    </row>
    <row r="793" spans="1:7" ht="15" customHeight="1" x14ac:dyDescent="0.3">
      <c r="A793" s="93" t="s">
        <v>561</v>
      </c>
      <c r="B793" s="93" t="s">
        <v>93</v>
      </c>
      <c r="C793" s="93" t="s">
        <v>94</v>
      </c>
      <c r="D793" s="93" t="s">
        <v>503</v>
      </c>
      <c r="E793" s="93" t="s">
        <v>512</v>
      </c>
      <c r="F793" s="106">
        <v>0</v>
      </c>
      <c r="G793" s="8" t="s">
        <v>549</v>
      </c>
    </row>
    <row r="794" spans="1:7" ht="15" customHeight="1" x14ac:dyDescent="0.3">
      <c r="A794" s="93" t="s">
        <v>561</v>
      </c>
      <c r="B794" s="93" t="s">
        <v>96</v>
      </c>
      <c r="C794" s="93" t="s">
        <v>94</v>
      </c>
      <c r="D794" s="93" t="s">
        <v>503</v>
      </c>
      <c r="E794" s="93" t="s">
        <v>504</v>
      </c>
      <c r="F794" s="106">
        <v>0</v>
      </c>
      <c r="G794" s="8" t="s">
        <v>549</v>
      </c>
    </row>
    <row r="795" spans="1:7" ht="15" customHeight="1" x14ac:dyDescent="0.3">
      <c r="A795" s="93" t="s">
        <v>561</v>
      </c>
      <c r="B795" s="93" t="s">
        <v>96</v>
      </c>
      <c r="C795" s="93" t="s">
        <v>94</v>
      </c>
      <c r="D795" s="93" t="s">
        <v>503</v>
      </c>
      <c r="E795" s="93" t="s">
        <v>506</v>
      </c>
      <c r="F795" s="106">
        <v>0</v>
      </c>
      <c r="G795" s="8" t="s">
        <v>549</v>
      </c>
    </row>
    <row r="796" spans="1:7" ht="15" customHeight="1" x14ac:dyDescent="0.3">
      <c r="A796" s="93" t="s">
        <v>561</v>
      </c>
      <c r="B796" s="93" t="s">
        <v>96</v>
      </c>
      <c r="C796" s="93" t="s">
        <v>94</v>
      </c>
      <c r="D796" s="93" t="s">
        <v>503</v>
      </c>
      <c r="E796" s="93" t="s">
        <v>507</v>
      </c>
      <c r="F796" s="106">
        <v>0</v>
      </c>
      <c r="G796" s="8" t="s">
        <v>549</v>
      </c>
    </row>
    <row r="797" spans="1:7" ht="15" customHeight="1" x14ac:dyDescent="0.3">
      <c r="A797" s="93" t="s">
        <v>561</v>
      </c>
      <c r="B797" s="93" t="s">
        <v>96</v>
      </c>
      <c r="C797" s="93" t="s">
        <v>94</v>
      </c>
      <c r="D797" s="93" t="s">
        <v>503</v>
      </c>
      <c r="E797" s="93" t="s">
        <v>508</v>
      </c>
      <c r="F797" s="106">
        <v>0</v>
      </c>
      <c r="G797" s="8" t="s">
        <v>549</v>
      </c>
    </row>
    <row r="798" spans="1:7" ht="15" customHeight="1" x14ac:dyDescent="0.3">
      <c r="A798" s="93" t="s">
        <v>561</v>
      </c>
      <c r="B798" s="93" t="s">
        <v>96</v>
      </c>
      <c r="C798" s="93" t="s">
        <v>94</v>
      </c>
      <c r="D798" s="93" t="s">
        <v>503</v>
      </c>
      <c r="E798" s="93" t="s">
        <v>509</v>
      </c>
      <c r="F798" s="106">
        <v>0</v>
      </c>
      <c r="G798" s="8" t="s">
        <v>549</v>
      </c>
    </row>
    <row r="799" spans="1:7" ht="15" customHeight="1" x14ac:dyDescent="0.3">
      <c r="A799" s="93" t="s">
        <v>561</v>
      </c>
      <c r="B799" s="93" t="s">
        <v>96</v>
      </c>
      <c r="C799" s="93" t="s">
        <v>94</v>
      </c>
      <c r="D799" s="93" t="s">
        <v>503</v>
      </c>
      <c r="E799" s="93" t="s">
        <v>510</v>
      </c>
      <c r="F799" s="106">
        <v>0</v>
      </c>
      <c r="G799" s="8" t="s">
        <v>549</v>
      </c>
    </row>
    <row r="800" spans="1:7" ht="15" customHeight="1" x14ac:dyDescent="0.3">
      <c r="A800" s="93" t="s">
        <v>561</v>
      </c>
      <c r="B800" s="93" t="s">
        <v>96</v>
      </c>
      <c r="C800" s="93" t="s">
        <v>94</v>
      </c>
      <c r="D800" s="93" t="s">
        <v>503</v>
      </c>
      <c r="E800" s="93" t="s">
        <v>511</v>
      </c>
      <c r="F800" s="106">
        <v>0</v>
      </c>
      <c r="G800" s="8" t="s">
        <v>549</v>
      </c>
    </row>
    <row r="801" spans="1:7" ht="15" customHeight="1" x14ac:dyDescent="0.3">
      <c r="A801" s="93" t="s">
        <v>561</v>
      </c>
      <c r="B801" s="93" t="s">
        <v>96</v>
      </c>
      <c r="C801" s="93" t="s">
        <v>94</v>
      </c>
      <c r="D801" s="93" t="s">
        <v>503</v>
      </c>
      <c r="E801" s="93" t="s">
        <v>512</v>
      </c>
      <c r="F801" s="106">
        <v>0</v>
      </c>
      <c r="G801" s="8" t="s">
        <v>549</v>
      </c>
    </row>
    <row r="802" spans="1:7" ht="15" customHeight="1" x14ac:dyDescent="0.3">
      <c r="A802" s="93" t="s">
        <v>562</v>
      </c>
      <c r="B802" s="93" t="s">
        <v>93</v>
      </c>
      <c r="C802" s="93" t="s">
        <v>94</v>
      </c>
      <c r="D802" s="93" t="s">
        <v>503</v>
      </c>
      <c r="E802" s="93" t="s">
        <v>504</v>
      </c>
      <c r="F802" s="106">
        <v>0</v>
      </c>
      <c r="G802" s="8" t="s">
        <v>549</v>
      </c>
    </row>
    <row r="803" spans="1:7" ht="15" customHeight="1" x14ac:dyDescent="0.3">
      <c r="A803" s="93" t="s">
        <v>562</v>
      </c>
      <c r="B803" s="93" t="s">
        <v>93</v>
      </c>
      <c r="C803" s="93" t="s">
        <v>94</v>
      </c>
      <c r="D803" s="93" t="s">
        <v>503</v>
      </c>
      <c r="E803" s="93" t="s">
        <v>506</v>
      </c>
      <c r="F803" s="106">
        <v>0</v>
      </c>
      <c r="G803" s="8" t="s">
        <v>549</v>
      </c>
    </row>
    <row r="804" spans="1:7" ht="15" customHeight="1" x14ac:dyDescent="0.3">
      <c r="A804" s="93" t="s">
        <v>562</v>
      </c>
      <c r="B804" s="93" t="s">
        <v>93</v>
      </c>
      <c r="C804" s="93" t="s">
        <v>94</v>
      </c>
      <c r="D804" s="93" t="s">
        <v>503</v>
      </c>
      <c r="E804" s="93" t="s">
        <v>507</v>
      </c>
      <c r="F804" s="106">
        <v>0</v>
      </c>
      <c r="G804" s="8" t="s">
        <v>549</v>
      </c>
    </row>
    <row r="805" spans="1:7" ht="15" customHeight="1" x14ac:dyDescent="0.3">
      <c r="A805" s="93" t="s">
        <v>562</v>
      </c>
      <c r="B805" s="93" t="s">
        <v>93</v>
      </c>
      <c r="C805" s="93" t="s">
        <v>94</v>
      </c>
      <c r="D805" s="93" t="s">
        <v>503</v>
      </c>
      <c r="E805" s="93" t="s">
        <v>508</v>
      </c>
      <c r="F805" s="106">
        <v>0</v>
      </c>
      <c r="G805" s="8" t="s">
        <v>549</v>
      </c>
    </row>
    <row r="806" spans="1:7" ht="15" customHeight="1" x14ac:dyDescent="0.3">
      <c r="A806" s="93" t="s">
        <v>562</v>
      </c>
      <c r="B806" s="93" t="s">
        <v>93</v>
      </c>
      <c r="C806" s="93" t="s">
        <v>94</v>
      </c>
      <c r="D806" s="93" t="s">
        <v>503</v>
      </c>
      <c r="E806" s="93" t="s">
        <v>509</v>
      </c>
      <c r="F806" s="106">
        <v>0</v>
      </c>
      <c r="G806" s="8" t="s">
        <v>549</v>
      </c>
    </row>
    <row r="807" spans="1:7" ht="15" customHeight="1" x14ac:dyDescent="0.3">
      <c r="A807" s="93" t="s">
        <v>562</v>
      </c>
      <c r="B807" s="93" t="s">
        <v>93</v>
      </c>
      <c r="C807" s="93" t="s">
        <v>94</v>
      </c>
      <c r="D807" s="93" t="s">
        <v>503</v>
      </c>
      <c r="E807" s="93" t="s">
        <v>510</v>
      </c>
      <c r="F807" s="106">
        <v>0</v>
      </c>
      <c r="G807" s="8" t="s">
        <v>549</v>
      </c>
    </row>
    <row r="808" spans="1:7" ht="15" customHeight="1" x14ac:dyDescent="0.3">
      <c r="A808" s="93" t="s">
        <v>562</v>
      </c>
      <c r="B808" s="93" t="s">
        <v>93</v>
      </c>
      <c r="C808" s="93" t="s">
        <v>94</v>
      </c>
      <c r="D808" s="93" t="s">
        <v>503</v>
      </c>
      <c r="E808" s="93" t="s">
        <v>511</v>
      </c>
      <c r="F808" s="106">
        <v>0</v>
      </c>
      <c r="G808" s="8" t="s">
        <v>549</v>
      </c>
    </row>
    <row r="809" spans="1:7" ht="15" customHeight="1" x14ac:dyDescent="0.3">
      <c r="A809" s="93" t="s">
        <v>562</v>
      </c>
      <c r="B809" s="93" t="s">
        <v>93</v>
      </c>
      <c r="C809" s="93" t="s">
        <v>94</v>
      </c>
      <c r="D809" s="93" t="s">
        <v>503</v>
      </c>
      <c r="E809" s="93" t="s">
        <v>512</v>
      </c>
      <c r="F809" s="106">
        <v>0</v>
      </c>
      <c r="G809" s="8" t="s">
        <v>549</v>
      </c>
    </row>
    <row r="810" spans="1:7" ht="15" customHeight="1" x14ac:dyDescent="0.3">
      <c r="A810" s="93" t="s">
        <v>562</v>
      </c>
      <c r="B810" s="93" t="s">
        <v>96</v>
      </c>
      <c r="C810" s="93" t="s">
        <v>94</v>
      </c>
      <c r="D810" s="93" t="s">
        <v>503</v>
      </c>
      <c r="E810" s="93" t="s">
        <v>504</v>
      </c>
      <c r="F810" s="106">
        <v>0</v>
      </c>
      <c r="G810" s="8" t="s">
        <v>549</v>
      </c>
    </row>
    <row r="811" spans="1:7" ht="15" customHeight="1" x14ac:dyDescent="0.3">
      <c r="A811" s="93" t="s">
        <v>562</v>
      </c>
      <c r="B811" s="93" t="s">
        <v>96</v>
      </c>
      <c r="C811" s="93" t="s">
        <v>94</v>
      </c>
      <c r="D811" s="93" t="s">
        <v>503</v>
      </c>
      <c r="E811" s="93" t="s">
        <v>506</v>
      </c>
      <c r="F811" s="106">
        <v>0</v>
      </c>
      <c r="G811" s="8" t="s">
        <v>549</v>
      </c>
    </row>
    <row r="812" spans="1:7" ht="15" customHeight="1" x14ac:dyDescent="0.3">
      <c r="A812" s="93" t="s">
        <v>562</v>
      </c>
      <c r="B812" s="93" t="s">
        <v>96</v>
      </c>
      <c r="C812" s="93" t="s">
        <v>94</v>
      </c>
      <c r="D812" s="93" t="s">
        <v>503</v>
      </c>
      <c r="E812" s="93" t="s">
        <v>507</v>
      </c>
      <c r="F812" s="106">
        <v>0</v>
      </c>
      <c r="G812" s="8" t="s">
        <v>549</v>
      </c>
    </row>
    <row r="813" spans="1:7" ht="15" customHeight="1" x14ac:dyDescent="0.3">
      <c r="A813" s="93" t="s">
        <v>562</v>
      </c>
      <c r="B813" s="93" t="s">
        <v>96</v>
      </c>
      <c r="C813" s="93" t="s">
        <v>94</v>
      </c>
      <c r="D813" s="93" t="s">
        <v>503</v>
      </c>
      <c r="E813" s="93" t="s">
        <v>508</v>
      </c>
      <c r="F813" s="106">
        <v>0</v>
      </c>
      <c r="G813" s="8" t="s">
        <v>549</v>
      </c>
    </row>
    <row r="814" spans="1:7" ht="15" customHeight="1" x14ac:dyDescent="0.3">
      <c r="A814" s="93" t="s">
        <v>562</v>
      </c>
      <c r="B814" s="93" t="s">
        <v>96</v>
      </c>
      <c r="C814" s="93" t="s">
        <v>94</v>
      </c>
      <c r="D814" s="93" t="s">
        <v>503</v>
      </c>
      <c r="E814" s="93" t="s">
        <v>509</v>
      </c>
      <c r="F814" s="106">
        <v>0</v>
      </c>
      <c r="G814" s="8" t="s">
        <v>549</v>
      </c>
    </row>
    <row r="815" spans="1:7" ht="15" customHeight="1" x14ac:dyDescent="0.3">
      <c r="A815" s="93" t="s">
        <v>562</v>
      </c>
      <c r="B815" s="93" t="s">
        <v>96</v>
      </c>
      <c r="C815" s="93" t="s">
        <v>94</v>
      </c>
      <c r="D815" s="93" t="s">
        <v>503</v>
      </c>
      <c r="E815" s="93" t="s">
        <v>510</v>
      </c>
      <c r="F815" s="106">
        <v>0</v>
      </c>
      <c r="G815" s="8" t="s">
        <v>549</v>
      </c>
    </row>
    <row r="816" spans="1:7" ht="15" customHeight="1" x14ac:dyDescent="0.3">
      <c r="A816" s="93" t="s">
        <v>562</v>
      </c>
      <c r="B816" s="93" t="s">
        <v>96</v>
      </c>
      <c r="C816" s="93" t="s">
        <v>94</v>
      </c>
      <c r="D816" s="93" t="s">
        <v>503</v>
      </c>
      <c r="E816" s="93" t="s">
        <v>511</v>
      </c>
      <c r="F816" s="106">
        <v>0</v>
      </c>
      <c r="G816" s="8" t="s">
        <v>549</v>
      </c>
    </row>
    <row r="817" spans="1:7" ht="15" customHeight="1" x14ac:dyDescent="0.3">
      <c r="A817" s="93" t="s">
        <v>562</v>
      </c>
      <c r="B817" s="93" t="s">
        <v>96</v>
      </c>
      <c r="C817" s="93" t="s">
        <v>94</v>
      </c>
      <c r="D817" s="93" t="s">
        <v>503</v>
      </c>
      <c r="E817" s="93" t="s">
        <v>512</v>
      </c>
      <c r="F817" s="106">
        <v>0</v>
      </c>
      <c r="G817" s="8" t="s">
        <v>549</v>
      </c>
    </row>
    <row r="818" spans="1:7" ht="15" customHeight="1" x14ac:dyDescent="0.3">
      <c r="A818" s="93" t="s">
        <v>563</v>
      </c>
      <c r="B818" s="93" t="s">
        <v>93</v>
      </c>
      <c r="C818" s="93" t="s">
        <v>94</v>
      </c>
      <c r="D818" s="93" t="s">
        <v>503</v>
      </c>
      <c r="E818" s="93" t="s">
        <v>504</v>
      </c>
      <c r="F818" s="106">
        <v>0</v>
      </c>
      <c r="G818" s="8" t="s">
        <v>549</v>
      </c>
    </row>
    <row r="819" spans="1:7" ht="15" customHeight="1" x14ac:dyDescent="0.3">
      <c r="A819" s="93" t="s">
        <v>563</v>
      </c>
      <c r="B819" s="93" t="s">
        <v>93</v>
      </c>
      <c r="C819" s="93" t="s">
        <v>94</v>
      </c>
      <c r="D819" s="93" t="s">
        <v>503</v>
      </c>
      <c r="E819" s="93" t="s">
        <v>506</v>
      </c>
      <c r="F819" s="106">
        <v>0</v>
      </c>
      <c r="G819" s="8" t="s">
        <v>549</v>
      </c>
    </row>
    <row r="820" spans="1:7" ht="15" customHeight="1" x14ac:dyDescent="0.3">
      <c r="A820" s="93" t="s">
        <v>563</v>
      </c>
      <c r="B820" s="93" t="s">
        <v>93</v>
      </c>
      <c r="C820" s="93" t="s">
        <v>94</v>
      </c>
      <c r="D820" s="93" t="s">
        <v>503</v>
      </c>
      <c r="E820" s="93" t="s">
        <v>507</v>
      </c>
      <c r="F820" s="106">
        <v>0</v>
      </c>
      <c r="G820" s="8" t="s">
        <v>549</v>
      </c>
    </row>
    <row r="821" spans="1:7" ht="15" customHeight="1" x14ac:dyDescent="0.3">
      <c r="A821" s="93" t="s">
        <v>563</v>
      </c>
      <c r="B821" s="93" t="s">
        <v>93</v>
      </c>
      <c r="C821" s="93" t="s">
        <v>94</v>
      </c>
      <c r="D821" s="93" t="s">
        <v>503</v>
      </c>
      <c r="E821" s="93" t="s">
        <v>508</v>
      </c>
      <c r="F821" s="106">
        <v>0</v>
      </c>
      <c r="G821" s="8" t="s">
        <v>549</v>
      </c>
    </row>
    <row r="822" spans="1:7" ht="15" customHeight="1" x14ac:dyDescent="0.3">
      <c r="A822" s="93" t="s">
        <v>563</v>
      </c>
      <c r="B822" s="93" t="s">
        <v>93</v>
      </c>
      <c r="C822" s="93" t="s">
        <v>94</v>
      </c>
      <c r="D822" s="93" t="s">
        <v>503</v>
      </c>
      <c r="E822" s="93" t="s">
        <v>509</v>
      </c>
      <c r="F822" s="106">
        <v>0</v>
      </c>
      <c r="G822" s="8" t="s">
        <v>549</v>
      </c>
    </row>
    <row r="823" spans="1:7" ht="15" customHeight="1" x14ac:dyDescent="0.3">
      <c r="A823" s="93" t="s">
        <v>563</v>
      </c>
      <c r="B823" s="93" t="s">
        <v>93</v>
      </c>
      <c r="C823" s="93" t="s">
        <v>94</v>
      </c>
      <c r="D823" s="93" t="s">
        <v>503</v>
      </c>
      <c r="E823" s="93" t="s">
        <v>510</v>
      </c>
      <c r="F823" s="106">
        <v>0</v>
      </c>
      <c r="G823" s="8" t="s">
        <v>549</v>
      </c>
    </row>
    <row r="824" spans="1:7" ht="15" customHeight="1" x14ac:dyDescent="0.3">
      <c r="A824" s="93" t="s">
        <v>563</v>
      </c>
      <c r="B824" s="93" t="s">
        <v>93</v>
      </c>
      <c r="C824" s="93" t="s">
        <v>94</v>
      </c>
      <c r="D824" s="93" t="s">
        <v>503</v>
      </c>
      <c r="E824" s="93" t="s">
        <v>511</v>
      </c>
      <c r="F824" s="106">
        <v>0</v>
      </c>
      <c r="G824" s="8" t="s">
        <v>549</v>
      </c>
    </row>
    <row r="825" spans="1:7" ht="15" customHeight="1" x14ac:dyDescent="0.3">
      <c r="A825" s="93" t="s">
        <v>563</v>
      </c>
      <c r="B825" s="93" t="s">
        <v>93</v>
      </c>
      <c r="C825" s="93" t="s">
        <v>94</v>
      </c>
      <c r="D825" s="93" t="s">
        <v>503</v>
      </c>
      <c r="E825" s="93" t="s">
        <v>512</v>
      </c>
      <c r="F825" s="106">
        <v>0</v>
      </c>
      <c r="G825" s="8" t="s">
        <v>549</v>
      </c>
    </row>
    <row r="826" spans="1:7" ht="15" customHeight="1" x14ac:dyDescent="0.3">
      <c r="A826" s="93" t="s">
        <v>563</v>
      </c>
      <c r="B826" s="93" t="s">
        <v>96</v>
      </c>
      <c r="C826" s="93" t="s">
        <v>94</v>
      </c>
      <c r="D826" s="93" t="s">
        <v>503</v>
      </c>
      <c r="E826" s="93" t="s">
        <v>504</v>
      </c>
      <c r="F826" s="106">
        <v>0</v>
      </c>
      <c r="G826" s="8" t="s">
        <v>549</v>
      </c>
    </row>
    <row r="827" spans="1:7" ht="15" customHeight="1" x14ac:dyDescent="0.3">
      <c r="A827" s="93" t="s">
        <v>563</v>
      </c>
      <c r="B827" s="93" t="s">
        <v>96</v>
      </c>
      <c r="C827" s="93" t="s">
        <v>94</v>
      </c>
      <c r="D827" s="93" t="s">
        <v>503</v>
      </c>
      <c r="E827" s="93" t="s">
        <v>506</v>
      </c>
      <c r="F827" s="106">
        <v>0</v>
      </c>
      <c r="G827" s="8" t="s">
        <v>549</v>
      </c>
    </row>
    <row r="828" spans="1:7" ht="15" customHeight="1" x14ac:dyDescent="0.3">
      <c r="A828" s="93" t="s">
        <v>563</v>
      </c>
      <c r="B828" s="93" t="s">
        <v>96</v>
      </c>
      <c r="C828" s="93" t="s">
        <v>94</v>
      </c>
      <c r="D828" s="93" t="s">
        <v>503</v>
      </c>
      <c r="E828" s="93" t="s">
        <v>507</v>
      </c>
      <c r="F828" s="106">
        <v>0</v>
      </c>
      <c r="G828" s="8" t="s">
        <v>549</v>
      </c>
    </row>
    <row r="829" spans="1:7" ht="15" customHeight="1" x14ac:dyDescent="0.3">
      <c r="A829" s="93" t="s">
        <v>563</v>
      </c>
      <c r="B829" s="93" t="s">
        <v>96</v>
      </c>
      <c r="C829" s="93" t="s">
        <v>94</v>
      </c>
      <c r="D829" s="93" t="s">
        <v>503</v>
      </c>
      <c r="E829" s="93" t="s">
        <v>508</v>
      </c>
      <c r="F829" s="106">
        <v>0</v>
      </c>
      <c r="G829" s="8" t="s">
        <v>549</v>
      </c>
    </row>
    <row r="830" spans="1:7" ht="15" customHeight="1" x14ac:dyDescent="0.3">
      <c r="A830" s="93" t="s">
        <v>563</v>
      </c>
      <c r="B830" s="93" t="s">
        <v>96</v>
      </c>
      <c r="C830" s="93" t="s">
        <v>94</v>
      </c>
      <c r="D830" s="93" t="s">
        <v>503</v>
      </c>
      <c r="E830" s="93" t="s">
        <v>509</v>
      </c>
      <c r="F830" s="106">
        <v>0</v>
      </c>
      <c r="G830" s="8" t="s">
        <v>549</v>
      </c>
    </row>
    <row r="831" spans="1:7" ht="15" customHeight="1" x14ac:dyDescent="0.3">
      <c r="A831" s="93" t="s">
        <v>563</v>
      </c>
      <c r="B831" s="93" t="s">
        <v>96</v>
      </c>
      <c r="C831" s="93" t="s">
        <v>94</v>
      </c>
      <c r="D831" s="93" t="s">
        <v>503</v>
      </c>
      <c r="E831" s="93" t="s">
        <v>510</v>
      </c>
      <c r="F831" s="106">
        <v>0</v>
      </c>
      <c r="G831" s="8" t="s">
        <v>549</v>
      </c>
    </row>
    <row r="832" spans="1:7" ht="15" customHeight="1" x14ac:dyDescent="0.3">
      <c r="A832" s="93" t="s">
        <v>563</v>
      </c>
      <c r="B832" s="93" t="s">
        <v>96</v>
      </c>
      <c r="C832" s="93" t="s">
        <v>94</v>
      </c>
      <c r="D832" s="93" t="s">
        <v>503</v>
      </c>
      <c r="E832" s="93" t="s">
        <v>511</v>
      </c>
      <c r="F832" s="106">
        <v>0</v>
      </c>
      <c r="G832" s="8" t="s">
        <v>549</v>
      </c>
    </row>
    <row r="833" spans="1:7" ht="15" customHeight="1" x14ac:dyDescent="0.3">
      <c r="A833" s="93" t="s">
        <v>563</v>
      </c>
      <c r="B833" s="93" t="s">
        <v>96</v>
      </c>
      <c r="C833" s="93" t="s">
        <v>94</v>
      </c>
      <c r="D833" s="93" t="s">
        <v>503</v>
      </c>
      <c r="E833" s="93" t="s">
        <v>512</v>
      </c>
      <c r="F833" s="106">
        <v>0</v>
      </c>
      <c r="G833" s="8" t="s">
        <v>549</v>
      </c>
    </row>
    <row r="834" spans="1:7" ht="15" customHeight="1" x14ac:dyDescent="0.3">
      <c r="A834" s="93" t="s">
        <v>564</v>
      </c>
      <c r="B834" s="93" t="s">
        <v>93</v>
      </c>
      <c r="C834" s="93" t="s">
        <v>94</v>
      </c>
      <c r="D834" s="93" t="s">
        <v>503</v>
      </c>
      <c r="E834" s="93" t="s">
        <v>504</v>
      </c>
      <c r="F834" s="106">
        <v>0</v>
      </c>
      <c r="G834" s="8" t="s">
        <v>549</v>
      </c>
    </row>
    <row r="835" spans="1:7" ht="15" customHeight="1" x14ac:dyDescent="0.3">
      <c r="A835" s="93" t="s">
        <v>564</v>
      </c>
      <c r="B835" s="93" t="s">
        <v>93</v>
      </c>
      <c r="C835" s="93" t="s">
        <v>94</v>
      </c>
      <c r="D835" s="93" t="s">
        <v>503</v>
      </c>
      <c r="E835" s="93" t="s">
        <v>506</v>
      </c>
      <c r="F835" s="106">
        <v>0</v>
      </c>
      <c r="G835" s="8" t="s">
        <v>549</v>
      </c>
    </row>
    <row r="836" spans="1:7" ht="15" customHeight="1" x14ac:dyDescent="0.3">
      <c r="A836" s="93" t="s">
        <v>564</v>
      </c>
      <c r="B836" s="93" t="s">
        <v>93</v>
      </c>
      <c r="C836" s="93" t="s">
        <v>94</v>
      </c>
      <c r="D836" s="93" t="s">
        <v>503</v>
      </c>
      <c r="E836" s="93" t="s">
        <v>507</v>
      </c>
      <c r="F836" s="106">
        <v>0</v>
      </c>
      <c r="G836" s="8" t="s">
        <v>549</v>
      </c>
    </row>
    <row r="837" spans="1:7" ht="15" customHeight="1" x14ac:dyDescent="0.3">
      <c r="A837" s="93" t="s">
        <v>564</v>
      </c>
      <c r="B837" s="93" t="s">
        <v>93</v>
      </c>
      <c r="C837" s="93" t="s">
        <v>94</v>
      </c>
      <c r="D837" s="93" t="s">
        <v>503</v>
      </c>
      <c r="E837" s="93" t="s">
        <v>508</v>
      </c>
      <c r="F837" s="106">
        <v>0</v>
      </c>
      <c r="G837" s="8" t="s">
        <v>549</v>
      </c>
    </row>
    <row r="838" spans="1:7" ht="15" customHeight="1" x14ac:dyDescent="0.3">
      <c r="A838" s="93" t="s">
        <v>564</v>
      </c>
      <c r="B838" s="93" t="s">
        <v>93</v>
      </c>
      <c r="C838" s="93" t="s">
        <v>94</v>
      </c>
      <c r="D838" s="93" t="s">
        <v>503</v>
      </c>
      <c r="E838" s="93" t="s">
        <v>509</v>
      </c>
      <c r="F838" s="106">
        <v>0</v>
      </c>
      <c r="G838" s="8" t="s">
        <v>549</v>
      </c>
    </row>
    <row r="839" spans="1:7" ht="15" customHeight="1" x14ac:dyDescent="0.3">
      <c r="A839" s="93" t="s">
        <v>564</v>
      </c>
      <c r="B839" s="93" t="s">
        <v>93</v>
      </c>
      <c r="C839" s="93" t="s">
        <v>94</v>
      </c>
      <c r="D839" s="93" t="s">
        <v>503</v>
      </c>
      <c r="E839" s="93" t="s">
        <v>510</v>
      </c>
      <c r="F839" s="106">
        <v>0</v>
      </c>
      <c r="G839" s="8" t="s">
        <v>549</v>
      </c>
    </row>
    <row r="840" spans="1:7" ht="15" customHeight="1" x14ac:dyDescent="0.3">
      <c r="A840" s="93" t="s">
        <v>564</v>
      </c>
      <c r="B840" s="93" t="s">
        <v>93</v>
      </c>
      <c r="C840" s="93" t="s">
        <v>94</v>
      </c>
      <c r="D840" s="93" t="s">
        <v>503</v>
      </c>
      <c r="E840" s="93" t="s">
        <v>511</v>
      </c>
      <c r="F840" s="106">
        <v>0</v>
      </c>
      <c r="G840" s="8" t="s">
        <v>549</v>
      </c>
    </row>
    <row r="841" spans="1:7" ht="15" customHeight="1" x14ac:dyDescent="0.3">
      <c r="A841" s="93" t="s">
        <v>564</v>
      </c>
      <c r="B841" s="93" t="s">
        <v>93</v>
      </c>
      <c r="C841" s="93" t="s">
        <v>94</v>
      </c>
      <c r="D841" s="93" t="s">
        <v>503</v>
      </c>
      <c r="E841" s="93" t="s">
        <v>512</v>
      </c>
      <c r="F841" s="106">
        <v>0</v>
      </c>
      <c r="G841" s="8" t="s">
        <v>549</v>
      </c>
    </row>
    <row r="842" spans="1:7" ht="15" customHeight="1" x14ac:dyDescent="0.3">
      <c r="A842" s="93" t="s">
        <v>564</v>
      </c>
      <c r="B842" s="93" t="s">
        <v>96</v>
      </c>
      <c r="C842" s="93" t="s">
        <v>94</v>
      </c>
      <c r="D842" s="93" t="s">
        <v>503</v>
      </c>
      <c r="E842" s="93" t="s">
        <v>504</v>
      </c>
      <c r="F842" s="106">
        <v>0</v>
      </c>
      <c r="G842" s="8" t="s">
        <v>549</v>
      </c>
    </row>
    <row r="843" spans="1:7" ht="15" customHeight="1" x14ac:dyDescent="0.3">
      <c r="A843" s="93" t="s">
        <v>564</v>
      </c>
      <c r="B843" s="93" t="s">
        <v>96</v>
      </c>
      <c r="C843" s="93" t="s">
        <v>94</v>
      </c>
      <c r="D843" s="93" t="s">
        <v>503</v>
      </c>
      <c r="E843" s="93" t="s">
        <v>506</v>
      </c>
      <c r="F843" s="106">
        <v>0</v>
      </c>
      <c r="G843" s="8" t="s">
        <v>549</v>
      </c>
    </row>
    <row r="844" spans="1:7" ht="15" customHeight="1" x14ac:dyDescent="0.3">
      <c r="A844" s="93" t="s">
        <v>564</v>
      </c>
      <c r="B844" s="93" t="s">
        <v>96</v>
      </c>
      <c r="C844" s="93" t="s">
        <v>94</v>
      </c>
      <c r="D844" s="93" t="s">
        <v>503</v>
      </c>
      <c r="E844" s="93" t="s">
        <v>507</v>
      </c>
      <c r="F844" s="106">
        <v>0</v>
      </c>
      <c r="G844" s="8" t="s">
        <v>549</v>
      </c>
    </row>
    <row r="845" spans="1:7" ht="15" customHeight="1" x14ac:dyDescent="0.3">
      <c r="A845" s="93" t="s">
        <v>564</v>
      </c>
      <c r="B845" s="93" t="s">
        <v>96</v>
      </c>
      <c r="C845" s="93" t="s">
        <v>94</v>
      </c>
      <c r="D845" s="93" t="s">
        <v>503</v>
      </c>
      <c r="E845" s="93" t="s">
        <v>508</v>
      </c>
      <c r="F845" s="106">
        <v>0</v>
      </c>
      <c r="G845" s="8" t="s">
        <v>549</v>
      </c>
    </row>
    <row r="846" spans="1:7" ht="15" customHeight="1" x14ac:dyDescent="0.3">
      <c r="A846" s="93" t="s">
        <v>564</v>
      </c>
      <c r="B846" s="93" t="s">
        <v>96</v>
      </c>
      <c r="C846" s="93" t="s">
        <v>94</v>
      </c>
      <c r="D846" s="93" t="s">
        <v>503</v>
      </c>
      <c r="E846" s="93" t="s">
        <v>509</v>
      </c>
      <c r="F846" s="106">
        <v>0</v>
      </c>
      <c r="G846" s="8" t="s">
        <v>549</v>
      </c>
    </row>
    <row r="847" spans="1:7" ht="15" customHeight="1" x14ac:dyDescent="0.3">
      <c r="A847" s="93" t="s">
        <v>564</v>
      </c>
      <c r="B847" s="93" t="s">
        <v>96</v>
      </c>
      <c r="C847" s="93" t="s">
        <v>94</v>
      </c>
      <c r="D847" s="93" t="s">
        <v>503</v>
      </c>
      <c r="E847" s="93" t="s">
        <v>510</v>
      </c>
      <c r="F847" s="106">
        <v>0</v>
      </c>
      <c r="G847" s="8" t="s">
        <v>549</v>
      </c>
    </row>
    <row r="848" spans="1:7" ht="15" customHeight="1" x14ac:dyDescent="0.3">
      <c r="A848" s="93" t="s">
        <v>564</v>
      </c>
      <c r="B848" s="93" t="s">
        <v>96</v>
      </c>
      <c r="C848" s="93" t="s">
        <v>94</v>
      </c>
      <c r="D848" s="93" t="s">
        <v>503</v>
      </c>
      <c r="E848" s="93" t="s">
        <v>511</v>
      </c>
      <c r="F848" s="106">
        <v>0</v>
      </c>
      <c r="G848" s="8" t="s">
        <v>549</v>
      </c>
    </row>
    <row r="849" spans="1:7" ht="15" customHeight="1" x14ac:dyDescent="0.3">
      <c r="A849" s="93" t="s">
        <v>564</v>
      </c>
      <c r="B849" s="93" t="s">
        <v>96</v>
      </c>
      <c r="C849" s="93" t="s">
        <v>94</v>
      </c>
      <c r="D849" s="93" t="s">
        <v>503</v>
      </c>
      <c r="E849" s="93" t="s">
        <v>512</v>
      </c>
      <c r="F849" s="106">
        <v>0</v>
      </c>
      <c r="G849" s="8" t="s">
        <v>549</v>
      </c>
    </row>
    <row r="850" spans="1:7" ht="15" customHeight="1" x14ac:dyDescent="0.3">
      <c r="A850" s="93" t="s">
        <v>565</v>
      </c>
      <c r="B850" s="93" t="s">
        <v>93</v>
      </c>
      <c r="C850" s="93" t="s">
        <v>94</v>
      </c>
      <c r="D850" s="93" t="s">
        <v>503</v>
      </c>
      <c r="E850" s="93" t="s">
        <v>504</v>
      </c>
      <c r="F850" s="106">
        <v>0</v>
      </c>
      <c r="G850" s="8" t="s">
        <v>549</v>
      </c>
    </row>
    <row r="851" spans="1:7" ht="15" customHeight="1" x14ac:dyDescent="0.3">
      <c r="A851" s="93" t="s">
        <v>565</v>
      </c>
      <c r="B851" s="93" t="s">
        <v>93</v>
      </c>
      <c r="C851" s="93" t="s">
        <v>94</v>
      </c>
      <c r="D851" s="93" t="s">
        <v>503</v>
      </c>
      <c r="E851" s="93" t="s">
        <v>506</v>
      </c>
      <c r="F851" s="106">
        <v>0</v>
      </c>
      <c r="G851" s="8" t="s">
        <v>549</v>
      </c>
    </row>
    <row r="852" spans="1:7" ht="15" customHeight="1" x14ac:dyDescent="0.3">
      <c r="A852" s="93" t="s">
        <v>565</v>
      </c>
      <c r="B852" s="93" t="s">
        <v>93</v>
      </c>
      <c r="C852" s="93" t="s">
        <v>94</v>
      </c>
      <c r="D852" s="93" t="s">
        <v>503</v>
      </c>
      <c r="E852" s="93" t="s">
        <v>507</v>
      </c>
      <c r="F852" s="106">
        <v>0</v>
      </c>
      <c r="G852" s="8" t="s">
        <v>549</v>
      </c>
    </row>
    <row r="853" spans="1:7" ht="15" customHeight="1" x14ac:dyDescent="0.3">
      <c r="A853" s="93" t="s">
        <v>565</v>
      </c>
      <c r="B853" s="93" t="s">
        <v>93</v>
      </c>
      <c r="C853" s="93" t="s">
        <v>94</v>
      </c>
      <c r="D853" s="93" t="s">
        <v>503</v>
      </c>
      <c r="E853" s="93" t="s">
        <v>508</v>
      </c>
      <c r="F853" s="106">
        <v>0</v>
      </c>
      <c r="G853" s="8" t="s">
        <v>549</v>
      </c>
    </row>
    <row r="854" spans="1:7" ht="15" customHeight="1" x14ac:dyDescent="0.3">
      <c r="A854" s="93" t="s">
        <v>565</v>
      </c>
      <c r="B854" s="93" t="s">
        <v>93</v>
      </c>
      <c r="C854" s="93" t="s">
        <v>94</v>
      </c>
      <c r="D854" s="93" t="s">
        <v>503</v>
      </c>
      <c r="E854" s="93" t="s">
        <v>509</v>
      </c>
      <c r="F854" s="106">
        <v>0</v>
      </c>
      <c r="G854" s="8" t="s">
        <v>549</v>
      </c>
    </row>
    <row r="855" spans="1:7" ht="15" customHeight="1" x14ac:dyDescent="0.3">
      <c r="A855" s="93" t="s">
        <v>565</v>
      </c>
      <c r="B855" s="93" t="s">
        <v>93</v>
      </c>
      <c r="C855" s="93" t="s">
        <v>94</v>
      </c>
      <c r="D855" s="93" t="s">
        <v>503</v>
      </c>
      <c r="E855" s="93" t="s">
        <v>510</v>
      </c>
      <c r="F855" s="106">
        <v>0</v>
      </c>
      <c r="G855" s="8" t="s">
        <v>549</v>
      </c>
    </row>
    <row r="856" spans="1:7" ht="15" customHeight="1" x14ac:dyDescent="0.3">
      <c r="A856" s="93" t="s">
        <v>565</v>
      </c>
      <c r="B856" s="93" t="s">
        <v>93</v>
      </c>
      <c r="C856" s="93" t="s">
        <v>94</v>
      </c>
      <c r="D856" s="93" t="s">
        <v>503</v>
      </c>
      <c r="E856" s="93" t="s">
        <v>511</v>
      </c>
      <c r="F856" s="106">
        <v>0</v>
      </c>
      <c r="G856" s="8" t="s">
        <v>549</v>
      </c>
    </row>
    <row r="857" spans="1:7" ht="15" customHeight="1" x14ac:dyDescent="0.3">
      <c r="A857" s="93" t="s">
        <v>565</v>
      </c>
      <c r="B857" s="93" t="s">
        <v>93</v>
      </c>
      <c r="C857" s="93" t="s">
        <v>94</v>
      </c>
      <c r="D857" s="93" t="s">
        <v>503</v>
      </c>
      <c r="E857" s="93" t="s">
        <v>512</v>
      </c>
      <c r="F857" s="106">
        <v>0</v>
      </c>
      <c r="G857" s="8" t="s">
        <v>549</v>
      </c>
    </row>
    <row r="858" spans="1:7" ht="15" customHeight="1" x14ac:dyDescent="0.3">
      <c r="A858" s="93" t="s">
        <v>565</v>
      </c>
      <c r="B858" s="93" t="s">
        <v>96</v>
      </c>
      <c r="C858" s="93" t="s">
        <v>94</v>
      </c>
      <c r="D858" s="93" t="s">
        <v>503</v>
      </c>
      <c r="E858" s="93" t="s">
        <v>504</v>
      </c>
      <c r="F858" s="106">
        <v>0</v>
      </c>
      <c r="G858" s="8" t="s">
        <v>549</v>
      </c>
    </row>
    <row r="859" spans="1:7" ht="15" customHeight="1" x14ac:dyDescent="0.3">
      <c r="A859" s="93" t="s">
        <v>565</v>
      </c>
      <c r="B859" s="93" t="s">
        <v>96</v>
      </c>
      <c r="C859" s="93" t="s">
        <v>94</v>
      </c>
      <c r="D859" s="93" t="s">
        <v>503</v>
      </c>
      <c r="E859" s="93" t="s">
        <v>506</v>
      </c>
      <c r="F859" s="106">
        <v>0</v>
      </c>
      <c r="G859" s="8" t="s">
        <v>549</v>
      </c>
    </row>
    <row r="860" spans="1:7" ht="15" customHeight="1" x14ac:dyDescent="0.3">
      <c r="A860" s="93" t="s">
        <v>565</v>
      </c>
      <c r="B860" s="93" t="s">
        <v>96</v>
      </c>
      <c r="C860" s="93" t="s">
        <v>94</v>
      </c>
      <c r="D860" s="93" t="s">
        <v>503</v>
      </c>
      <c r="E860" s="93" t="s">
        <v>507</v>
      </c>
      <c r="F860" s="106">
        <v>0</v>
      </c>
      <c r="G860" s="8" t="s">
        <v>549</v>
      </c>
    </row>
    <row r="861" spans="1:7" ht="15" customHeight="1" x14ac:dyDescent="0.3">
      <c r="A861" s="93" t="s">
        <v>565</v>
      </c>
      <c r="B861" s="93" t="s">
        <v>96</v>
      </c>
      <c r="C861" s="93" t="s">
        <v>94</v>
      </c>
      <c r="D861" s="93" t="s">
        <v>503</v>
      </c>
      <c r="E861" s="93" t="s">
        <v>508</v>
      </c>
      <c r="F861" s="106">
        <v>0</v>
      </c>
      <c r="G861" s="8" t="s">
        <v>549</v>
      </c>
    </row>
    <row r="862" spans="1:7" ht="15" customHeight="1" x14ac:dyDescent="0.3">
      <c r="A862" s="93" t="s">
        <v>565</v>
      </c>
      <c r="B862" s="93" t="s">
        <v>96</v>
      </c>
      <c r="C862" s="93" t="s">
        <v>94</v>
      </c>
      <c r="D862" s="93" t="s">
        <v>503</v>
      </c>
      <c r="E862" s="93" t="s">
        <v>509</v>
      </c>
      <c r="F862" s="106">
        <v>0</v>
      </c>
      <c r="G862" s="8" t="s">
        <v>549</v>
      </c>
    </row>
    <row r="863" spans="1:7" ht="15" customHeight="1" x14ac:dyDescent="0.3">
      <c r="A863" s="93" t="s">
        <v>565</v>
      </c>
      <c r="B863" s="93" t="s">
        <v>96</v>
      </c>
      <c r="C863" s="93" t="s">
        <v>94</v>
      </c>
      <c r="D863" s="93" t="s">
        <v>503</v>
      </c>
      <c r="E863" s="93" t="s">
        <v>510</v>
      </c>
      <c r="F863" s="106">
        <v>0</v>
      </c>
      <c r="G863" s="8" t="s">
        <v>549</v>
      </c>
    </row>
    <row r="864" spans="1:7" ht="15" customHeight="1" x14ac:dyDescent="0.3">
      <c r="A864" s="93" t="s">
        <v>565</v>
      </c>
      <c r="B864" s="93" t="s">
        <v>96</v>
      </c>
      <c r="C864" s="93" t="s">
        <v>94</v>
      </c>
      <c r="D864" s="93" t="s">
        <v>503</v>
      </c>
      <c r="E864" s="93" t="s">
        <v>511</v>
      </c>
      <c r="F864" s="106">
        <v>0</v>
      </c>
      <c r="G864" s="8" t="s">
        <v>549</v>
      </c>
    </row>
    <row r="865" spans="1:7" ht="15" customHeight="1" x14ac:dyDescent="0.3">
      <c r="A865" s="93" t="s">
        <v>565</v>
      </c>
      <c r="B865" s="93" t="s">
        <v>96</v>
      </c>
      <c r="C865" s="93" t="s">
        <v>94</v>
      </c>
      <c r="D865" s="93" t="s">
        <v>503</v>
      </c>
      <c r="E865" s="93" t="s">
        <v>512</v>
      </c>
      <c r="F865" s="106">
        <v>0</v>
      </c>
      <c r="G865" s="8" t="s">
        <v>549</v>
      </c>
    </row>
    <row r="866" spans="1:7" ht="15" customHeight="1" x14ac:dyDescent="0.3">
      <c r="A866" s="93" t="s">
        <v>566</v>
      </c>
      <c r="B866" s="93" t="s">
        <v>93</v>
      </c>
      <c r="C866" s="93" t="s">
        <v>94</v>
      </c>
      <c r="D866" s="93" t="s">
        <v>503</v>
      </c>
      <c r="E866" s="93" t="s">
        <v>504</v>
      </c>
      <c r="F866" s="106">
        <v>0</v>
      </c>
      <c r="G866" s="8" t="s">
        <v>549</v>
      </c>
    </row>
    <row r="867" spans="1:7" ht="15" customHeight="1" x14ac:dyDescent="0.3">
      <c r="A867" s="93" t="s">
        <v>566</v>
      </c>
      <c r="B867" s="93" t="s">
        <v>93</v>
      </c>
      <c r="C867" s="93" t="s">
        <v>94</v>
      </c>
      <c r="D867" s="93" t="s">
        <v>503</v>
      </c>
      <c r="E867" s="93" t="s">
        <v>506</v>
      </c>
      <c r="F867" s="106">
        <v>0</v>
      </c>
      <c r="G867" s="8" t="s">
        <v>549</v>
      </c>
    </row>
    <row r="868" spans="1:7" ht="15" customHeight="1" x14ac:dyDescent="0.3">
      <c r="A868" s="93" t="s">
        <v>566</v>
      </c>
      <c r="B868" s="93" t="s">
        <v>93</v>
      </c>
      <c r="C868" s="93" t="s">
        <v>94</v>
      </c>
      <c r="D868" s="93" t="s">
        <v>503</v>
      </c>
      <c r="E868" s="93" t="s">
        <v>507</v>
      </c>
      <c r="F868" s="106">
        <v>0</v>
      </c>
      <c r="G868" s="8" t="s">
        <v>549</v>
      </c>
    </row>
    <row r="869" spans="1:7" ht="15" customHeight="1" x14ac:dyDescent="0.3">
      <c r="A869" s="93" t="s">
        <v>566</v>
      </c>
      <c r="B869" s="93" t="s">
        <v>93</v>
      </c>
      <c r="C869" s="93" t="s">
        <v>94</v>
      </c>
      <c r="D869" s="93" t="s">
        <v>503</v>
      </c>
      <c r="E869" s="93" t="s">
        <v>508</v>
      </c>
      <c r="F869" s="106">
        <v>0</v>
      </c>
      <c r="G869" s="8" t="s">
        <v>549</v>
      </c>
    </row>
    <row r="870" spans="1:7" ht="15" customHeight="1" x14ac:dyDescent="0.3">
      <c r="A870" s="93" t="s">
        <v>566</v>
      </c>
      <c r="B870" s="93" t="s">
        <v>93</v>
      </c>
      <c r="C870" s="93" t="s">
        <v>94</v>
      </c>
      <c r="D870" s="93" t="s">
        <v>503</v>
      </c>
      <c r="E870" s="93" t="s">
        <v>509</v>
      </c>
      <c r="F870" s="106">
        <v>0</v>
      </c>
      <c r="G870" s="8" t="s">
        <v>549</v>
      </c>
    </row>
    <row r="871" spans="1:7" ht="15" customHeight="1" x14ac:dyDescent="0.3">
      <c r="A871" s="93" t="s">
        <v>566</v>
      </c>
      <c r="B871" s="93" t="s">
        <v>93</v>
      </c>
      <c r="C871" s="93" t="s">
        <v>94</v>
      </c>
      <c r="D871" s="93" t="s">
        <v>503</v>
      </c>
      <c r="E871" s="93" t="s">
        <v>510</v>
      </c>
      <c r="F871" s="106">
        <v>0</v>
      </c>
      <c r="G871" s="8" t="s">
        <v>549</v>
      </c>
    </row>
    <row r="872" spans="1:7" ht="15" customHeight="1" x14ac:dyDescent="0.3">
      <c r="A872" s="93" t="s">
        <v>566</v>
      </c>
      <c r="B872" s="93" t="s">
        <v>93</v>
      </c>
      <c r="C872" s="93" t="s">
        <v>94</v>
      </c>
      <c r="D872" s="93" t="s">
        <v>503</v>
      </c>
      <c r="E872" s="93" t="s">
        <v>511</v>
      </c>
      <c r="F872" s="106">
        <v>0</v>
      </c>
      <c r="G872" s="8" t="s">
        <v>549</v>
      </c>
    </row>
    <row r="873" spans="1:7" ht="15" customHeight="1" x14ac:dyDescent="0.3">
      <c r="A873" s="93" t="s">
        <v>566</v>
      </c>
      <c r="B873" s="93" t="s">
        <v>93</v>
      </c>
      <c r="C873" s="93" t="s">
        <v>94</v>
      </c>
      <c r="D873" s="93" t="s">
        <v>503</v>
      </c>
      <c r="E873" s="93" t="s">
        <v>512</v>
      </c>
      <c r="F873" s="106">
        <v>0</v>
      </c>
      <c r="G873" s="8" t="s">
        <v>549</v>
      </c>
    </row>
    <row r="874" spans="1:7" ht="15" customHeight="1" x14ac:dyDescent="0.3">
      <c r="A874" s="93" t="s">
        <v>566</v>
      </c>
      <c r="B874" s="93" t="s">
        <v>96</v>
      </c>
      <c r="C874" s="93" t="s">
        <v>94</v>
      </c>
      <c r="D874" s="93" t="s">
        <v>503</v>
      </c>
      <c r="E874" s="93" t="s">
        <v>504</v>
      </c>
      <c r="F874" s="106">
        <v>0</v>
      </c>
      <c r="G874" s="8" t="s">
        <v>549</v>
      </c>
    </row>
    <row r="875" spans="1:7" ht="15" customHeight="1" x14ac:dyDescent="0.3">
      <c r="A875" s="93" t="s">
        <v>566</v>
      </c>
      <c r="B875" s="93" t="s">
        <v>96</v>
      </c>
      <c r="C875" s="93" t="s">
        <v>94</v>
      </c>
      <c r="D875" s="93" t="s">
        <v>503</v>
      </c>
      <c r="E875" s="93" t="s">
        <v>506</v>
      </c>
      <c r="F875" s="106">
        <v>0</v>
      </c>
      <c r="G875" s="8" t="s">
        <v>549</v>
      </c>
    </row>
    <row r="876" spans="1:7" ht="15" customHeight="1" x14ac:dyDescent="0.3">
      <c r="A876" s="93" t="s">
        <v>566</v>
      </c>
      <c r="B876" s="93" t="s">
        <v>96</v>
      </c>
      <c r="C876" s="93" t="s">
        <v>94</v>
      </c>
      <c r="D876" s="93" t="s">
        <v>503</v>
      </c>
      <c r="E876" s="93" t="s">
        <v>507</v>
      </c>
      <c r="F876" s="106">
        <v>0</v>
      </c>
      <c r="G876" s="8" t="s">
        <v>549</v>
      </c>
    </row>
    <row r="877" spans="1:7" ht="15" customHeight="1" x14ac:dyDescent="0.3">
      <c r="A877" s="93" t="s">
        <v>566</v>
      </c>
      <c r="B877" s="93" t="s">
        <v>96</v>
      </c>
      <c r="C877" s="93" t="s">
        <v>94</v>
      </c>
      <c r="D877" s="93" t="s">
        <v>503</v>
      </c>
      <c r="E877" s="93" t="s">
        <v>508</v>
      </c>
      <c r="F877" s="106">
        <v>0</v>
      </c>
      <c r="G877" s="8" t="s">
        <v>549</v>
      </c>
    </row>
    <row r="878" spans="1:7" ht="15" customHeight="1" x14ac:dyDescent="0.3">
      <c r="A878" s="93" t="s">
        <v>566</v>
      </c>
      <c r="B878" s="93" t="s">
        <v>96</v>
      </c>
      <c r="C878" s="93" t="s">
        <v>94</v>
      </c>
      <c r="D878" s="93" t="s">
        <v>503</v>
      </c>
      <c r="E878" s="93" t="s">
        <v>509</v>
      </c>
      <c r="F878" s="106">
        <v>0</v>
      </c>
      <c r="G878" s="8" t="s">
        <v>549</v>
      </c>
    </row>
    <row r="879" spans="1:7" ht="15" customHeight="1" x14ac:dyDescent="0.3">
      <c r="A879" s="93" t="s">
        <v>566</v>
      </c>
      <c r="B879" s="93" t="s">
        <v>96</v>
      </c>
      <c r="C879" s="93" t="s">
        <v>94</v>
      </c>
      <c r="D879" s="93" t="s">
        <v>503</v>
      </c>
      <c r="E879" s="93" t="s">
        <v>510</v>
      </c>
      <c r="F879" s="106">
        <v>0</v>
      </c>
      <c r="G879" s="8" t="s">
        <v>549</v>
      </c>
    </row>
    <row r="880" spans="1:7" ht="15" customHeight="1" x14ac:dyDescent="0.3">
      <c r="A880" s="93" t="s">
        <v>566</v>
      </c>
      <c r="B880" s="93" t="s">
        <v>96</v>
      </c>
      <c r="C880" s="93" t="s">
        <v>94</v>
      </c>
      <c r="D880" s="93" t="s">
        <v>503</v>
      </c>
      <c r="E880" s="93" t="s">
        <v>511</v>
      </c>
      <c r="F880" s="106">
        <v>0</v>
      </c>
      <c r="G880" s="8" t="s">
        <v>549</v>
      </c>
    </row>
    <row r="881" spans="1:7" ht="15" customHeight="1" x14ac:dyDescent="0.3">
      <c r="A881" s="93" t="s">
        <v>566</v>
      </c>
      <c r="B881" s="93" t="s">
        <v>96</v>
      </c>
      <c r="C881" s="93" t="s">
        <v>94</v>
      </c>
      <c r="D881" s="93" t="s">
        <v>503</v>
      </c>
      <c r="E881" s="93" t="s">
        <v>512</v>
      </c>
      <c r="F881" s="106">
        <v>0</v>
      </c>
      <c r="G881" s="8" t="s">
        <v>549</v>
      </c>
    </row>
    <row r="882" spans="1:7" ht="15" customHeight="1" x14ac:dyDescent="0.3">
      <c r="A882" s="93" t="s">
        <v>567</v>
      </c>
      <c r="B882" s="93" t="s">
        <v>93</v>
      </c>
      <c r="C882" s="93" t="s">
        <v>94</v>
      </c>
      <c r="D882" s="93" t="s">
        <v>503</v>
      </c>
      <c r="E882" s="93" t="s">
        <v>504</v>
      </c>
      <c r="F882" s="106">
        <v>0</v>
      </c>
      <c r="G882" s="8" t="s">
        <v>549</v>
      </c>
    </row>
    <row r="883" spans="1:7" ht="15" customHeight="1" x14ac:dyDescent="0.3">
      <c r="A883" s="93" t="s">
        <v>567</v>
      </c>
      <c r="B883" s="93" t="s">
        <v>93</v>
      </c>
      <c r="C883" s="93" t="s">
        <v>94</v>
      </c>
      <c r="D883" s="93" t="s">
        <v>503</v>
      </c>
      <c r="E883" s="93" t="s">
        <v>506</v>
      </c>
      <c r="F883" s="106">
        <v>0</v>
      </c>
      <c r="G883" s="8" t="s">
        <v>549</v>
      </c>
    </row>
    <row r="884" spans="1:7" ht="15" customHeight="1" x14ac:dyDescent="0.3">
      <c r="A884" s="93" t="s">
        <v>567</v>
      </c>
      <c r="B884" s="93" t="s">
        <v>93</v>
      </c>
      <c r="C884" s="93" t="s">
        <v>94</v>
      </c>
      <c r="D884" s="93" t="s">
        <v>503</v>
      </c>
      <c r="E884" s="93" t="s">
        <v>507</v>
      </c>
      <c r="F884" s="106">
        <v>0</v>
      </c>
      <c r="G884" s="8" t="s">
        <v>549</v>
      </c>
    </row>
    <row r="885" spans="1:7" ht="15" customHeight="1" x14ac:dyDescent="0.3">
      <c r="A885" s="93" t="s">
        <v>567</v>
      </c>
      <c r="B885" s="93" t="s">
        <v>93</v>
      </c>
      <c r="C885" s="93" t="s">
        <v>94</v>
      </c>
      <c r="D885" s="93" t="s">
        <v>503</v>
      </c>
      <c r="E885" s="93" t="s">
        <v>508</v>
      </c>
      <c r="F885" s="106">
        <v>0</v>
      </c>
      <c r="G885" s="8" t="s">
        <v>549</v>
      </c>
    </row>
    <row r="886" spans="1:7" ht="15" customHeight="1" x14ac:dyDescent="0.3">
      <c r="A886" s="93" t="s">
        <v>567</v>
      </c>
      <c r="B886" s="93" t="s">
        <v>93</v>
      </c>
      <c r="C886" s="93" t="s">
        <v>94</v>
      </c>
      <c r="D886" s="93" t="s">
        <v>503</v>
      </c>
      <c r="E886" s="93" t="s">
        <v>509</v>
      </c>
      <c r="F886" s="106">
        <v>0</v>
      </c>
      <c r="G886" s="8" t="s">
        <v>549</v>
      </c>
    </row>
    <row r="887" spans="1:7" ht="15" customHeight="1" x14ac:dyDescent="0.3">
      <c r="A887" s="93" t="s">
        <v>567</v>
      </c>
      <c r="B887" s="93" t="s">
        <v>93</v>
      </c>
      <c r="C887" s="93" t="s">
        <v>94</v>
      </c>
      <c r="D887" s="93" t="s">
        <v>503</v>
      </c>
      <c r="E887" s="93" t="s">
        <v>510</v>
      </c>
      <c r="F887" s="106">
        <v>0</v>
      </c>
      <c r="G887" s="8" t="s">
        <v>549</v>
      </c>
    </row>
    <row r="888" spans="1:7" ht="15" customHeight="1" x14ac:dyDescent="0.3">
      <c r="A888" s="93" t="s">
        <v>567</v>
      </c>
      <c r="B888" s="93" t="s">
        <v>93</v>
      </c>
      <c r="C888" s="93" t="s">
        <v>94</v>
      </c>
      <c r="D888" s="93" t="s">
        <v>503</v>
      </c>
      <c r="E888" s="93" t="s">
        <v>511</v>
      </c>
      <c r="F888" s="106">
        <v>0</v>
      </c>
      <c r="G888" s="8" t="s">
        <v>549</v>
      </c>
    </row>
    <row r="889" spans="1:7" ht="15" customHeight="1" x14ac:dyDescent="0.3">
      <c r="A889" s="93" t="s">
        <v>567</v>
      </c>
      <c r="B889" s="93" t="s">
        <v>93</v>
      </c>
      <c r="C889" s="93" t="s">
        <v>94</v>
      </c>
      <c r="D889" s="93" t="s">
        <v>503</v>
      </c>
      <c r="E889" s="93" t="s">
        <v>512</v>
      </c>
      <c r="F889" s="106">
        <v>0</v>
      </c>
      <c r="G889" s="8" t="s">
        <v>549</v>
      </c>
    </row>
    <row r="890" spans="1:7" ht="15" customHeight="1" x14ac:dyDescent="0.3">
      <c r="A890" s="93" t="s">
        <v>567</v>
      </c>
      <c r="B890" s="93" t="s">
        <v>96</v>
      </c>
      <c r="C890" s="93" t="s">
        <v>94</v>
      </c>
      <c r="D890" s="93" t="s">
        <v>503</v>
      </c>
      <c r="E890" s="93" t="s">
        <v>504</v>
      </c>
      <c r="F890" s="106">
        <v>0</v>
      </c>
      <c r="G890" s="8" t="s">
        <v>549</v>
      </c>
    </row>
    <row r="891" spans="1:7" ht="15" customHeight="1" x14ac:dyDescent="0.3">
      <c r="A891" s="93" t="s">
        <v>567</v>
      </c>
      <c r="B891" s="93" t="s">
        <v>96</v>
      </c>
      <c r="C891" s="93" t="s">
        <v>94</v>
      </c>
      <c r="D891" s="93" t="s">
        <v>503</v>
      </c>
      <c r="E891" s="93" t="s">
        <v>506</v>
      </c>
      <c r="F891" s="106">
        <v>0</v>
      </c>
      <c r="G891" s="8" t="s">
        <v>549</v>
      </c>
    </row>
    <row r="892" spans="1:7" ht="15" customHeight="1" x14ac:dyDescent="0.3">
      <c r="A892" s="93" t="s">
        <v>567</v>
      </c>
      <c r="B892" s="93" t="s">
        <v>96</v>
      </c>
      <c r="C892" s="93" t="s">
        <v>94</v>
      </c>
      <c r="D892" s="93" t="s">
        <v>503</v>
      </c>
      <c r="E892" s="93" t="s">
        <v>507</v>
      </c>
      <c r="F892" s="106">
        <v>0</v>
      </c>
      <c r="G892" s="8" t="s">
        <v>549</v>
      </c>
    </row>
    <row r="893" spans="1:7" ht="15" customHeight="1" x14ac:dyDescent="0.3">
      <c r="A893" s="93" t="s">
        <v>567</v>
      </c>
      <c r="B893" s="93" t="s">
        <v>96</v>
      </c>
      <c r="C893" s="93" t="s">
        <v>94</v>
      </c>
      <c r="D893" s="93" t="s">
        <v>503</v>
      </c>
      <c r="E893" s="93" t="s">
        <v>508</v>
      </c>
      <c r="F893" s="106">
        <v>0</v>
      </c>
      <c r="G893" s="8" t="s">
        <v>549</v>
      </c>
    </row>
    <row r="894" spans="1:7" ht="15" customHeight="1" x14ac:dyDescent="0.3">
      <c r="A894" s="93" t="s">
        <v>567</v>
      </c>
      <c r="B894" s="93" t="s">
        <v>96</v>
      </c>
      <c r="C894" s="93" t="s">
        <v>94</v>
      </c>
      <c r="D894" s="93" t="s">
        <v>503</v>
      </c>
      <c r="E894" s="93" t="s">
        <v>509</v>
      </c>
      <c r="F894" s="106">
        <v>0</v>
      </c>
      <c r="G894" s="8" t="s">
        <v>549</v>
      </c>
    </row>
    <row r="895" spans="1:7" ht="15" customHeight="1" x14ac:dyDescent="0.3">
      <c r="A895" s="93" t="s">
        <v>567</v>
      </c>
      <c r="B895" s="93" t="s">
        <v>96</v>
      </c>
      <c r="C895" s="93" t="s">
        <v>94</v>
      </c>
      <c r="D895" s="93" t="s">
        <v>503</v>
      </c>
      <c r="E895" s="93" t="s">
        <v>510</v>
      </c>
      <c r="F895" s="106">
        <v>0</v>
      </c>
      <c r="G895" s="8" t="s">
        <v>549</v>
      </c>
    </row>
    <row r="896" spans="1:7" ht="15" customHeight="1" x14ac:dyDescent="0.3">
      <c r="A896" s="93" t="s">
        <v>567</v>
      </c>
      <c r="B896" s="93" t="s">
        <v>96</v>
      </c>
      <c r="C896" s="93" t="s">
        <v>94</v>
      </c>
      <c r="D896" s="93" t="s">
        <v>503</v>
      </c>
      <c r="E896" s="93" t="s">
        <v>511</v>
      </c>
      <c r="F896" s="106">
        <v>0</v>
      </c>
      <c r="G896" s="8" t="s">
        <v>549</v>
      </c>
    </row>
    <row r="897" spans="1:7" ht="15" customHeight="1" x14ac:dyDescent="0.3">
      <c r="A897" s="93" t="s">
        <v>567</v>
      </c>
      <c r="B897" s="93" t="s">
        <v>96</v>
      </c>
      <c r="C897" s="93" t="s">
        <v>94</v>
      </c>
      <c r="D897" s="93" t="s">
        <v>503</v>
      </c>
      <c r="E897" s="93" t="s">
        <v>512</v>
      </c>
      <c r="F897" s="106">
        <v>0</v>
      </c>
      <c r="G897" s="8" t="s">
        <v>549</v>
      </c>
    </row>
    <row r="898" spans="1:7" ht="15" customHeight="1" x14ac:dyDescent="0.3">
      <c r="A898" s="93" t="s">
        <v>568</v>
      </c>
      <c r="B898" s="93" t="s">
        <v>93</v>
      </c>
      <c r="C898" s="93" t="s">
        <v>94</v>
      </c>
      <c r="D898" s="93" t="s">
        <v>503</v>
      </c>
      <c r="E898" s="93" t="s">
        <v>504</v>
      </c>
      <c r="F898" s="106">
        <v>0</v>
      </c>
      <c r="G898" s="8" t="s">
        <v>549</v>
      </c>
    </row>
    <row r="899" spans="1:7" ht="15" customHeight="1" x14ac:dyDescent="0.3">
      <c r="A899" s="93" t="s">
        <v>568</v>
      </c>
      <c r="B899" s="93" t="s">
        <v>93</v>
      </c>
      <c r="C899" s="93" t="s">
        <v>94</v>
      </c>
      <c r="D899" s="93" t="s">
        <v>503</v>
      </c>
      <c r="E899" s="93" t="s">
        <v>506</v>
      </c>
      <c r="F899" s="106">
        <v>0</v>
      </c>
      <c r="G899" s="8" t="s">
        <v>549</v>
      </c>
    </row>
    <row r="900" spans="1:7" ht="15" customHeight="1" x14ac:dyDescent="0.3">
      <c r="A900" s="93" t="s">
        <v>568</v>
      </c>
      <c r="B900" s="93" t="s">
        <v>93</v>
      </c>
      <c r="C900" s="93" t="s">
        <v>94</v>
      </c>
      <c r="D900" s="93" t="s">
        <v>503</v>
      </c>
      <c r="E900" s="93" t="s">
        <v>507</v>
      </c>
      <c r="F900" s="106">
        <v>0</v>
      </c>
      <c r="G900" s="8" t="s">
        <v>549</v>
      </c>
    </row>
    <row r="901" spans="1:7" ht="15" customHeight="1" x14ac:dyDescent="0.3">
      <c r="A901" s="93" t="s">
        <v>568</v>
      </c>
      <c r="B901" s="93" t="s">
        <v>93</v>
      </c>
      <c r="C901" s="93" t="s">
        <v>94</v>
      </c>
      <c r="D901" s="93" t="s">
        <v>503</v>
      </c>
      <c r="E901" s="93" t="s">
        <v>508</v>
      </c>
      <c r="F901" s="106">
        <v>0</v>
      </c>
      <c r="G901" s="8" t="s">
        <v>549</v>
      </c>
    </row>
    <row r="902" spans="1:7" ht="15" customHeight="1" x14ac:dyDescent="0.3">
      <c r="A902" s="93" t="s">
        <v>568</v>
      </c>
      <c r="B902" s="93" t="s">
        <v>93</v>
      </c>
      <c r="C902" s="93" t="s">
        <v>94</v>
      </c>
      <c r="D902" s="93" t="s">
        <v>503</v>
      </c>
      <c r="E902" s="93" t="s">
        <v>509</v>
      </c>
      <c r="F902" s="106">
        <v>0</v>
      </c>
      <c r="G902" s="8" t="s">
        <v>549</v>
      </c>
    </row>
    <row r="903" spans="1:7" ht="15" customHeight="1" x14ac:dyDescent="0.3">
      <c r="A903" s="93" t="s">
        <v>568</v>
      </c>
      <c r="B903" s="93" t="s">
        <v>93</v>
      </c>
      <c r="C903" s="93" t="s">
        <v>94</v>
      </c>
      <c r="D903" s="93" t="s">
        <v>503</v>
      </c>
      <c r="E903" s="93" t="s">
        <v>510</v>
      </c>
      <c r="F903" s="106">
        <v>0</v>
      </c>
      <c r="G903" s="8" t="s">
        <v>549</v>
      </c>
    </row>
    <row r="904" spans="1:7" ht="15" customHeight="1" x14ac:dyDescent="0.3">
      <c r="A904" s="93" t="s">
        <v>568</v>
      </c>
      <c r="B904" s="93" t="s">
        <v>93</v>
      </c>
      <c r="C904" s="93" t="s">
        <v>94</v>
      </c>
      <c r="D904" s="93" t="s">
        <v>503</v>
      </c>
      <c r="E904" s="93" t="s">
        <v>511</v>
      </c>
      <c r="F904" s="106">
        <v>0</v>
      </c>
      <c r="G904" s="8" t="s">
        <v>549</v>
      </c>
    </row>
    <row r="905" spans="1:7" ht="15" customHeight="1" x14ac:dyDescent="0.3">
      <c r="A905" s="93" t="s">
        <v>568</v>
      </c>
      <c r="B905" s="93" t="s">
        <v>93</v>
      </c>
      <c r="C905" s="93" t="s">
        <v>94</v>
      </c>
      <c r="D905" s="93" t="s">
        <v>503</v>
      </c>
      <c r="E905" s="93" t="s">
        <v>512</v>
      </c>
      <c r="F905" s="106">
        <v>0</v>
      </c>
      <c r="G905" s="8" t="s">
        <v>549</v>
      </c>
    </row>
    <row r="906" spans="1:7" ht="15" customHeight="1" x14ac:dyDescent="0.3">
      <c r="A906" s="93" t="s">
        <v>568</v>
      </c>
      <c r="B906" s="93" t="s">
        <v>96</v>
      </c>
      <c r="C906" s="93" t="s">
        <v>94</v>
      </c>
      <c r="D906" s="93" t="s">
        <v>503</v>
      </c>
      <c r="E906" s="93" t="s">
        <v>504</v>
      </c>
      <c r="F906" s="106">
        <v>0</v>
      </c>
      <c r="G906" s="8" t="s">
        <v>549</v>
      </c>
    </row>
    <row r="907" spans="1:7" ht="15" customHeight="1" x14ac:dyDescent="0.3">
      <c r="A907" s="93" t="s">
        <v>568</v>
      </c>
      <c r="B907" s="93" t="s">
        <v>96</v>
      </c>
      <c r="C907" s="93" t="s">
        <v>94</v>
      </c>
      <c r="D907" s="93" t="s">
        <v>503</v>
      </c>
      <c r="E907" s="93" t="s">
        <v>506</v>
      </c>
      <c r="F907" s="106">
        <v>0</v>
      </c>
      <c r="G907" s="8" t="s">
        <v>549</v>
      </c>
    </row>
    <row r="908" spans="1:7" ht="15" customHeight="1" x14ac:dyDescent="0.3">
      <c r="A908" s="93" t="s">
        <v>568</v>
      </c>
      <c r="B908" s="93" t="s">
        <v>96</v>
      </c>
      <c r="C908" s="93" t="s">
        <v>94</v>
      </c>
      <c r="D908" s="93" t="s">
        <v>503</v>
      </c>
      <c r="E908" s="93" t="s">
        <v>507</v>
      </c>
      <c r="F908" s="106">
        <v>0</v>
      </c>
      <c r="G908" s="8" t="s">
        <v>549</v>
      </c>
    </row>
    <row r="909" spans="1:7" ht="15" customHeight="1" x14ac:dyDescent="0.3">
      <c r="A909" s="93" t="s">
        <v>568</v>
      </c>
      <c r="B909" s="93" t="s">
        <v>96</v>
      </c>
      <c r="C909" s="93" t="s">
        <v>94</v>
      </c>
      <c r="D909" s="93" t="s">
        <v>503</v>
      </c>
      <c r="E909" s="93" t="s">
        <v>508</v>
      </c>
      <c r="F909" s="106">
        <v>0</v>
      </c>
      <c r="G909" s="8" t="s">
        <v>549</v>
      </c>
    </row>
    <row r="910" spans="1:7" ht="15" customHeight="1" x14ac:dyDescent="0.3">
      <c r="A910" s="93" t="s">
        <v>568</v>
      </c>
      <c r="B910" s="93" t="s">
        <v>96</v>
      </c>
      <c r="C910" s="93" t="s">
        <v>94</v>
      </c>
      <c r="D910" s="93" t="s">
        <v>503</v>
      </c>
      <c r="E910" s="93" t="s">
        <v>509</v>
      </c>
      <c r="F910" s="106">
        <v>0</v>
      </c>
      <c r="G910" s="8" t="s">
        <v>549</v>
      </c>
    </row>
    <row r="911" spans="1:7" ht="15" customHeight="1" x14ac:dyDescent="0.3">
      <c r="A911" s="93" t="s">
        <v>568</v>
      </c>
      <c r="B911" s="93" t="s">
        <v>96</v>
      </c>
      <c r="C911" s="93" t="s">
        <v>94</v>
      </c>
      <c r="D911" s="93" t="s">
        <v>503</v>
      </c>
      <c r="E911" s="93" t="s">
        <v>510</v>
      </c>
      <c r="F911" s="106">
        <v>0</v>
      </c>
      <c r="G911" s="8" t="s">
        <v>549</v>
      </c>
    </row>
    <row r="912" spans="1:7" ht="15" customHeight="1" x14ac:dyDescent="0.3">
      <c r="A912" s="93" t="s">
        <v>568</v>
      </c>
      <c r="B912" s="93" t="s">
        <v>96</v>
      </c>
      <c r="C912" s="93" t="s">
        <v>94</v>
      </c>
      <c r="D912" s="93" t="s">
        <v>503</v>
      </c>
      <c r="E912" s="93" t="s">
        <v>511</v>
      </c>
      <c r="F912" s="106">
        <v>0</v>
      </c>
      <c r="G912" s="8" t="s">
        <v>549</v>
      </c>
    </row>
    <row r="913" spans="1:7" ht="15" customHeight="1" x14ac:dyDescent="0.3">
      <c r="A913" s="93" t="s">
        <v>568</v>
      </c>
      <c r="B913" s="93" t="s">
        <v>96</v>
      </c>
      <c r="C913" s="93" t="s">
        <v>94</v>
      </c>
      <c r="D913" s="93" t="s">
        <v>503</v>
      </c>
      <c r="E913" s="93" t="s">
        <v>512</v>
      </c>
      <c r="F913" s="106">
        <v>0</v>
      </c>
      <c r="G913" s="8" t="s">
        <v>549</v>
      </c>
    </row>
    <row r="914" spans="1:7" ht="15" customHeight="1" x14ac:dyDescent="0.3">
      <c r="A914" s="93" t="s">
        <v>569</v>
      </c>
      <c r="B914" s="93" t="s">
        <v>93</v>
      </c>
      <c r="C914" s="93" t="s">
        <v>94</v>
      </c>
      <c r="D914" s="93" t="s">
        <v>503</v>
      </c>
      <c r="E914" s="93" t="s">
        <v>504</v>
      </c>
      <c r="F914" s="106">
        <v>0</v>
      </c>
      <c r="G914" s="8" t="s">
        <v>549</v>
      </c>
    </row>
    <row r="915" spans="1:7" ht="15" customHeight="1" x14ac:dyDescent="0.3">
      <c r="A915" s="93" t="s">
        <v>569</v>
      </c>
      <c r="B915" s="93" t="s">
        <v>93</v>
      </c>
      <c r="C915" s="93" t="s">
        <v>94</v>
      </c>
      <c r="D915" s="93" t="s">
        <v>503</v>
      </c>
      <c r="E915" s="93" t="s">
        <v>506</v>
      </c>
      <c r="F915" s="106">
        <v>0</v>
      </c>
      <c r="G915" s="8" t="s">
        <v>549</v>
      </c>
    </row>
    <row r="916" spans="1:7" ht="15" customHeight="1" x14ac:dyDescent="0.3">
      <c r="A916" s="93" t="s">
        <v>569</v>
      </c>
      <c r="B916" s="93" t="s">
        <v>93</v>
      </c>
      <c r="C916" s="93" t="s">
        <v>94</v>
      </c>
      <c r="D916" s="93" t="s">
        <v>503</v>
      </c>
      <c r="E916" s="93" t="s">
        <v>507</v>
      </c>
      <c r="F916" s="106">
        <v>0</v>
      </c>
      <c r="G916" s="8" t="s">
        <v>549</v>
      </c>
    </row>
    <row r="917" spans="1:7" ht="15" customHeight="1" x14ac:dyDescent="0.3">
      <c r="A917" s="93" t="s">
        <v>569</v>
      </c>
      <c r="B917" s="93" t="s">
        <v>93</v>
      </c>
      <c r="C917" s="93" t="s">
        <v>94</v>
      </c>
      <c r="D917" s="93" t="s">
        <v>503</v>
      </c>
      <c r="E917" s="93" t="s">
        <v>508</v>
      </c>
      <c r="F917" s="106">
        <v>0</v>
      </c>
      <c r="G917" s="8" t="s">
        <v>549</v>
      </c>
    </row>
    <row r="918" spans="1:7" ht="15" customHeight="1" x14ac:dyDescent="0.3">
      <c r="A918" s="93" t="s">
        <v>569</v>
      </c>
      <c r="B918" s="93" t="s">
        <v>93</v>
      </c>
      <c r="C918" s="93" t="s">
        <v>94</v>
      </c>
      <c r="D918" s="93" t="s">
        <v>503</v>
      </c>
      <c r="E918" s="93" t="s">
        <v>509</v>
      </c>
      <c r="F918" s="106">
        <v>0</v>
      </c>
      <c r="G918" s="8" t="s">
        <v>549</v>
      </c>
    </row>
    <row r="919" spans="1:7" ht="15" customHeight="1" x14ac:dyDescent="0.3">
      <c r="A919" s="93" t="s">
        <v>569</v>
      </c>
      <c r="B919" s="93" t="s">
        <v>93</v>
      </c>
      <c r="C919" s="93" t="s">
        <v>94</v>
      </c>
      <c r="D919" s="93" t="s">
        <v>503</v>
      </c>
      <c r="E919" s="93" t="s">
        <v>510</v>
      </c>
      <c r="F919" s="106">
        <v>0</v>
      </c>
      <c r="G919" s="8" t="s">
        <v>549</v>
      </c>
    </row>
    <row r="920" spans="1:7" ht="15" customHeight="1" x14ac:dyDescent="0.3">
      <c r="A920" s="93" t="s">
        <v>569</v>
      </c>
      <c r="B920" s="93" t="s">
        <v>93</v>
      </c>
      <c r="C920" s="93" t="s">
        <v>94</v>
      </c>
      <c r="D920" s="93" t="s">
        <v>503</v>
      </c>
      <c r="E920" s="93" t="s">
        <v>511</v>
      </c>
      <c r="F920" s="106">
        <v>0</v>
      </c>
      <c r="G920" s="8" t="s">
        <v>549</v>
      </c>
    </row>
    <row r="921" spans="1:7" ht="15" customHeight="1" x14ac:dyDescent="0.3">
      <c r="A921" s="93" t="s">
        <v>569</v>
      </c>
      <c r="B921" s="93" t="s">
        <v>93</v>
      </c>
      <c r="C921" s="93" t="s">
        <v>94</v>
      </c>
      <c r="D921" s="93" t="s">
        <v>503</v>
      </c>
      <c r="E921" s="93" t="s">
        <v>512</v>
      </c>
      <c r="F921" s="106">
        <v>0</v>
      </c>
      <c r="G921" s="8" t="s">
        <v>549</v>
      </c>
    </row>
    <row r="922" spans="1:7" ht="15" customHeight="1" x14ac:dyDescent="0.3">
      <c r="A922" s="93" t="s">
        <v>569</v>
      </c>
      <c r="B922" s="93" t="s">
        <v>96</v>
      </c>
      <c r="C922" s="93" t="s">
        <v>94</v>
      </c>
      <c r="D922" s="93" t="s">
        <v>503</v>
      </c>
      <c r="E922" s="93" t="s">
        <v>504</v>
      </c>
      <c r="F922" s="106">
        <v>0</v>
      </c>
      <c r="G922" s="8" t="s">
        <v>549</v>
      </c>
    </row>
    <row r="923" spans="1:7" ht="15" customHeight="1" x14ac:dyDescent="0.3">
      <c r="A923" s="93" t="s">
        <v>569</v>
      </c>
      <c r="B923" s="93" t="s">
        <v>96</v>
      </c>
      <c r="C923" s="93" t="s">
        <v>94</v>
      </c>
      <c r="D923" s="93" t="s">
        <v>503</v>
      </c>
      <c r="E923" s="93" t="s">
        <v>506</v>
      </c>
      <c r="F923" s="106">
        <v>0</v>
      </c>
      <c r="G923" s="8" t="s">
        <v>549</v>
      </c>
    </row>
    <row r="924" spans="1:7" ht="15" customHeight="1" x14ac:dyDescent="0.3">
      <c r="A924" s="93" t="s">
        <v>569</v>
      </c>
      <c r="B924" s="93" t="s">
        <v>96</v>
      </c>
      <c r="C924" s="93" t="s">
        <v>94</v>
      </c>
      <c r="D924" s="93" t="s">
        <v>503</v>
      </c>
      <c r="E924" s="93" t="s">
        <v>507</v>
      </c>
      <c r="F924" s="106">
        <v>0</v>
      </c>
      <c r="G924" s="8" t="s">
        <v>549</v>
      </c>
    </row>
    <row r="925" spans="1:7" ht="15" customHeight="1" x14ac:dyDescent="0.3">
      <c r="A925" s="93" t="s">
        <v>569</v>
      </c>
      <c r="B925" s="93" t="s">
        <v>96</v>
      </c>
      <c r="C925" s="93" t="s">
        <v>94</v>
      </c>
      <c r="D925" s="93" t="s">
        <v>503</v>
      </c>
      <c r="E925" s="93" t="s">
        <v>508</v>
      </c>
      <c r="F925" s="106">
        <v>0</v>
      </c>
      <c r="G925" s="8" t="s">
        <v>549</v>
      </c>
    </row>
    <row r="926" spans="1:7" ht="15" customHeight="1" x14ac:dyDescent="0.3">
      <c r="A926" s="93" t="s">
        <v>569</v>
      </c>
      <c r="B926" s="93" t="s">
        <v>96</v>
      </c>
      <c r="C926" s="93" t="s">
        <v>94</v>
      </c>
      <c r="D926" s="93" t="s">
        <v>503</v>
      </c>
      <c r="E926" s="93" t="s">
        <v>509</v>
      </c>
      <c r="F926" s="106">
        <v>0</v>
      </c>
      <c r="G926" s="8" t="s">
        <v>549</v>
      </c>
    </row>
    <row r="927" spans="1:7" ht="15" customHeight="1" x14ac:dyDescent="0.3">
      <c r="A927" s="93" t="s">
        <v>569</v>
      </c>
      <c r="B927" s="93" t="s">
        <v>96</v>
      </c>
      <c r="C927" s="93" t="s">
        <v>94</v>
      </c>
      <c r="D927" s="93" t="s">
        <v>503</v>
      </c>
      <c r="E927" s="93" t="s">
        <v>510</v>
      </c>
      <c r="F927" s="106">
        <v>0</v>
      </c>
      <c r="G927" s="8" t="s">
        <v>549</v>
      </c>
    </row>
    <row r="928" spans="1:7" ht="15" customHeight="1" x14ac:dyDescent="0.3">
      <c r="A928" s="93" t="s">
        <v>569</v>
      </c>
      <c r="B928" s="93" t="s">
        <v>96</v>
      </c>
      <c r="C928" s="93" t="s">
        <v>94</v>
      </c>
      <c r="D928" s="93" t="s">
        <v>503</v>
      </c>
      <c r="E928" s="93" t="s">
        <v>511</v>
      </c>
      <c r="F928" s="106">
        <v>0</v>
      </c>
      <c r="G928" s="8" t="s">
        <v>549</v>
      </c>
    </row>
    <row r="929" spans="1:7" ht="15" customHeight="1" x14ac:dyDescent="0.3">
      <c r="A929" s="93" t="s">
        <v>569</v>
      </c>
      <c r="B929" s="93" t="s">
        <v>96</v>
      </c>
      <c r="C929" s="93" t="s">
        <v>94</v>
      </c>
      <c r="D929" s="93" t="s">
        <v>503</v>
      </c>
      <c r="E929" s="93" t="s">
        <v>512</v>
      </c>
      <c r="F929" s="106">
        <v>0</v>
      </c>
      <c r="G929" s="8" t="s">
        <v>549</v>
      </c>
    </row>
    <row r="930" spans="1:7" ht="15" customHeight="1" x14ac:dyDescent="0.3">
      <c r="A930" s="93" t="s">
        <v>570</v>
      </c>
      <c r="B930" s="93" t="s">
        <v>93</v>
      </c>
      <c r="C930" s="93" t="s">
        <v>94</v>
      </c>
      <c r="D930" s="93" t="s">
        <v>503</v>
      </c>
      <c r="E930" s="93" t="s">
        <v>504</v>
      </c>
      <c r="F930" s="106">
        <v>0</v>
      </c>
      <c r="G930" s="8" t="s">
        <v>549</v>
      </c>
    </row>
    <row r="931" spans="1:7" ht="15" customHeight="1" x14ac:dyDescent="0.3">
      <c r="A931" s="93" t="s">
        <v>570</v>
      </c>
      <c r="B931" s="93" t="s">
        <v>93</v>
      </c>
      <c r="C931" s="93" t="s">
        <v>94</v>
      </c>
      <c r="D931" s="93" t="s">
        <v>503</v>
      </c>
      <c r="E931" s="93" t="s">
        <v>506</v>
      </c>
      <c r="F931" s="106">
        <v>0</v>
      </c>
      <c r="G931" s="8" t="s">
        <v>549</v>
      </c>
    </row>
    <row r="932" spans="1:7" ht="15" customHeight="1" x14ac:dyDescent="0.3">
      <c r="A932" s="93" t="s">
        <v>570</v>
      </c>
      <c r="B932" s="93" t="s">
        <v>93</v>
      </c>
      <c r="C932" s="93" t="s">
        <v>94</v>
      </c>
      <c r="D932" s="93" t="s">
        <v>503</v>
      </c>
      <c r="E932" s="93" t="s">
        <v>507</v>
      </c>
      <c r="F932" s="106">
        <v>0</v>
      </c>
      <c r="G932" s="8" t="s">
        <v>549</v>
      </c>
    </row>
    <row r="933" spans="1:7" ht="15" customHeight="1" x14ac:dyDescent="0.3">
      <c r="A933" s="93" t="s">
        <v>570</v>
      </c>
      <c r="B933" s="93" t="s">
        <v>93</v>
      </c>
      <c r="C933" s="93" t="s">
        <v>94</v>
      </c>
      <c r="D933" s="93" t="s">
        <v>503</v>
      </c>
      <c r="E933" s="93" t="s">
        <v>508</v>
      </c>
      <c r="F933" s="106">
        <v>0</v>
      </c>
      <c r="G933" s="8" t="s">
        <v>549</v>
      </c>
    </row>
    <row r="934" spans="1:7" ht="15" customHeight="1" x14ac:dyDescent="0.3">
      <c r="A934" s="93" t="s">
        <v>570</v>
      </c>
      <c r="B934" s="93" t="s">
        <v>93</v>
      </c>
      <c r="C934" s="93" t="s">
        <v>94</v>
      </c>
      <c r="D934" s="93" t="s">
        <v>503</v>
      </c>
      <c r="E934" s="93" t="s">
        <v>509</v>
      </c>
      <c r="F934" s="106">
        <v>0</v>
      </c>
      <c r="G934" s="8" t="s">
        <v>549</v>
      </c>
    </row>
    <row r="935" spans="1:7" ht="15" customHeight="1" x14ac:dyDescent="0.3">
      <c r="A935" s="93" t="s">
        <v>570</v>
      </c>
      <c r="B935" s="93" t="s">
        <v>93</v>
      </c>
      <c r="C935" s="93" t="s">
        <v>94</v>
      </c>
      <c r="D935" s="93" t="s">
        <v>503</v>
      </c>
      <c r="E935" s="93" t="s">
        <v>510</v>
      </c>
      <c r="F935" s="106">
        <v>0</v>
      </c>
      <c r="G935" s="8" t="s">
        <v>549</v>
      </c>
    </row>
    <row r="936" spans="1:7" ht="15" customHeight="1" x14ac:dyDescent="0.3">
      <c r="A936" s="93" t="s">
        <v>570</v>
      </c>
      <c r="B936" s="93" t="s">
        <v>93</v>
      </c>
      <c r="C936" s="93" t="s">
        <v>94</v>
      </c>
      <c r="D936" s="93" t="s">
        <v>503</v>
      </c>
      <c r="E936" s="93" t="s">
        <v>511</v>
      </c>
      <c r="F936" s="106">
        <v>0</v>
      </c>
      <c r="G936" s="8" t="s">
        <v>549</v>
      </c>
    </row>
    <row r="937" spans="1:7" ht="15" customHeight="1" x14ac:dyDescent="0.3">
      <c r="A937" s="93" t="s">
        <v>570</v>
      </c>
      <c r="B937" s="93" t="s">
        <v>93</v>
      </c>
      <c r="C937" s="93" t="s">
        <v>94</v>
      </c>
      <c r="D937" s="93" t="s">
        <v>503</v>
      </c>
      <c r="E937" s="93" t="s">
        <v>512</v>
      </c>
      <c r="F937" s="106">
        <v>0</v>
      </c>
      <c r="G937" s="8" t="s">
        <v>549</v>
      </c>
    </row>
    <row r="938" spans="1:7" ht="15" customHeight="1" x14ac:dyDescent="0.3">
      <c r="A938" s="93" t="s">
        <v>570</v>
      </c>
      <c r="B938" s="93" t="s">
        <v>96</v>
      </c>
      <c r="C938" s="93" t="s">
        <v>94</v>
      </c>
      <c r="D938" s="93" t="s">
        <v>503</v>
      </c>
      <c r="E938" s="93" t="s">
        <v>504</v>
      </c>
      <c r="F938" s="106">
        <v>0</v>
      </c>
      <c r="G938" s="8" t="s">
        <v>549</v>
      </c>
    </row>
    <row r="939" spans="1:7" ht="15" customHeight="1" x14ac:dyDescent="0.3">
      <c r="A939" s="93" t="s">
        <v>570</v>
      </c>
      <c r="B939" s="93" t="s">
        <v>96</v>
      </c>
      <c r="C939" s="93" t="s">
        <v>94</v>
      </c>
      <c r="D939" s="93" t="s">
        <v>503</v>
      </c>
      <c r="E939" s="93" t="s">
        <v>506</v>
      </c>
      <c r="F939" s="106">
        <v>0</v>
      </c>
      <c r="G939" s="8" t="s">
        <v>549</v>
      </c>
    </row>
    <row r="940" spans="1:7" ht="15" customHeight="1" x14ac:dyDescent="0.3">
      <c r="A940" s="93" t="s">
        <v>570</v>
      </c>
      <c r="B940" s="93" t="s">
        <v>96</v>
      </c>
      <c r="C940" s="93" t="s">
        <v>94</v>
      </c>
      <c r="D940" s="93" t="s">
        <v>503</v>
      </c>
      <c r="E940" s="93" t="s">
        <v>507</v>
      </c>
      <c r="F940" s="106">
        <v>0</v>
      </c>
      <c r="G940" s="8" t="s">
        <v>549</v>
      </c>
    </row>
    <row r="941" spans="1:7" ht="15" customHeight="1" x14ac:dyDescent="0.3">
      <c r="A941" s="93" t="s">
        <v>570</v>
      </c>
      <c r="B941" s="93" t="s">
        <v>96</v>
      </c>
      <c r="C941" s="93" t="s">
        <v>94</v>
      </c>
      <c r="D941" s="93" t="s">
        <v>503</v>
      </c>
      <c r="E941" s="93" t="s">
        <v>508</v>
      </c>
      <c r="F941" s="106">
        <v>0</v>
      </c>
      <c r="G941" s="8" t="s">
        <v>549</v>
      </c>
    </row>
    <row r="942" spans="1:7" ht="15" customHeight="1" x14ac:dyDescent="0.3">
      <c r="A942" s="93" t="s">
        <v>570</v>
      </c>
      <c r="B942" s="93" t="s">
        <v>96</v>
      </c>
      <c r="C942" s="93" t="s">
        <v>94</v>
      </c>
      <c r="D942" s="93" t="s">
        <v>503</v>
      </c>
      <c r="E942" s="93" t="s">
        <v>509</v>
      </c>
      <c r="F942" s="106">
        <v>0</v>
      </c>
      <c r="G942" s="8" t="s">
        <v>549</v>
      </c>
    </row>
    <row r="943" spans="1:7" ht="15" customHeight="1" x14ac:dyDescent="0.3">
      <c r="A943" s="93" t="s">
        <v>570</v>
      </c>
      <c r="B943" s="93" t="s">
        <v>96</v>
      </c>
      <c r="C943" s="93" t="s">
        <v>94</v>
      </c>
      <c r="D943" s="93" t="s">
        <v>503</v>
      </c>
      <c r="E943" s="93" t="s">
        <v>510</v>
      </c>
      <c r="F943" s="106">
        <v>0</v>
      </c>
      <c r="G943" s="8" t="s">
        <v>549</v>
      </c>
    </row>
    <row r="944" spans="1:7" ht="15" customHeight="1" x14ac:dyDescent="0.3">
      <c r="A944" s="93" t="s">
        <v>570</v>
      </c>
      <c r="B944" s="93" t="s">
        <v>96</v>
      </c>
      <c r="C944" s="93" t="s">
        <v>94</v>
      </c>
      <c r="D944" s="93" t="s">
        <v>503</v>
      </c>
      <c r="E944" s="93" t="s">
        <v>511</v>
      </c>
      <c r="F944" s="106">
        <v>0</v>
      </c>
      <c r="G944" s="8" t="s">
        <v>549</v>
      </c>
    </row>
    <row r="945" spans="1:7" ht="15" customHeight="1" x14ac:dyDescent="0.3">
      <c r="A945" s="93" t="s">
        <v>570</v>
      </c>
      <c r="B945" s="93" t="s">
        <v>96</v>
      </c>
      <c r="C945" s="93" t="s">
        <v>94</v>
      </c>
      <c r="D945" s="93" t="s">
        <v>503</v>
      </c>
      <c r="E945" s="93" t="s">
        <v>512</v>
      </c>
      <c r="F945" s="106">
        <v>0</v>
      </c>
      <c r="G945" s="8" t="s">
        <v>549</v>
      </c>
    </row>
    <row r="946" spans="1:7" ht="15" customHeight="1" x14ac:dyDescent="0.3">
      <c r="A946" s="93" t="s">
        <v>571</v>
      </c>
      <c r="B946" s="93" t="s">
        <v>93</v>
      </c>
      <c r="C946" s="93" t="s">
        <v>94</v>
      </c>
      <c r="D946" s="93" t="s">
        <v>503</v>
      </c>
      <c r="E946" s="93" t="s">
        <v>504</v>
      </c>
      <c r="F946" s="106">
        <v>0</v>
      </c>
      <c r="G946" s="8" t="s">
        <v>549</v>
      </c>
    </row>
    <row r="947" spans="1:7" ht="15" customHeight="1" x14ac:dyDescent="0.3">
      <c r="A947" s="93" t="s">
        <v>571</v>
      </c>
      <c r="B947" s="93" t="s">
        <v>93</v>
      </c>
      <c r="C947" s="93" t="s">
        <v>94</v>
      </c>
      <c r="D947" s="93" t="s">
        <v>503</v>
      </c>
      <c r="E947" s="93" t="s">
        <v>506</v>
      </c>
      <c r="F947" s="106">
        <v>0</v>
      </c>
      <c r="G947" s="8" t="s">
        <v>549</v>
      </c>
    </row>
    <row r="948" spans="1:7" ht="15" customHeight="1" x14ac:dyDescent="0.3">
      <c r="A948" s="93" t="s">
        <v>571</v>
      </c>
      <c r="B948" s="93" t="s">
        <v>93</v>
      </c>
      <c r="C948" s="93" t="s">
        <v>94</v>
      </c>
      <c r="D948" s="93" t="s">
        <v>503</v>
      </c>
      <c r="E948" s="93" t="s">
        <v>507</v>
      </c>
      <c r="F948" s="106">
        <v>0</v>
      </c>
      <c r="G948" s="8" t="s">
        <v>549</v>
      </c>
    </row>
    <row r="949" spans="1:7" ht="15" customHeight="1" x14ac:dyDescent="0.3">
      <c r="A949" s="93" t="s">
        <v>571</v>
      </c>
      <c r="B949" s="93" t="s">
        <v>93</v>
      </c>
      <c r="C949" s="93" t="s">
        <v>94</v>
      </c>
      <c r="D949" s="93" t="s">
        <v>503</v>
      </c>
      <c r="E949" s="93" t="s">
        <v>508</v>
      </c>
      <c r="F949" s="106">
        <v>0</v>
      </c>
      <c r="G949" s="8" t="s">
        <v>549</v>
      </c>
    </row>
    <row r="950" spans="1:7" ht="15" customHeight="1" x14ac:dyDescent="0.3">
      <c r="A950" s="93" t="s">
        <v>571</v>
      </c>
      <c r="B950" s="93" t="s">
        <v>93</v>
      </c>
      <c r="C950" s="93" t="s">
        <v>94</v>
      </c>
      <c r="D950" s="93" t="s">
        <v>503</v>
      </c>
      <c r="E950" s="93" t="s">
        <v>509</v>
      </c>
      <c r="F950" s="106">
        <v>0</v>
      </c>
      <c r="G950" s="8" t="s">
        <v>549</v>
      </c>
    </row>
    <row r="951" spans="1:7" ht="15" customHeight="1" x14ac:dyDescent="0.3">
      <c r="A951" s="93" t="s">
        <v>571</v>
      </c>
      <c r="B951" s="93" t="s">
        <v>93</v>
      </c>
      <c r="C951" s="93" t="s">
        <v>94</v>
      </c>
      <c r="D951" s="93" t="s">
        <v>503</v>
      </c>
      <c r="E951" s="93" t="s">
        <v>510</v>
      </c>
      <c r="F951" s="106">
        <v>0</v>
      </c>
      <c r="G951" s="8" t="s">
        <v>549</v>
      </c>
    </row>
    <row r="952" spans="1:7" ht="15" customHeight="1" x14ac:dyDescent="0.3">
      <c r="A952" s="93" t="s">
        <v>571</v>
      </c>
      <c r="B952" s="93" t="s">
        <v>93</v>
      </c>
      <c r="C952" s="93" t="s">
        <v>94</v>
      </c>
      <c r="D952" s="93" t="s">
        <v>503</v>
      </c>
      <c r="E952" s="93" t="s">
        <v>511</v>
      </c>
      <c r="F952" s="106">
        <v>0</v>
      </c>
      <c r="G952" s="8" t="s">
        <v>549</v>
      </c>
    </row>
    <row r="953" spans="1:7" ht="15" customHeight="1" x14ac:dyDescent="0.3">
      <c r="A953" s="93" t="s">
        <v>571</v>
      </c>
      <c r="B953" s="93" t="s">
        <v>93</v>
      </c>
      <c r="C953" s="93" t="s">
        <v>94</v>
      </c>
      <c r="D953" s="93" t="s">
        <v>503</v>
      </c>
      <c r="E953" s="93" t="s">
        <v>512</v>
      </c>
      <c r="F953" s="106">
        <v>0</v>
      </c>
      <c r="G953" s="8" t="s">
        <v>549</v>
      </c>
    </row>
    <row r="954" spans="1:7" ht="15" customHeight="1" x14ac:dyDescent="0.3">
      <c r="A954" s="93" t="s">
        <v>571</v>
      </c>
      <c r="B954" s="93" t="s">
        <v>96</v>
      </c>
      <c r="C954" s="93" t="s">
        <v>94</v>
      </c>
      <c r="D954" s="93" t="s">
        <v>503</v>
      </c>
      <c r="E954" s="93" t="s">
        <v>504</v>
      </c>
      <c r="F954" s="106">
        <v>0</v>
      </c>
      <c r="G954" s="8" t="s">
        <v>549</v>
      </c>
    </row>
    <row r="955" spans="1:7" ht="15" customHeight="1" x14ac:dyDescent="0.3">
      <c r="A955" s="93" t="s">
        <v>571</v>
      </c>
      <c r="B955" s="93" t="s">
        <v>96</v>
      </c>
      <c r="C955" s="93" t="s">
        <v>94</v>
      </c>
      <c r="D955" s="93" t="s">
        <v>503</v>
      </c>
      <c r="E955" s="93" t="s">
        <v>506</v>
      </c>
      <c r="F955" s="106">
        <v>0</v>
      </c>
      <c r="G955" s="8" t="s">
        <v>549</v>
      </c>
    </row>
    <row r="956" spans="1:7" ht="15" customHeight="1" x14ac:dyDescent="0.3">
      <c r="A956" s="93" t="s">
        <v>571</v>
      </c>
      <c r="B956" s="93" t="s">
        <v>96</v>
      </c>
      <c r="C956" s="93" t="s">
        <v>94</v>
      </c>
      <c r="D956" s="93" t="s">
        <v>503</v>
      </c>
      <c r="E956" s="93" t="s">
        <v>507</v>
      </c>
      <c r="F956" s="106">
        <v>0</v>
      </c>
      <c r="G956" s="8" t="s">
        <v>549</v>
      </c>
    </row>
    <row r="957" spans="1:7" ht="15" customHeight="1" x14ac:dyDescent="0.3">
      <c r="A957" s="93" t="s">
        <v>571</v>
      </c>
      <c r="B957" s="93" t="s">
        <v>96</v>
      </c>
      <c r="C957" s="93" t="s">
        <v>94</v>
      </c>
      <c r="D957" s="93" t="s">
        <v>503</v>
      </c>
      <c r="E957" s="93" t="s">
        <v>508</v>
      </c>
      <c r="F957" s="106">
        <v>0</v>
      </c>
      <c r="G957" s="8" t="s">
        <v>549</v>
      </c>
    </row>
    <row r="958" spans="1:7" ht="15" customHeight="1" x14ac:dyDescent="0.3">
      <c r="A958" s="93" t="s">
        <v>571</v>
      </c>
      <c r="B958" s="93" t="s">
        <v>96</v>
      </c>
      <c r="C958" s="93" t="s">
        <v>94</v>
      </c>
      <c r="D958" s="93" t="s">
        <v>503</v>
      </c>
      <c r="E958" s="93" t="s">
        <v>509</v>
      </c>
      <c r="F958" s="106">
        <v>0</v>
      </c>
      <c r="G958" s="8" t="s">
        <v>549</v>
      </c>
    </row>
    <row r="959" spans="1:7" ht="15" customHeight="1" x14ac:dyDescent="0.3">
      <c r="A959" s="93" t="s">
        <v>571</v>
      </c>
      <c r="B959" s="93" t="s">
        <v>96</v>
      </c>
      <c r="C959" s="93" t="s">
        <v>94</v>
      </c>
      <c r="D959" s="93" t="s">
        <v>503</v>
      </c>
      <c r="E959" s="93" t="s">
        <v>510</v>
      </c>
      <c r="F959" s="106">
        <v>0</v>
      </c>
      <c r="G959" s="8" t="s">
        <v>549</v>
      </c>
    </row>
    <row r="960" spans="1:7" ht="15" customHeight="1" x14ac:dyDescent="0.3">
      <c r="A960" s="93" t="s">
        <v>571</v>
      </c>
      <c r="B960" s="93" t="s">
        <v>96</v>
      </c>
      <c r="C960" s="93" t="s">
        <v>94</v>
      </c>
      <c r="D960" s="93" t="s">
        <v>503</v>
      </c>
      <c r="E960" s="93" t="s">
        <v>511</v>
      </c>
      <c r="F960" s="106">
        <v>0</v>
      </c>
      <c r="G960" s="8" t="s">
        <v>549</v>
      </c>
    </row>
    <row r="961" spans="1:7" ht="15" customHeight="1" x14ac:dyDescent="0.3">
      <c r="A961" s="93" t="s">
        <v>571</v>
      </c>
      <c r="B961" s="93" t="s">
        <v>96</v>
      </c>
      <c r="C961" s="93" t="s">
        <v>94</v>
      </c>
      <c r="D961" s="93" t="s">
        <v>503</v>
      </c>
      <c r="E961" s="93" t="s">
        <v>512</v>
      </c>
      <c r="F961" s="106">
        <v>0</v>
      </c>
      <c r="G961" s="8" t="s">
        <v>549</v>
      </c>
    </row>
    <row r="962" spans="1:7" ht="15" customHeight="1" x14ac:dyDescent="0.3">
      <c r="A962" s="93" t="s">
        <v>572</v>
      </c>
      <c r="B962" s="93" t="s">
        <v>93</v>
      </c>
      <c r="C962" s="93" t="s">
        <v>94</v>
      </c>
      <c r="D962" s="93" t="s">
        <v>503</v>
      </c>
      <c r="E962" s="93" t="s">
        <v>504</v>
      </c>
      <c r="F962" s="106">
        <v>0</v>
      </c>
      <c r="G962" s="8" t="s">
        <v>549</v>
      </c>
    </row>
    <row r="963" spans="1:7" ht="15" customHeight="1" x14ac:dyDescent="0.3">
      <c r="A963" s="93" t="s">
        <v>572</v>
      </c>
      <c r="B963" s="93" t="s">
        <v>93</v>
      </c>
      <c r="C963" s="93" t="s">
        <v>94</v>
      </c>
      <c r="D963" s="93" t="s">
        <v>503</v>
      </c>
      <c r="E963" s="93" t="s">
        <v>506</v>
      </c>
      <c r="F963" s="106">
        <v>0</v>
      </c>
      <c r="G963" s="8" t="s">
        <v>549</v>
      </c>
    </row>
    <row r="964" spans="1:7" ht="15" customHeight="1" x14ac:dyDescent="0.3">
      <c r="A964" s="93" t="s">
        <v>572</v>
      </c>
      <c r="B964" s="93" t="s">
        <v>93</v>
      </c>
      <c r="C964" s="93" t="s">
        <v>94</v>
      </c>
      <c r="D964" s="93" t="s">
        <v>503</v>
      </c>
      <c r="E964" s="93" t="s">
        <v>507</v>
      </c>
      <c r="F964" s="106">
        <v>0</v>
      </c>
      <c r="G964" s="8" t="s">
        <v>549</v>
      </c>
    </row>
    <row r="965" spans="1:7" ht="15" customHeight="1" x14ac:dyDescent="0.3">
      <c r="A965" s="93" t="s">
        <v>572</v>
      </c>
      <c r="B965" s="93" t="s">
        <v>93</v>
      </c>
      <c r="C965" s="93" t="s">
        <v>94</v>
      </c>
      <c r="D965" s="93" t="s">
        <v>503</v>
      </c>
      <c r="E965" s="93" t="s">
        <v>508</v>
      </c>
      <c r="F965" s="106">
        <v>0</v>
      </c>
      <c r="G965" s="8" t="s">
        <v>549</v>
      </c>
    </row>
    <row r="966" spans="1:7" ht="15" customHeight="1" x14ac:dyDescent="0.3">
      <c r="A966" s="93" t="s">
        <v>572</v>
      </c>
      <c r="B966" s="93" t="s">
        <v>93</v>
      </c>
      <c r="C966" s="93" t="s">
        <v>94</v>
      </c>
      <c r="D966" s="93" t="s">
        <v>503</v>
      </c>
      <c r="E966" s="93" t="s">
        <v>509</v>
      </c>
      <c r="F966" s="106">
        <v>0</v>
      </c>
      <c r="G966" s="8" t="s">
        <v>549</v>
      </c>
    </row>
    <row r="967" spans="1:7" ht="15" customHeight="1" x14ac:dyDescent="0.3">
      <c r="A967" s="93" t="s">
        <v>572</v>
      </c>
      <c r="B967" s="93" t="s">
        <v>93</v>
      </c>
      <c r="C967" s="93" t="s">
        <v>94</v>
      </c>
      <c r="D967" s="93" t="s">
        <v>503</v>
      </c>
      <c r="E967" s="93" t="s">
        <v>510</v>
      </c>
      <c r="F967" s="106">
        <v>0</v>
      </c>
      <c r="G967" s="8" t="s">
        <v>549</v>
      </c>
    </row>
    <row r="968" spans="1:7" ht="15" customHeight="1" x14ac:dyDescent="0.3">
      <c r="A968" s="93" t="s">
        <v>572</v>
      </c>
      <c r="B968" s="93" t="s">
        <v>93</v>
      </c>
      <c r="C968" s="93" t="s">
        <v>94</v>
      </c>
      <c r="D968" s="93" t="s">
        <v>503</v>
      </c>
      <c r="E968" s="93" t="s">
        <v>511</v>
      </c>
      <c r="F968" s="106">
        <v>0</v>
      </c>
      <c r="G968" s="8" t="s">
        <v>549</v>
      </c>
    </row>
    <row r="969" spans="1:7" ht="15" customHeight="1" x14ac:dyDescent="0.3">
      <c r="A969" s="93" t="s">
        <v>572</v>
      </c>
      <c r="B969" s="93" t="s">
        <v>93</v>
      </c>
      <c r="C969" s="93" t="s">
        <v>94</v>
      </c>
      <c r="D969" s="93" t="s">
        <v>503</v>
      </c>
      <c r="E969" s="93" t="s">
        <v>512</v>
      </c>
      <c r="F969" s="106">
        <v>0</v>
      </c>
      <c r="G969" s="8" t="s">
        <v>549</v>
      </c>
    </row>
    <row r="970" spans="1:7" ht="15" customHeight="1" x14ac:dyDescent="0.3">
      <c r="A970" s="93" t="s">
        <v>572</v>
      </c>
      <c r="B970" s="93" t="s">
        <v>96</v>
      </c>
      <c r="C970" s="93" t="s">
        <v>94</v>
      </c>
      <c r="D970" s="93" t="s">
        <v>503</v>
      </c>
      <c r="E970" s="93" t="s">
        <v>504</v>
      </c>
      <c r="F970" s="106">
        <v>0</v>
      </c>
      <c r="G970" s="8" t="s">
        <v>549</v>
      </c>
    </row>
    <row r="971" spans="1:7" ht="15" customHeight="1" x14ac:dyDescent="0.3">
      <c r="A971" s="93" t="s">
        <v>572</v>
      </c>
      <c r="B971" s="93" t="s">
        <v>96</v>
      </c>
      <c r="C971" s="93" t="s">
        <v>94</v>
      </c>
      <c r="D971" s="93" t="s">
        <v>503</v>
      </c>
      <c r="E971" s="93" t="s">
        <v>506</v>
      </c>
      <c r="F971" s="106">
        <v>0</v>
      </c>
      <c r="G971" s="8" t="s">
        <v>549</v>
      </c>
    </row>
    <row r="972" spans="1:7" ht="15" customHeight="1" x14ac:dyDescent="0.3">
      <c r="A972" s="93" t="s">
        <v>572</v>
      </c>
      <c r="B972" s="93" t="s">
        <v>96</v>
      </c>
      <c r="C972" s="93" t="s">
        <v>94</v>
      </c>
      <c r="D972" s="93" t="s">
        <v>503</v>
      </c>
      <c r="E972" s="93" t="s">
        <v>507</v>
      </c>
      <c r="F972" s="106">
        <v>0</v>
      </c>
      <c r="G972" s="8" t="s">
        <v>549</v>
      </c>
    </row>
    <row r="973" spans="1:7" ht="15" customHeight="1" x14ac:dyDescent="0.3">
      <c r="A973" s="93" t="s">
        <v>572</v>
      </c>
      <c r="B973" s="93" t="s">
        <v>96</v>
      </c>
      <c r="C973" s="93" t="s">
        <v>94</v>
      </c>
      <c r="D973" s="93" t="s">
        <v>503</v>
      </c>
      <c r="E973" s="93" t="s">
        <v>508</v>
      </c>
      <c r="F973" s="106">
        <v>0</v>
      </c>
      <c r="G973" s="8" t="s">
        <v>549</v>
      </c>
    </row>
    <row r="974" spans="1:7" ht="15" customHeight="1" x14ac:dyDescent="0.3">
      <c r="A974" s="93" t="s">
        <v>572</v>
      </c>
      <c r="B974" s="93" t="s">
        <v>96</v>
      </c>
      <c r="C974" s="93" t="s">
        <v>94</v>
      </c>
      <c r="D974" s="93" t="s">
        <v>503</v>
      </c>
      <c r="E974" s="93" t="s">
        <v>509</v>
      </c>
      <c r="F974" s="106">
        <v>0</v>
      </c>
      <c r="G974" s="8" t="s">
        <v>549</v>
      </c>
    </row>
    <row r="975" spans="1:7" ht="15" customHeight="1" x14ac:dyDescent="0.3">
      <c r="A975" s="93" t="s">
        <v>572</v>
      </c>
      <c r="B975" s="93" t="s">
        <v>96</v>
      </c>
      <c r="C975" s="93" t="s">
        <v>94</v>
      </c>
      <c r="D975" s="93" t="s">
        <v>503</v>
      </c>
      <c r="E975" s="93" t="s">
        <v>510</v>
      </c>
      <c r="F975" s="106">
        <v>0</v>
      </c>
      <c r="G975" s="8" t="s">
        <v>549</v>
      </c>
    </row>
    <row r="976" spans="1:7" ht="15" customHeight="1" x14ac:dyDescent="0.3">
      <c r="A976" s="93" t="s">
        <v>572</v>
      </c>
      <c r="B976" s="93" t="s">
        <v>96</v>
      </c>
      <c r="C976" s="93" t="s">
        <v>94</v>
      </c>
      <c r="D976" s="93" t="s">
        <v>503</v>
      </c>
      <c r="E976" s="93" t="s">
        <v>511</v>
      </c>
      <c r="F976" s="106">
        <v>0</v>
      </c>
      <c r="G976" s="8" t="s">
        <v>549</v>
      </c>
    </row>
    <row r="977" spans="1:7" ht="15" customHeight="1" x14ac:dyDescent="0.3">
      <c r="A977" s="93" t="s">
        <v>572</v>
      </c>
      <c r="B977" s="93" t="s">
        <v>96</v>
      </c>
      <c r="C977" s="93" t="s">
        <v>94</v>
      </c>
      <c r="D977" s="93" t="s">
        <v>503</v>
      </c>
      <c r="E977" s="93" t="s">
        <v>512</v>
      </c>
      <c r="F977" s="106">
        <v>0</v>
      </c>
      <c r="G977" s="8" t="s">
        <v>549</v>
      </c>
    </row>
    <row r="978" spans="1:7" ht="15" customHeight="1" x14ac:dyDescent="0.3">
      <c r="A978" s="93" t="s">
        <v>573</v>
      </c>
      <c r="B978" s="93" t="s">
        <v>93</v>
      </c>
      <c r="C978" s="93" t="s">
        <v>94</v>
      </c>
      <c r="D978" s="93" t="s">
        <v>503</v>
      </c>
      <c r="E978" s="93" t="s">
        <v>504</v>
      </c>
      <c r="F978" s="106">
        <v>0</v>
      </c>
      <c r="G978" s="8" t="s">
        <v>549</v>
      </c>
    </row>
    <row r="979" spans="1:7" ht="15" customHeight="1" x14ac:dyDescent="0.3">
      <c r="A979" s="93" t="s">
        <v>573</v>
      </c>
      <c r="B979" s="93" t="s">
        <v>93</v>
      </c>
      <c r="C979" s="93" t="s">
        <v>94</v>
      </c>
      <c r="D979" s="93" t="s">
        <v>503</v>
      </c>
      <c r="E979" s="93" t="s">
        <v>506</v>
      </c>
      <c r="F979" s="106">
        <v>0</v>
      </c>
      <c r="G979" s="8" t="s">
        <v>549</v>
      </c>
    </row>
    <row r="980" spans="1:7" ht="15" customHeight="1" x14ac:dyDescent="0.3">
      <c r="A980" s="93" t="s">
        <v>573</v>
      </c>
      <c r="B980" s="93" t="s">
        <v>93</v>
      </c>
      <c r="C980" s="93" t="s">
        <v>94</v>
      </c>
      <c r="D980" s="93" t="s">
        <v>503</v>
      </c>
      <c r="E980" s="93" t="s">
        <v>507</v>
      </c>
      <c r="F980" s="106">
        <v>0</v>
      </c>
      <c r="G980" s="8" t="s">
        <v>549</v>
      </c>
    </row>
    <row r="981" spans="1:7" ht="15" customHeight="1" x14ac:dyDescent="0.3">
      <c r="A981" s="93" t="s">
        <v>573</v>
      </c>
      <c r="B981" s="93" t="s">
        <v>93</v>
      </c>
      <c r="C981" s="93" t="s">
        <v>94</v>
      </c>
      <c r="D981" s="93" t="s">
        <v>503</v>
      </c>
      <c r="E981" s="93" t="s">
        <v>508</v>
      </c>
      <c r="F981" s="106">
        <v>0</v>
      </c>
      <c r="G981" s="8" t="s">
        <v>549</v>
      </c>
    </row>
    <row r="982" spans="1:7" ht="15" customHeight="1" x14ac:dyDescent="0.3">
      <c r="A982" s="93" t="s">
        <v>573</v>
      </c>
      <c r="B982" s="93" t="s">
        <v>93</v>
      </c>
      <c r="C982" s="93" t="s">
        <v>94</v>
      </c>
      <c r="D982" s="93" t="s">
        <v>503</v>
      </c>
      <c r="E982" s="93" t="s">
        <v>509</v>
      </c>
      <c r="F982" s="106">
        <v>0</v>
      </c>
      <c r="G982" s="8" t="s">
        <v>549</v>
      </c>
    </row>
    <row r="983" spans="1:7" ht="15" customHeight="1" x14ac:dyDescent="0.3">
      <c r="A983" s="93" t="s">
        <v>573</v>
      </c>
      <c r="B983" s="93" t="s">
        <v>93</v>
      </c>
      <c r="C983" s="93" t="s">
        <v>94</v>
      </c>
      <c r="D983" s="93" t="s">
        <v>503</v>
      </c>
      <c r="E983" s="93" t="s">
        <v>510</v>
      </c>
      <c r="F983" s="106">
        <v>0</v>
      </c>
      <c r="G983" s="8" t="s">
        <v>549</v>
      </c>
    </row>
    <row r="984" spans="1:7" ht="15" customHeight="1" x14ac:dyDescent="0.3">
      <c r="A984" s="93" t="s">
        <v>573</v>
      </c>
      <c r="B984" s="93" t="s">
        <v>93</v>
      </c>
      <c r="C984" s="93" t="s">
        <v>94</v>
      </c>
      <c r="D984" s="93" t="s">
        <v>503</v>
      </c>
      <c r="E984" s="93" t="s">
        <v>511</v>
      </c>
      <c r="F984" s="106">
        <v>0</v>
      </c>
      <c r="G984" s="8" t="s">
        <v>549</v>
      </c>
    </row>
    <row r="985" spans="1:7" ht="15" customHeight="1" x14ac:dyDescent="0.3">
      <c r="A985" s="93" t="s">
        <v>573</v>
      </c>
      <c r="B985" s="93" t="s">
        <v>93</v>
      </c>
      <c r="C985" s="93" t="s">
        <v>94</v>
      </c>
      <c r="D985" s="93" t="s">
        <v>503</v>
      </c>
      <c r="E985" s="93" t="s">
        <v>512</v>
      </c>
      <c r="F985" s="106">
        <v>0</v>
      </c>
      <c r="G985" s="8" t="s">
        <v>549</v>
      </c>
    </row>
    <row r="986" spans="1:7" ht="15" customHeight="1" x14ac:dyDescent="0.3">
      <c r="A986" s="93" t="s">
        <v>573</v>
      </c>
      <c r="B986" s="93" t="s">
        <v>96</v>
      </c>
      <c r="C986" s="93" t="s">
        <v>94</v>
      </c>
      <c r="D986" s="93" t="s">
        <v>503</v>
      </c>
      <c r="E986" s="93" t="s">
        <v>504</v>
      </c>
      <c r="F986" s="106">
        <v>0</v>
      </c>
      <c r="G986" s="8" t="s">
        <v>549</v>
      </c>
    </row>
    <row r="987" spans="1:7" ht="15" customHeight="1" x14ac:dyDescent="0.3">
      <c r="A987" s="93" t="s">
        <v>573</v>
      </c>
      <c r="B987" s="93" t="s">
        <v>96</v>
      </c>
      <c r="C987" s="93" t="s">
        <v>94</v>
      </c>
      <c r="D987" s="93" t="s">
        <v>503</v>
      </c>
      <c r="E987" s="93" t="s">
        <v>506</v>
      </c>
      <c r="F987" s="106">
        <v>0</v>
      </c>
      <c r="G987" s="8" t="s">
        <v>549</v>
      </c>
    </row>
    <row r="988" spans="1:7" ht="15" customHeight="1" x14ac:dyDescent="0.3">
      <c r="A988" s="93" t="s">
        <v>573</v>
      </c>
      <c r="B988" s="93" t="s">
        <v>96</v>
      </c>
      <c r="C988" s="93" t="s">
        <v>94</v>
      </c>
      <c r="D988" s="93" t="s">
        <v>503</v>
      </c>
      <c r="E988" s="93" t="s">
        <v>507</v>
      </c>
      <c r="F988" s="106">
        <v>0</v>
      </c>
      <c r="G988" s="8" t="s">
        <v>549</v>
      </c>
    </row>
    <row r="989" spans="1:7" ht="15" customHeight="1" x14ac:dyDescent="0.3">
      <c r="A989" s="93" t="s">
        <v>573</v>
      </c>
      <c r="B989" s="93" t="s">
        <v>96</v>
      </c>
      <c r="C989" s="93" t="s">
        <v>94</v>
      </c>
      <c r="D989" s="93" t="s">
        <v>503</v>
      </c>
      <c r="E989" s="93" t="s">
        <v>508</v>
      </c>
      <c r="F989" s="106">
        <v>0</v>
      </c>
      <c r="G989" s="8" t="s">
        <v>549</v>
      </c>
    </row>
    <row r="990" spans="1:7" ht="15" customHeight="1" x14ac:dyDescent="0.3">
      <c r="A990" s="93" t="s">
        <v>573</v>
      </c>
      <c r="B990" s="93" t="s">
        <v>96</v>
      </c>
      <c r="C990" s="93" t="s">
        <v>94</v>
      </c>
      <c r="D990" s="93" t="s">
        <v>503</v>
      </c>
      <c r="E990" s="93" t="s">
        <v>509</v>
      </c>
      <c r="F990" s="106">
        <v>0</v>
      </c>
      <c r="G990" s="8" t="s">
        <v>549</v>
      </c>
    </row>
    <row r="991" spans="1:7" ht="15" customHeight="1" x14ac:dyDescent="0.3">
      <c r="A991" s="93" t="s">
        <v>573</v>
      </c>
      <c r="B991" s="93" t="s">
        <v>96</v>
      </c>
      <c r="C991" s="93" t="s">
        <v>94</v>
      </c>
      <c r="D991" s="93" t="s">
        <v>503</v>
      </c>
      <c r="E991" s="93" t="s">
        <v>510</v>
      </c>
      <c r="F991" s="106">
        <v>0</v>
      </c>
      <c r="G991" s="8" t="s">
        <v>549</v>
      </c>
    </row>
    <row r="992" spans="1:7" ht="15" customHeight="1" x14ac:dyDescent="0.3">
      <c r="A992" s="93" t="s">
        <v>573</v>
      </c>
      <c r="B992" s="93" t="s">
        <v>96</v>
      </c>
      <c r="C992" s="93" t="s">
        <v>94</v>
      </c>
      <c r="D992" s="93" t="s">
        <v>503</v>
      </c>
      <c r="E992" s="93" t="s">
        <v>511</v>
      </c>
      <c r="F992" s="17">
        <v>0</v>
      </c>
      <c r="G992" s="8" t="s">
        <v>549</v>
      </c>
    </row>
    <row r="993" spans="1:7" ht="15" customHeight="1" x14ac:dyDescent="0.3">
      <c r="A993" s="93" t="s">
        <v>573</v>
      </c>
      <c r="B993" s="93" t="s">
        <v>96</v>
      </c>
      <c r="C993" s="93" t="s">
        <v>94</v>
      </c>
      <c r="D993" s="93" t="s">
        <v>503</v>
      </c>
      <c r="E993" s="93" t="s">
        <v>512</v>
      </c>
      <c r="F993" s="17">
        <v>0</v>
      </c>
      <c r="G993" s="8" t="s">
        <v>549</v>
      </c>
    </row>
    <row r="994" spans="1:7" ht="15" customHeight="1" x14ac:dyDescent="0.3">
      <c r="A994" s="93" t="s">
        <v>574</v>
      </c>
      <c r="B994" s="93" t="s">
        <v>93</v>
      </c>
      <c r="C994" s="93" t="s">
        <v>94</v>
      </c>
      <c r="D994" s="93" t="s">
        <v>503</v>
      </c>
      <c r="E994" s="93" t="s">
        <v>504</v>
      </c>
      <c r="F994" s="17">
        <v>0</v>
      </c>
      <c r="G994" s="8" t="s">
        <v>549</v>
      </c>
    </row>
    <row r="995" spans="1:7" ht="15" customHeight="1" x14ac:dyDescent="0.3">
      <c r="A995" s="93" t="s">
        <v>574</v>
      </c>
      <c r="B995" s="93" t="s">
        <v>93</v>
      </c>
      <c r="C995" s="93" t="s">
        <v>94</v>
      </c>
      <c r="D995" s="93" t="s">
        <v>503</v>
      </c>
      <c r="E995" s="93" t="s">
        <v>506</v>
      </c>
      <c r="F995" s="17">
        <v>0</v>
      </c>
      <c r="G995" s="8" t="s">
        <v>549</v>
      </c>
    </row>
    <row r="996" spans="1:7" ht="15" customHeight="1" x14ac:dyDescent="0.3">
      <c r="A996" s="93" t="s">
        <v>574</v>
      </c>
      <c r="B996" s="93" t="s">
        <v>93</v>
      </c>
      <c r="C996" s="93" t="s">
        <v>94</v>
      </c>
      <c r="D996" s="93" t="s">
        <v>503</v>
      </c>
      <c r="E996" s="93" t="s">
        <v>507</v>
      </c>
      <c r="F996" s="17">
        <v>0</v>
      </c>
      <c r="G996" s="8" t="s">
        <v>549</v>
      </c>
    </row>
    <row r="997" spans="1:7" ht="15" customHeight="1" x14ac:dyDescent="0.3">
      <c r="A997" s="93" t="s">
        <v>574</v>
      </c>
      <c r="B997" s="93" t="s">
        <v>93</v>
      </c>
      <c r="C997" s="93" t="s">
        <v>94</v>
      </c>
      <c r="D997" s="93" t="s">
        <v>503</v>
      </c>
      <c r="E997" s="93" t="s">
        <v>508</v>
      </c>
      <c r="F997" s="17">
        <v>0</v>
      </c>
      <c r="G997" s="8" t="s">
        <v>549</v>
      </c>
    </row>
    <row r="998" spans="1:7" ht="15" customHeight="1" x14ac:dyDescent="0.3">
      <c r="A998" s="93" t="s">
        <v>574</v>
      </c>
      <c r="B998" s="93" t="s">
        <v>93</v>
      </c>
      <c r="C998" s="93" t="s">
        <v>94</v>
      </c>
      <c r="D998" s="93" t="s">
        <v>503</v>
      </c>
      <c r="E998" s="93" t="s">
        <v>509</v>
      </c>
      <c r="F998" s="17">
        <v>0</v>
      </c>
      <c r="G998" s="8" t="s">
        <v>549</v>
      </c>
    </row>
    <row r="999" spans="1:7" ht="15" customHeight="1" x14ac:dyDescent="0.3">
      <c r="A999" s="93" t="s">
        <v>574</v>
      </c>
      <c r="B999" s="93" t="s">
        <v>93</v>
      </c>
      <c r="C999" s="93" t="s">
        <v>94</v>
      </c>
      <c r="D999" s="93" t="s">
        <v>503</v>
      </c>
      <c r="E999" s="93" t="s">
        <v>510</v>
      </c>
      <c r="F999" s="17">
        <v>0</v>
      </c>
      <c r="G999" s="8" t="s">
        <v>549</v>
      </c>
    </row>
    <row r="1000" spans="1:7" ht="15" customHeight="1" x14ac:dyDescent="0.3">
      <c r="A1000" s="93" t="s">
        <v>574</v>
      </c>
      <c r="B1000" s="93" t="s">
        <v>93</v>
      </c>
      <c r="C1000" s="93" t="s">
        <v>94</v>
      </c>
      <c r="D1000" s="93" t="s">
        <v>503</v>
      </c>
      <c r="E1000" s="93" t="s">
        <v>511</v>
      </c>
      <c r="F1000" s="17">
        <v>0</v>
      </c>
      <c r="G1000" s="8" t="s">
        <v>549</v>
      </c>
    </row>
    <row r="1001" spans="1:7" ht="15" customHeight="1" x14ac:dyDescent="0.3">
      <c r="A1001" s="93" t="s">
        <v>574</v>
      </c>
      <c r="B1001" s="93" t="s">
        <v>93</v>
      </c>
      <c r="C1001" s="93" t="s">
        <v>94</v>
      </c>
      <c r="D1001" s="93" t="s">
        <v>503</v>
      </c>
      <c r="E1001" s="93" t="s">
        <v>512</v>
      </c>
      <c r="F1001" s="17">
        <v>0</v>
      </c>
      <c r="G1001" s="8" t="s">
        <v>549</v>
      </c>
    </row>
    <row r="1002" spans="1:7" ht="15" customHeight="1" x14ac:dyDescent="0.3">
      <c r="A1002" s="93" t="s">
        <v>574</v>
      </c>
      <c r="B1002" s="93" t="s">
        <v>96</v>
      </c>
      <c r="C1002" s="93" t="s">
        <v>94</v>
      </c>
      <c r="D1002" s="93" t="s">
        <v>503</v>
      </c>
      <c r="E1002" s="93" t="s">
        <v>504</v>
      </c>
      <c r="F1002" s="17">
        <v>0</v>
      </c>
      <c r="G1002" s="8" t="s">
        <v>549</v>
      </c>
    </row>
    <row r="1003" spans="1:7" ht="15" customHeight="1" x14ac:dyDescent="0.3">
      <c r="A1003" s="93" t="s">
        <v>574</v>
      </c>
      <c r="B1003" s="93" t="s">
        <v>96</v>
      </c>
      <c r="C1003" s="93" t="s">
        <v>94</v>
      </c>
      <c r="D1003" s="93" t="s">
        <v>503</v>
      </c>
      <c r="E1003" s="93" t="s">
        <v>506</v>
      </c>
      <c r="F1003" s="17">
        <v>0</v>
      </c>
      <c r="G1003" s="8" t="s">
        <v>549</v>
      </c>
    </row>
    <row r="1004" spans="1:7" ht="15" customHeight="1" x14ac:dyDescent="0.3">
      <c r="A1004" s="93" t="s">
        <v>574</v>
      </c>
      <c r="B1004" s="93" t="s">
        <v>96</v>
      </c>
      <c r="C1004" s="93" t="s">
        <v>94</v>
      </c>
      <c r="D1004" s="93" t="s">
        <v>503</v>
      </c>
      <c r="E1004" s="93" t="s">
        <v>507</v>
      </c>
      <c r="F1004" s="17">
        <v>0</v>
      </c>
      <c r="G1004" s="8" t="s">
        <v>549</v>
      </c>
    </row>
    <row r="1005" spans="1:7" ht="15" customHeight="1" x14ac:dyDescent="0.3">
      <c r="A1005" s="93" t="s">
        <v>574</v>
      </c>
      <c r="B1005" s="93" t="s">
        <v>96</v>
      </c>
      <c r="C1005" s="93" t="s">
        <v>94</v>
      </c>
      <c r="D1005" s="93" t="s">
        <v>503</v>
      </c>
      <c r="E1005" s="93" t="s">
        <v>508</v>
      </c>
      <c r="F1005" s="17">
        <v>0</v>
      </c>
      <c r="G1005" s="8" t="s">
        <v>549</v>
      </c>
    </row>
    <row r="1006" spans="1:7" ht="15" customHeight="1" x14ac:dyDescent="0.3">
      <c r="A1006" s="93" t="s">
        <v>574</v>
      </c>
      <c r="B1006" s="93" t="s">
        <v>96</v>
      </c>
      <c r="C1006" s="93" t="s">
        <v>94</v>
      </c>
      <c r="D1006" s="93" t="s">
        <v>503</v>
      </c>
      <c r="E1006" s="93" t="s">
        <v>509</v>
      </c>
      <c r="F1006" s="17">
        <v>0</v>
      </c>
      <c r="G1006" s="8" t="s">
        <v>549</v>
      </c>
    </row>
    <row r="1007" spans="1:7" ht="15" customHeight="1" x14ac:dyDescent="0.3">
      <c r="A1007" s="93" t="s">
        <v>574</v>
      </c>
      <c r="B1007" s="93" t="s">
        <v>96</v>
      </c>
      <c r="C1007" s="93" t="s">
        <v>94</v>
      </c>
      <c r="D1007" s="93" t="s">
        <v>503</v>
      </c>
      <c r="E1007" s="93" t="s">
        <v>510</v>
      </c>
      <c r="F1007" s="17">
        <v>0</v>
      </c>
      <c r="G1007" s="8" t="s">
        <v>549</v>
      </c>
    </row>
    <row r="1008" spans="1:7" ht="15" customHeight="1" x14ac:dyDescent="0.3">
      <c r="A1008" s="93" t="s">
        <v>574</v>
      </c>
      <c r="B1008" s="93" t="s">
        <v>96</v>
      </c>
      <c r="C1008" s="93" t="s">
        <v>94</v>
      </c>
      <c r="D1008" s="93" t="s">
        <v>503</v>
      </c>
      <c r="E1008" s="93" t="s">
        <v>511</v>
      </c>
      <c r="F1008" s="17">
        <v>0</v>
      </c>
      <c r="G1008" s="8" t="s">
        <v>549</v>
      </c>
    </row>
    <row r="1009" spans="1:7" ht="15" customHeight="1" x14ac:dyDescent="0.3">
      <c r="A1009" s="93" t="s">
        <v>574</v>
      </c>
      <c r="B1009" s="93" t="s">
        <v>96</v>
      </c>
      <c r="C1009" s="93" t="s">
        <v>94</v>
      </c>
      <c r="D1009" s="93" t="s">
        <v>503</v>
      </c>
      <c r="E1009" s="93" t="s">
        <v>512</v>
      </c>
      <c r="F1009" s="17">
        <v>0</v>
      </c>
      <c r="G1009" s="8" t="s">
        <v>549</v>
      </c>
    </row>
    <row r="1010" spans="1:7" ht="15" customHeight="1" x14ac:dyDescent="0.3">
      <c r="A1010" s="93" t="s">
        <v>575</v>
      </c>
      <c r="B1010" s="93" t="s">
        <v>93</v>
      </c>
      <c r="C1010" s="93" t="s">
        <v>94</v>
      </c>
      <c r="D1010" s="93" t="s">
        <v>503</v>
      </c>
      <c r="E1010" s="93" t="s">
        <v>504</v>
      </c>
      <c r="F1010" s="17">
        <v>0</v>
      </c>
      <c r="G1010" s="8" t="s">
        <v>549</v>
      </c>
    </row>
    <row r="1011" spans="1:7" ht="15" customHeight="1" x14ac:dyDescent="0.3">
      <c r="A1011" s="93" t="s">
        <v>575</v>
      </c>
      <c r="B1011" s="93" t="s">
        <v>93</v>
      </c>
      <c r="C1011" s="93" t="s">
        <v>94</v>
      </c>
      <c r="D1011" s="93" t="s">
        <v>503</v>
      </c>
      <c r="E1011" s="93" t="s">
        <v>506</v>
      </c>
      <c r="F1011" s="17">
        <v>0</v>
      </c>
      <c r="G1011" s="8" t="s">
        <v>549</v>
      </c>
    </row>
    <row r="1012" spans="1:7" ht="15" customHeight="1" x14ac:dyDescent="0.3">
      <c r="A1012" s="93" t="s">
        <v>575</v>
      </c>
      <c r="B1012" s="93" t="s">
        <v>93</v>
      </c>
      <c r="C1012" s="93" t="s">
        <v>94</v>
      </c>
      <c r="D1012" s="93" t="s">
        <v>503</v>
      </c>
      <c r="E1012" s="93" t="s">
        <v>507</v>
      </c>
      <c r="F1012" s="17">
        <v>0</v>
      </c>
      <c r="G1012" s="8" t="s">
        <v>549</v>
      </c>
    </row>
    <row r="1013" spans="1:7" ht="15" customHeight="1" x14ac:dyDescent="0.3">
      <c r="A1013" s="93" t="s">
        <v>575</v>
      </c>
      <c r="B1013" s="93" t="s">
        <v>93</v>
      </c>
      <c r="C1013" s="93" t="s">
        <v>94</v>
      </c>
      <c r="D1013" s="93" t="s">
        <v>503</v>
      </c>
      <c r="E1013" s="93" t="s">
        <v>508</v>
      </c>
      <c r="F1013" s="17">
        <v>0</v>
      </c>
      <c r="G1013" s="8" t="s">
        <v>549</v>
      </c>
    </row>
    <row r="1014" spans="1:7" ht="15" customHeight="1" x14ac:dyDescent="0.3">
      <c r="A1014" s="93" t="s">
        <v>575</v>
      </c>
      <c r="B1014" s="93" t="s">
        <v>93</v>
      </c>
      <c r="C1014" s="93" t="s">
        <v>94</v>
      </c>
      <c r="D1014" s="93" t="s">
        <v>503</v>
      </c>
      <c r="E1014" s="93" t="s">
        <v>509</v>
      </c>
      <c r="F1014" s="17">
        <v>0</v>
      </c>
      <c r="G1014" s="8" t="s">
        <v>549</v>
      </c>
    </row>
    <row r="1015" spans="1:7" ht="15" customHeight="1" x14ac:dyDescent="0.3">
      <c r="A1015" s="93" t="s">
        <v>575</v>
      </c>
      <c r="B1015" s="93" t="s">
        <v>93</v>
      </c>
      <c r="C1015" s="93" t="s">
        <v>94</v>
      </c>
      <c r="D1015" s="93" t="s">
        <v>503</v>
      </c>
      <c r="E1015" s="93" t="s">
        <v>510</v>
      </c>
      <c r="F1015" s="17">
        <v>0</v>
      </c>
      <c r="G1015" s="8" t="s">
        <v>549</v>
      </c>
    </row>
    <row r="1016" spans="1:7" ht="15" customHeight="1" x14ac:dyDescent="0.3">
      <c r="A1016" s="93" t="s">
        <v>575</v>
      </c>
      <c r="B1016" s="93" t="s">
        <v>93</v>
      </c>
      <c r="C1016" s="93" t="s">
        <v>94</v>
      </c>
      <c r="D1016" s="93" t="s">
        <v>503</v>
      </c>
      <c r="E1016" s="93" t="s">
        <v>511</v>
      </c>
      <c r="F1016" s="17">
        <v>0</v>
      </c>
      <c r="G1016" s="8" t="s">
        <v>549</v>
      </c>
    </row>
    <row r="1017" spans="1:7" ht="15" customHeight="1" x14ac:dyDescent="0.3">
      <c r="A1017" s="93" t="s">
        <v>575</v>
      </c>
      <c r="B1017" s="93" t="s">
        <v>93</v>
      </c>
      <c r="C1017" s="93" t="s">
        <v>94</v>
      </c>
      <c r="D1017" s="93" t="s">
        <v>503</v>
      </c>
      <c r="E1017" s="93" t="s">
        <v>512</v>
      </c>
      <c r="F1017" s="17">
        <v>0</v>
      </c>
      <c r="G1017" s="8" t="s">
        <v>549</v>
      </c>
    </row>
    <row r="1018" spans="1:7" ht="15" customHeight="1" x14ac:dyDescent="0.3">
      <c r="A1018" s="93" t="s">
        <v>575</v>
      </c>
      <c r="B1018" s="93" t="s">
        <v>96</v>
      </c>
      <c r="C1018" s="93" t="s">
        <v>94</v>
      </c>
      <c r="D1018" s="93" t="s">
        <v>503</v>
      </c>
      <c r="E1018" s="93" t="s">
        <v>504</v>
      </c>
      <c r="F1018" s="17">
        <v>0</v>
      </c>
      <c r="G1018" s="8" t="s">
        <v>549</v>
      </c>
    </row>
    <row r="1019" spans="1:7" ht="15" customHeight="1" x14ac:dyDescent="0.3">
      <c r="A1019" s="93" t="s">
        <v>575</v>
      </c>
      <c r="B1019" s="93" t="s">
        <v>96</v>
      </c>
      <c r="C1019" s="93" t="s">
        <v>94</v>
      </c>
      <c r="D1019" s="93" t="s">
        <v>503</v>
      </c>
      <c r="E1019" s="93" t="s">
        <v>506</v>
      </c>
      <c r="F1019" s="17">
        <v>0</v>
      </c>
      <c r="G1019" s="8" t="s">
        <v>549</v>
      </c>
    </row>
    <row r="1020" spans="1:7" ht="15" customHeight="1" x14ac:dyDescent="0.3">
      <c r="A1020" s="93" t="s">
        <v>575</v>
      </c>
      <c r="B1020" s="93" t="s">
        <v>96</v>
      </c>
      <c r="C1020" s="93" t="s">
        <v>94</v>
      </c>
      <c r="D1020" s="93" t="s">
        <v>503</v>
      </c>
      <c r="E1020" s="93" t="s">
        <v>507</v>
      </c>
      <c r="F1020" s="17">
        <v>0</v>
      </c>
      <c r="G1020" s="8" t="s">
        <v>549</v>
      </c>
    </row>
    <row r="1021" spans="1:7" ht="15" customHeight="1" x14ac:dyDescent="0.3">
      <c r="A1021" s="93" t="s">
        <v>575</v>
      </c>
      <c r="B1021" s="93" t="s">
        <v>96</v>
      </c>
      <c r="C1021" s="93" t="s">
        <v>94</v>
      </c>
      <c r="D1021" s="93" t="s">
        <v>503</v>
      </c>
      <c r="E1021" s="93" t="s">
        <v>508</v>
      </c>
      <c r="F1021" s="17">
        <v>0</v>
      </c>
      <c r="G1021" s="8" t="s">
        <v>549</v>
      </c>
    </row>
    <row r="1022" spans="1:7" ht="15" customHeight="1" x14ac:dyDescent="0.3">
      <c r="A1022" s="93" t="s">
        <v>575</v>
      </c>
      <c r="B1022" s="93" t="s">
        <v>96</v>
      </c>
      <c r="C1022" s="93" t="s">
        <v>94</v>
      </c>
      <c r="D1022" s="93" t="s">
        <v>503</v>
      </c>
      <c r="E1022" s="93" t="s">
        <v>509</v>
      </c>
      <c r="F1022" s="17">
        <v>0</v>
      </c>
      <c r="G1022" s="8" t="s">
        <v>549</v>
      </c>
    </row>
    <row r="1023" spans="1:7" ht="15" customHeight="1" x14ac:dyDescent="0.3">
      <c r="A1023" s="93" t="s">
        <v>575</v>
      </c>
      <c r="B1023" s="93" t="s">
        <v>96</v>
      </c>
      <c r="C1023" s="93" t="s">
        <v>94</v>
      </c>
      <c r="D1023" s="93" t="s">
        <v>503</v>
      </c>
      <c r="E1023" s="93" t="s">
        <v>510</v>
      </c>
      <c r="F1023" s="17">
        <v>0</v>
      </c>
      <c r="G1023" s="8" t="s">
        <v>549</v>
      </c>
    </row>
    <row r="1024" spans="1:7" ht="15" customHeight="1" x14ac:dyDescent="0.3">
      <c r="A1024" s="93" t="s">
        <v>575</v>
      </c>
      <c r="B1024" s="93" t="s">
        <v>96</v>
      </c>
      <c r="C1024" s="93" t="s">
        <v>94</v>
      </c>
      <c r="D1024" s="93" t="s">
        <v>503</v>
      </c>
      <c r="E1024" s="93" t="s">
        <v>511</v>
      </c>
      <c r="F1024" s="17">
        <v>0</v>
      </c>
      <c r="G1024" s="8" t="s">
        <v>549</v>
      </c>
    </row>
    <row r="1025" spans="1:7" ht="15" customHeight="1" x14ac:dyDescent="0.3">
      <c r="A1025" s="93" t="s">
        <v>575</v>
      </c>
      <c r="B1025" s="93" t="s">
        <v>96</v>
      </c>
      <c r="C1025" s="93" t="s">
        <v>94</v>
      </c>
      <c r="D1025" s="93" t="s">
        <v>503</v>
      </c>
      <c r="E1025" s="93" t="s">
        <v>512</v>
      </c>
      <c r="F1025" s="17">
        <v>0</v>
      </c>
      <c r="G1025" s="8" t="s">
        <v>549</v>
      </c>
    </row>
    <row r="1026" spans="1:7" ht="15" customHeight="1" x14ac:dyDescent="0.3">
      <c r="A1026" s="93" t="s">
        <v>576</v>
      </c>
      <c r="B1026" s="93" t="s">
        <v>93</v>
      </c>
      <c r="C1026" s="93" t="s">
        <v>94</v>
      </c>
      <c r="D1026" s="93" t="s">
        <v>503</v>
      </c>
      <c r="E1026" s="93" t="s">
        <v>504</v>
      </c>
      <c r="F1026" s="17">
        <v>0</v>
      </c>
      <c r="G1026" s="8" t="s">
        <v>549</v>
      </c>
    </row>
    <row r="1027" spans="1:7" ht="15" customHeight="1" x14ac:dyDescent="0.3">
      <c r="A1027" s="93" t="s">
        <v>576</v>
      </c>
      <c r="B1027" s="93" t="s">
        <v>93</v>
      </c>
      <c r="C1027" s="93" t="s">
        <v>94</v>
      </c>
      <c r="D1027" s="93" t="s">
        <v>503</v>
      </c>
      <c r="E1027" s="93" t="s">
        <v>506</v>
      </c>
      <c r="F1027" s="17">
        <v>0</v>
      </c>
      <c r="G1027" s="8" t="s">
        <v>549</v>
      </c>
    </row>
    <row r="1028" spans="1:7" ht="15" customHeight="1" x14ac:dyDescent="0.3">
      <c r="A1028" s="93" t="s">
        <v>576</v>
      </c>
      <c r="B1028" s="93" t="s">
        <v>93</v>
      </c>
      <c r="C1028" s="93" t="s">
        <v>94</v>
      </c>
      <c r="D1028" s="93" t="s">
        <v>503</v>
      </c>
      <c r="E1028" s="93" t="s">
        <v>507</v>
      </c>
      <c r="F1028" s="17">
        <v>0</v>
      </c>
      <c r="G1028" s="8" t="s">
        <v>549</v>
      </c>
    </row>
    <row r="1029" spans="1:7" ht="15" customHeight="1" x14ac:dyDescent="0.3">
      <c r="A1029" s="93" t="s">
        <v>576</v>
      </c>
      <c r="B1029" s="93" t="s">
        <v>93</v>
      </c>
      <c r="C1029" s="93" t="s">
        <v>94</v>
      </c>
      <c r="D1029" s="93" t="s">
        <v>503</v>
      </c>
      <c r="E1029" s="93" t="s">
        <v>508</v>
      </c>
      <c r="F1029" s="17">
        <v>0</v>
      </c>
      <c r="G1029" s="8" t="s">
        <v>549</v>
      </c>
    </row>
    <row r="1030" spans="1:7" ht="15" customHeight="1" x14ac:dyDescent="0.3">
      <c r="A1030" s="93" t="s">
        <v>576</v>
      </c>
      <c r="B1030" s="93" t="s">
        <v>93</v>
      </c>
      <c r="C1030" s="93" t="s">
        <v>94</v>
      </c>
      <c r="D1030" s="93" t="s">
        <v>503</v>
      </c>
      <c r="E1030" s="93" t="s">
        <v>509</v>
      </c>
      <c r="F1030" s="17">
        <v>0</v>
      </c>
      <c r="G1030" s="8" t="s">
        <v>549</v>
      </c>
    </row>
    <row r="1031" spans="1:7" ht="15" customHeight="1" x14ac:dyDescent="0.3">
      <c r="A1031" s="93" t="s">
        <v>576</v>
      </c>
      <c r="B1031" s="93" t="s">
        <v>93</v>
      </c>
      <c r="C1031" s="93" t="s">
        <v>94</v>
      </c>
      <c r="D1031" s="93" t="s">
        <v>503</v>
      </c>
      <c r="E1031" s="93" t="s">
        <v>510</v>
      </c>
      <c r="F1031" s="17">
        <v>0</v>
      </c>
      <c r="G1031" s="8" t="s">
        <v>549</v>
      </c>
    </row>
    <row r="1032" spans="1:7" ht="15" customHeight="1" x14ac:dyDescent="0.3">
      <c r="A1032" s="93" t="s">
        <v>576</v>
      </c>
      <c r="B1032" s="93" t="s">
        <v>93</v>
      </c>
      <c r="C1032" s="93" t="s">
        <v>94</v>
      </c>
      <c r="D1032" s="93" t="s">
        <v>503</v>
      </c>
      <c r="E1032" s="93" t="s">
        <v>511</v>
      </c>
      <c r="F1032" s="17">
        <v>0</v>
      </c>
      <c r="G1032" s="8" t="s">
        <v>549</v>
      </c>
    </row>
    <row r="1033" spans="1:7" ht="15" customHeight="1" x14ac:dyDescent="0.3">
      <c r="A1033" s="93" t="s">
        <v>576</v>
      </c>
      <c r="B1033" s="93" t="s">
        <v>93</v>
      </c>
      <c r="C1033" s="93" t="s">
        <v>94</v>
      </c>
      <c r="D1033" s="93" t="s">
        <v>503</v>
      </c>
      <c r="E1033" s="93" t="s">
        <v>512</v>
      </c>
      <c r="F1033" s="17">
        <v>0</v>
      </c>
      <c r="G1033" s="8" t="s">
        <v>549</v>
      </c>
    </row>
    <row r="1034" spans="1:7" ht="15" customHeight="1" x14ac:dyDescent="0.3">
      <c r="A1034" s="93" t="s">
        <v>576</v>
      </c>
      <c r="B1034" s="93" t="s">
        <v>96</v>
      </c>
      <c r="C1034" s="93" t="s">
        <v>94</v>
      </c>
      <c r="D1034" s="93" t="s">
        <v>503</v>
      </c>
      <c r="E1034" s="93" t="s">
        <v>504</v>
      </c>
      <c r="F1034" s="17">
        <v>0</v>
      </c>
      <c r="G1034" s="8" t="s">
        <v>549</v>
      </c>
    </row>
    <row r="1035" spans="1:7" ht="15" customHeight="1" x14ac:dyDescent="0.3">
      <c r="A1035" s="93" t="s">
        <v>576</v>
      </c>
      <c r="B1035" s="93" t="s">
        <v>96</v>
      </c>
      <c r="C1035" s="93" t="s">
        <v>94</v>
      </c>
      <c r="D1035" s="93" t="s">
        <v>503</v>
      </c>
      <c r="E1035" s="93" t="s">
        <v>506</v>
      </c>
      <c r="F1035" s="17">
        <v>0</v>
      </c>
      <c r="G1035" s="8" t="s">
        <v>549</v>
      </c>
    </row>
    <row r="1036" spans="1:7" ht="15" customHeight="1" x14ac:dyDescent="0.3">
      <c r="A1036" s="93" t="s">
        <v>576</v>
      </c>
      <c r="B1036" s="93" t="s">
        <v>96</v>
      </c>
      <c r="C1036" s="93" t="s">
        <v>94</v>
      </c>
      <c r="D1036" s="93" t="s">
        <v>503</v>
      </c>
      <c r="E1036" s="93" t="s">
        <v>507</v>
      </c>
      <c r="F1036" s="17">
        <v>0</v>
      </c>
      <c r="G1036" s="8" t="s">
        <v>549</v>
      </c>
    </row>
    <row r="1037" spans="1:7" ht="15" customHeight="1" x14ac:dyDescent="0.3">
      <c r="A1037" s="93" t="s">
        <v>576</v>
      </c>
      <c r="B1037" s="93" t="s">
        <v>96</v>
      </c>
      <c r="C1037" s="93" t="s">
        <v>94</v>
      </c>
      <c r="D1037" s="93" t="s">
        <v>503</v>
      </c>
      <c r="E1037" s="93" t="s">
        <v>508</v>
      </c>
      <c r="F1037" s="17">
        <v>0</v>
      </c>
      <c r="G1037" s="8" t="s">
        <v>549</v>
      </c>
    </row>
    <row r="1038" spans="1:7" ht="15" customHeight="1" x14ac:dyDescent="0.3">
      <c r="A1038" s="93" t="s">
        <v>576</v>
      </c>
      <c r="B1038" s="93" t="s">
        <v>96</v>
      </c>
      <c r="C1038" s="93" t="s">
        <v>94</v>
      </c>
      <c r="D1038" s="93" t="s">
        <v>503</v>
      </c>
      <c r="E1038" s="93" t="s">
        <v>509</v>
      </c>
      <c r="F1038" s="17">
        <v>0</v>
      </c>
      <c r="G1038" s="8" t="s">
        <v>549</v>
      </c>
    </row>
    <row r="1039" spans="1:7" ht="15" customHeight="1" x14ac:dyDescent="0.3">
      <c r="A1039" s="93" t="s">
        <v>576</v>
      </c>
      <c r="B1039" s="93" t="s">
        <v>96</v>
      </c>
      <c r="C1039" s="93" t="s">
        <v>94</v>
      </c>
      <c r="D1039" s="93" t="s">
        <v>503</v>
      </c>
      <c r="E1039" s="93" t="s">
        <v>510</v>
      </c>
      <c r="F1039" s="17">
        <v>0</v>
      </c>
      <c r="G1039" s="8" t="s">
        <v>549</v>
      </c>
    </row>
    <row r="1040" spans="1:7" ht="15" customHeight="1" x14ac:dyDescent="0.3">
      <c r="A1040" s="93" t="s">
        <v>576</v>
      </c>
      <c r="B1040" s="93" t="s">
        <v>96</v>
      </c>
      <c r="C1040" s="93" t="s">
        <v>94</v>
      </c>
      <c r="D1040" s="93" t="s">
        <v>503</v>
      </c>
      <c r="E1040" s="93" t="s">
        <v>511</v>
      </c>
      <c r="F1040" s="17">
        <v>0</v>
      </c>
      <c r="G1040" s="8" t="s">
        <v>549</v>
      </c>
    </row>
    <row r="1041" spans="1:7" ht="15" customHeight="1" x14ac:dyDescent="0.3">
      <c r="A1041" s="93" t="s">
        <v>576</v>
      </c>
      <c r="B1041" s="93" t="s">
        <v>96</v>
      </c>
      <c r="C1041" s="93" t="s">
        <v>94</v>
      </c>
      <c r="D1041" s="93" t="s">
        <v>503</v>
      </c>
      <c r="E1041" s="93" t="s">
        <v>512</v>
      </c>
      <c r="F1041" s="17">
        <v>0</v>
      </c>
      <c r="G1041" s="8" t="s">
        <v>549</v>
      </c>
    </row>
    <row r="1042" spans="1:7" ht="15" customHeight="1" x14ac:dyDescent="0.3">
      <c r="A1042" s="93" t="s">
        <v>577</v>
      </c>
      <c r="B1042" s="93" t="s">
        <v>93</v>
      </c>
      <c r="C1042" s="93" t="s">
        <v>94</v>
      </c>
      <c r="D1042" s="93" t="s">
        <v>503</v>
      </c>
      <c r="E1042" s="93" t="s">
        <v>504</v>
      </c>
      <c r="F1042" s="17">
        <v>0</v>
      </c>
      <c r="G1042" s="8" t="s">
        <v>549</v>
      </c>
    </row>
    <row r="1043" spans="1:7" ht="15" customHeight="1" x14ac:dyDescent="0.3">
      <c r="A1043" s="93" t="s">
        <v>577</v>
      </c>
      <c r="B1043" s="93" t="s">
        <v>93</v>
      </c>
      <c r="C1043" s="93" t="s">
        <v>94</v>
      </c>
      <c r="D1043" s="93" t="s">
        <v>503</v>
      </c>
      <c r="E1043" s="93" t="s">
        <v>506</v>
      </c>
      <c r="F1043" s="17">
        <v>0</v>
      </c>
      <c r="G1043" s="8" t="s">
        <v>549</v>
      </c>
    </row>
    <row r="1044" spans="1:7" ht="15" customHeight="1" x14ac:dyDescent="0.3">
      <c r="A1044" s="93" t="s">
        <v>577</v>
      </c>
      <c r="B1044" s="93" t="s">
        <v>93</v>
      </c>
      <c r="C1044" s="93" t="s">
        <v>94</v>
      </c>
      <c r="D1044" s="93" t="s">
        <v>503</v>
      </c>
      <c r="E1044" s="93" t="s">
        <v>507</v>
      </c>
      <c r="F1044" s="17">
        <v>0</v>
      </c>
      <c r="G1044" s="8" t="s">
        <v>549</v>
      </c>
    </row>
    <row r="1045" spans="1:7" ht="15" customHeight="1" x14ac:dyDescent="0.3">
      <c r="A1045" s="93" t="s">
        <v>577</v>
      </c>
      <c r="B1045" s="93" t="s">
        <v>93</v>
      </c>
      <c r="C1045" s="93" t="s">
        <v>94</v>
      </c>
      <c r="D1045" s="93" t="s">
        <v>503</v>
      </c>
      <c r="E1045" s="93" t="s">
        <v>508</v>
      </c>
      <c r="F1045" s="17">
        <v>0</v>
      </c>
      <c r="G1045" s="8" t="s">
        <v>549</v>
      </c>
    </row>
    <row r="1046" spans="1:7" ht="15" customHeight="1" x14ac:dyDescent="0.3">
      <c r="A1046" s="93" t="s">
        <v>577</v>
      </c>
      <c r="B1046" s="93" t="s">
        <v>93</v>
      </c>
      <c r="C1046" s="93" t="s">
        <v>94</v>
      </c>
      <c r="D1046" s="93" t="s">
        <v>503</v>
      </c>
      <c r="E1046" s="93" t="s">
        <v>509</v>
      </c>
      <c r="F1046" s="17">
        <v>0</v>
      </c>
      <c r="G1046" s="8" t="s">
        <v>549</v>
      </c>
    </row>
    <row r="1047" spans="1:7" ht="15" customHeight="1" x14ac:dyDescent="0.3">
      <c r="A1047" s="93" t="s">
        <v>577</v>
      </c>
      <c r="B1047" s="93" t="s">
        <v>93</v>
      </c>
      <c r="C1047" s="93" t="s">
        <v>94</v>
      </c>
      <c r="D1047" s="93" t="s">
        <v>503</v>
      </c>
      <c r="E1047" s="93" t="s">
        <v>510</v>
      </c>
      <c r="F1047" s="17">
        <v>0</v>
      </c>
      <c r="G1047" s="8" t="s">
        <v>549</v>
      </c>
    </row>
    <row r="1048" spans="1:7" ht="15" customHeight="1" x14ac:dyDescent="0.3">
      <c r="A1048" s="93" t="s">
        <v>577</v>
      </c>
      <c r="B1048" s="93" t="s">
        <v>93</v>
      </c>
      <c r="C1048" s="93" t="s">
        <v>94</v>
      </c>
      <c r="D1048" s="93" t="s">
        <v>503</v>
      </c>
      <c r="E1048" s="93" t="s">
        <v>511</v>
      </c>
      <c r="F1048" s="17">
        <v>0</v>
      </c>
      <c r="G1048" s="8" t="s">
        <v>549</v>
      </c>
    </row>
    <row r="1049" spans="1:7" ht="15" customHeight="1" x14ac:dyDescent="0.3">
      <c r="A1049" s="93" t="s">
        <v>577</v>
      </c>
      <c r="B1049" s="93" t="s">
        <v>93</v>
      </c>
      <c r="C1049" s="93" t="s">
        <v>94</v>
      </c>
      <c r="D1049" s="93" t="s">
        <v>503</v>
      </c>
      <c r="E1049" s="93" t="s">
        <v>512</v>
      </c>
      <c r="F1049" s="17">
        <v>0</v>
      </c>
      <c r="G1049" s="8" t="s">
        <v>549</v>
      </c>
    </row>
    <row r="1050" spans="1:7" ht="15" customHeight="1" x14ac:dyDescent="0.3">
      <c r="A1050" s="93" t="s">
        <v>577</v>
      </c>
      <c r="B1050" s="93" t="s">
        <v>96</v>
      </c>
      <c r="C1050" s="93" t="s">
        <v>94</v>
      </c>
      <c r="D1050" s="93" t="s">
        <v>503</v>
      </c>
      <c r="E1050" s="93" t="s">
        <v>504</v>
      </c>
      <c r="F1050" s="17">
        <v>0</v>
      </c>
      <c r="G1050" s="8" t="s">
        <v>549</v>
      </c>
    </row>
    <row r="1051" spans="1:7" ht="15" customHeight="1" x14ac:dyDescent="0.3">
      <c r="A1051" s="93" t="s">
        <v>577</v>
      </c>
      <c r="B1051" s="93" t="s">
        <v>96</v>
      </c>
      <c r="C1051" s="93" t="s">
        <v>94</v>
      </c>
      <c r="D1051" s="93" t="s">
        <v>503</v>
      </c>
      <c r="E1051" s="93" t="s">
        <v>506</v>
      </c>
      <c r="F1051" s="17">
        <v>0</v>
      </c>
      <c r="G1051" s="8" t="s">
        <v>549</v>
      </c>
    </row>
    <row r="1052" spans="1:7" ht="15" customHeight="1" x14ac:dyDescent="0.3">
      <c r="A1052" s="93" t="s">
        <v>577</v>
      </c>
      <c r="B1052" s="93" t="s">
        <v>96</v>
      </c>
      <c r="C1052" s="93" t="s">
        <v>94</v>
      </c>
      <c r="D1052" s="93" t="s">
        <v>503</v>
      </c>
      <c r="E1052" s="93" t="s">
        <v>507</v>
      </c>
      <c r="F1052" s="17">
        <v>0</v>
      </c>
      <c r="G1052" s="8" t="s">
        <v>549</v>
      </c>
    </row>
    <row r="1053" spans="1:7" ht="15" customHeight="1" x14ac:dyDescent="0.3">
      <c r="A1053" s="93" t="s">
        <v>577</v>
      </c>
      <c r="B1053" s="93" t="s">
        <v>96</v>
      </c>
      <c r="C1053" s="93" t="s">
        <v>94</v>
      </c>
      <c r="D1053" s="93" t="s">
        <v>503</v>
      </c>
      <c r="E1053" s="93" t="s">
        <v>508</v>
      </c>
      <c r="F1053" s="17">
        <v>0</v>
      </c>
      <c r="G1053" s="8" t="s">
        <v>549</v>
      </c>
    </row>
    <row r="1054" spans="1:7" ht="15" customHeight="1" x14ac:dyDescent="0.3">
      <c r="A1054" s="93" t="s">
        <v>577</v>
      </c>
      <c r="B1054" s="93" t="s">
        <v>96</v>
      </c>
      <c r="C1054" s="93" t="s">
        <v>94</v>
      </c>
      <c r="D1054" s="93" t="s">
        <v>503</v>
      </c>
      <c r="E1054" s="93" t="s">
        <v>509</v>
      </c>
      <c r="F1054" s="17">
        <v>0</v>
      </c>
      <c r="G1054" s="8" t="s">
        <v>549</v>
      </c>
    </row>
    <row r="1055" spans="1:7" ht="15" customHeight="1" x14ac:dyDescent="0.3">
      <c r="A1055" s="93" t="s">
        <v>577</v>
      </c>
      <c r="B1055" s="93" t="s">
        <v>96</v>
      </c>
      <c r="C1055" s="93" t="s">
        <v>94</v>
      </c>
      <c r="D1055" s="93" t="s">
        <v>503</v>
      </c>
      <c r="E1055" s="93" t="s">
        <v>510</v>
      </c>
      <c r="F1055" s="17">
        <v>0</v>
      </c>
      <c r="G1055" s="8" t="s">
        <v>549</v>
      </c>
    </row>
    <row r="1056" spans="1:7" ht="15" customHeight="1" x14ac:dyDescent="0.3">
      <c r="A1056" s="93" t="s">
        <v>577</v>
      </c>
      <c r="B1056" s="93" t="s">
        <v>96</v>
      </c>
      <c r="C1056" s="93" t="s">
        <v>94</v>
      </c>
      <c r="D1056" s="93" t="s">
        <v>503</v>
      </c>
      <c r="E1056" s="93" t="s">
        <v>511</v>
      </c>
      <c r="F1056" s="17">
        <v>0</v>
      </c>
      <c r="G1056" s="8" t="s">
        <v>549</v>
      </c>
    </row>
    <row r="1057" spans="1:7" ht="15" customHeight="1" x14ac:dyDescent="0.3">
      <c r="A1057" s="93" t="s">
        <v>577</v>
      </c>
      <c r="B1057" s="93" t="s">
        <v>96</v>
      </c>
      <c r="C1057" s="93" t="s">
        <v>94</v>
      </c>
      <c r="D1057" s="93" t="s">
        <v>503</v>
      </c>
      <c r="E1057" s="93" t="s">
        <v>512</v>
      </c>
      <c r="F1057" s="17">
        <v>0</v>
      </c>
      <c r="G1057" s="8" t="s">
        <v>549</v>
      </c>
    </row>
    <row r="1058" spans="1:7" ht="15" customHeight="1" x14ac:dyDescent="0.3">
      <c r="A1058" s="93" t="s">
        <v>578</v>
      </c>
      <c r="B1058" s="93" t="s">
        <v>93</v>
      </c>
      <c r="C1058" s="93" t="s">
        <v>94</v>
      </c>
      <c r="D1058" s="93" t="s">
        <v>503</v>
      </c>
      <c r="E1058" s="93" t="s">
        <v>504</v>
      </c>
      <c r="F1058" s="17">
        <v>0</v>
      </c>
      <c r="G1058" s="8" t="s">
        <v>549</v>
      </c>
    </row>
    <row r="1059" spans="1:7" ht="15" customHeight="1" x14ac:dyDescent="0.3">
      <c r="A1059" s="93" t="s">
        <v>578</v>
      </c>
      <c r="B1059" s="93" t="s">
        <v>93</v>
      </c>
      <c r="C1059" s="93" t="s">
        <v>94</v>
      </c>
      <c r="D1059" s="93" t="s">
        <v>503</v>
      </c>
      <c r="E1059" s="93" t="s">
        <v>506</v>
      </c>
      <c r="F1059" s="17">
        <v>0</v>
      </c>
      <c r="G1059" s="8" t="s">
        <v>549</v>
      </c>
    </row>
    <row r="1060" spans="1:7" ht="15" customHeight="1" x14ac:dyDescent="0.3">
      <c r="A1060" s="93" t="s">
        <v>578</v>
      </c>
      <c r="B1060" s="93" t="s">
        <v>93</v>
      </c>
      <c r="C1060" s="93" t="s">
        <v>94</v>
      </c>
      <c r="D1060" s="93" t="s">
        <v>503</v>
      </c>
      <c r="E1060" s="93" t="s">
        <v>507</v>
      </c>
      <c r="F1060" s="17">
        <v>0</v>
      </c>
      <c r="G1060" s="8" t="s">
        <v>549</v>
      </c>
    </row>
    <row r="1061" spans="1:7" ht="15" customHeight="1" x14ac:dyDescent="0.3">
      <c r="A1061" s="93" t="s">
        <v>578</v>
      </c>
      <c r="B1061" s="93" t="s">
        <v>93</v>
      </c>
      <c r="C1061" s="93" t="s">
        <v>94</v>
      </c>
      <c r="D1061" s="93" t="s">
        <v>503</v>
      </c>
      <c r="E1061" s="93" t="s">
        <v>508</v>
      </c>
      <c r="F1061" s="17">
        <v>0</v>
      </c>
      <c r="G1061" s="8" t="s">
        <v>549</v>
      </c>
    </row>
    <row r="1062" spans="1:7" ht="15" customHeight="1" x14ac:dyDescent="0.3">
      <c r="A1062" s="93" t="s">
        <v>578</v>
      </c>
      <c r="B1062" s="93" t="s">
        <v>93</v>
      </c>
      <c r="C1062" s="93" t="s">
        <v>94</v>
      </c>
      <c r="D1062" s="93" t="s">
        <v>503</v>
      </c>
      <c r="E1062" s="93" t="s">
        <v>509</v>
      </c>
      <c r="F1062" s="17">
        <v>0</v>
      </c>
      <c r="G1062" s="8" t="s">
        <v>549</v>
      </c>
    </row>
    <row r="1063" spans="1:7" ht="15" customHeight="1" x14ac:dyDescent="0.3">
      <c r="A1063" s="93" t="s">
        <v>578</v>
      </c>
      <c r="B1063" s="93" t="s">
        <v>93</v>
      </c>
      <c r="C1063" s="93" t="s">
        <v>94</v>
      </c>
      <c r="D1063" s="93" t="s">
        <v>503</v>
      </c>
      <c r="E1063" s="93" t="s">
        <v>510</v>
      </c>
      <c r="F1063" s="17">
        <v>0</v>
      </c>
      <c r="G1063" s="8" t="s">
        <v>549</v>
      </c>
    </row>
    <row r="1064" spans="1:7" ht="15" customHeight="1" x14ac:dyDescent="0.3">
      <c r="A1064" s="93" t="s">
        <v>578</v>
      </c>
      <c r="B1064" s="93" t="s">
        <v>93</v>
      </c>
      <c r="C1064" s="93" t="s">
        <v>94</v>
      </c>
      <c r="D1064" s="93" t="s">
        <v>503</v>
      </c>
      <c r="E1064" s="93" t="s">
        <v>511</v>
      </c>
      <c r="F1064" s="17">
        <v>0</v>
      </c>
      <c r="G1064" s="8" t="s">
        <v>549</v>
      </c>
    </row>
    <row r="1065" spans="1:7" ht="15" customHeight="1" x14ac:dyDescent="0.3">
      <c r="A1065" s="93" t="s">
        <v>578</v>
      </c>
      <c r="B1065" s="93" t="s">
        <v>93</v>
      </c>
      <c r="C1065" s="93" t="s">
        <v>94</v>
      </c>
      <c r="D1065" s="93" t="s">
        <v>503</v>
      </c>
      <c r="E1065" s="93" t="s">
        <v>512</v>
      </c>
      <c r="F1065" s="17">
        <v>0</v>
      </c>
      <c r="G1065" s="8" t="s">
        <v>549</v>
      </c>
    </row>
    <row r="1066" spans="1:7" ht="15" customHeight="1" x14ac:dyDescent="0.3">
      <c r="A1066" s="93" t="s">
        <v>578</v>
      </c>
      <c r="B1066" s="93" t="s">
        <v>96</v>
      </c>
      <c r="C1066" s="93" t="s">
        <v>94</v>
      </c>
      <c r="D1066" s="93" t="s">
        <v>503</v>
      </c>
      <c r="E1066" s="93" t="s">
        <v>504</v>
      </c>
      <c r="F1066" s="17">
        <v>0</v>
      </c>
      <c r="G1066" s="8" t="s">
        <v>549</v>
      </c>
    </row>
    <row r="1067" spans="1:7" ht="15" customHeight="1" x14ac:dyDescent="0.3">
      <c r="A1067" s="93" t="s">
        <v>578</v>
      </c>
      <c r="B1067" s="93" t="s">
        <v>96</v>
      </c>
      <c r="C1067" s="93" t="s">
        <v>94</v>
      </c>
      <c r="D1067" s="93" t="s">
        <v>503</v>
      </c>
      <c r="E1067" s="93" t="s">
        <v>506</v>
      </c>
      <c r="F1067" s="17">
        <v>0</v>
      </c>
      <c r="G1067" s="8" t="s">
        <v>549</v>
      </c>
    </row>
    <row r="1068" spans="1:7" ht="15" customHeight="1" x14ac:dyDescent="0.3">
      <c r="A1068" s="93" t="s">
        <v>578</v>
      </c>
      <c r="B1068" s="93" t="s">
        <v>96</v>
      </c>
      <c r="C1068" s="93" t="s">
        <v>94</v>
      </c>
      <c r="D1068" s="93" t="s">
        <v>503</v>
      </c>
      <c r="E1068" s="93" t="s">
        <v>507</v>
      </c>
      <c r="F1068" s="17">
        <v>0</v>
      </c>
      <c r="G1068" s="8" t="s">
        <v>549</v>
      </c>
    </row>
    <row r="1069" spans="1:7" ht="15" customHeight="1" x14ac:dyDescent="0.3">
      <c r="A1069" s="93" t="s">
        <v>578</v>
      </c>
      <c r="B1069" s="93" t="s">
        <v>96</v>
      </c>
      <c r="C1069" s="93" t="s">
        <v>94</v>
      </c>
      <c r="D1069" s="93" t="s">
        <v>503</v>
      </c>
      <c r="E1069" s="93" t="s">
        <v>508</v>
      </c>
      <c r="F1069" s="17">
        <v>0</v>
      </c>
      <c r="G1069" s="8" t="s">
        <v>549</v>
      </c>
    </row>
    <row r="1070" spans="1:7" ht="15" customHeight="1" x14ac:dyDescent="0.3">
      <c r="A1070" s="93" t="s">
        <v>578</v>
      </c>
      <c r="B1070" s="93" t="s">
        <v>96</v>
      </c>
      <c r="C1070" s="93" t="s">
        <v>94</v>
      </c>
      <c r="D1070" s="93" t="s">
        <v>503</v>
      </c>
      <c r="E1070" s="93" t="s">
        <v>509</v>
      </c>
      <c r="F1070" s="17">
        <v>0</v>
      </c>
      <c r="G1070" s="8" t="s">
        <v>549</v>
      </c>
    </row>
    <row r="1071" spans="1:7" ht="15" customHeight="1" x14ac:dyDescent="0.3">
      <c r="A1071" s="93" t="s">
        <v>578</v>
      </c>
      <c r="B1071" s="93" t="s">
        <v>96</v>
      </c>
      <c r="C1071" s="93" t="s">
        <v>94</v>
      </c>
      <c r="D1071" s="93" t="s">
        <v>503</v>
      </c>
      <c r="E1071" s="93" t="s">
        <v>510</v>
      </c>
      <c r="F1071" s="17">
        <v>0</v>
      </c>
      <c r="G1071" s="8" t="s">
        <v>549</v>
      </c>
    </row>
    <row r="1072" spans="1:7" ht="15" customHeight="1" x14ac:dyDescent="0.3">
      <c r="A1072" s="93" t="s">
        <v>578</v>
      </c>
      <c r="B1072" s="93" t="s">
        <v>96</v>
      </c>
      <c r="C1072" s="93" t="s">
        <v>94</v>
      </c>
      <c r="D1072" s="93" t="s">
        <v>503</v>
      </c>
      <c r="E1072" s="93" t="s">
        <v>511</v>
      </c>
      <c r="F1072" s="17">
        <v>0</v>
      </c>
      <c r="G1072" s="8" t="s">
        <v>549</v>
      </c>
    </row>
    <row r="1073" spans="1:7" ht="15" customHeight="1" x14ac:dyDescent="0.3">
      <c r="A1073" s="93" t="s">
        <v>578</v>
      </c>
      <c r="B1073" s="93" t="s">
        <v>96</v>
      </c>
      <c r="C1073" s="93" t="s">
        <v>94</v>
      </c>
      <c r="D1073" s="93" t="s">
        <v>503</v>
      </c>
      <c r="E1073" s="93" t="s">
        <v>512</v>
      </c>
      <c r="F1073" s="17">
        <v>0</v>
      </c>
      <c r="G1073" s="8" t="s">
        <v>549</v>
      </c>
    </row>
    <row r="1074" spans="1:7" ht="15" customHeight="1" x14ac:dyDescent="0.3">
      <c r="A1074" s="93" t="s">
        <v>579</v>
      </c>
      <c r="B1074" s="93" t="s">
        <v>93</v>
      </c>
      <c r="C1074" s="93" t="s">
        <v>94</v>
      </c>
      <c r="D1074" s="93" t="s">
        <v>503</v>
      </c>
      <c r="E1074" s="93" t="s">
        <v>504</v>
      </c>
      <c r="F1074" s="17">
        <v>0</v>
      </c>
      <c r="G1074" s="8" t="s">
        <v>549</v>
      </c>
    </row>
    <row r="1075" spans="1:7" ht="15" customHeight="1" x14ac:dyDescent="0.3">
      <c r="A1075" s="93" t="s">
        <v>579</v>
      </c>
      <c r="B1075" s="93" t="s">
        <v>93</v>
      </c>
      <c r="C1075" s="93" t="s">
        <v>94</v>
      </c>
      <c r="D1075" s="93" t="s">
        <v>503</v>
      </c>
      <c r="E1075" s="93" t="s">
        <v>506</v>
      </c>
      <c r="F1075" s="17">
        <v>0</v>
      </c>
      <c r="G1075" s="8" t="s">
        <v>549</v>
      </c>
    </row>
    <row r="1076" spans="1:7" ht="15" customHeight="1" x14ac:dyDescent="0.3">
      <c r="A1076" s="93" t="s">
        <v>579</v>
      </c>
      <c r="B1076" s="93" t="s">
        <v>93</v>
      </c>
      <c r="C1076" s="93" t="s">
        <v>94</v>
      </c>
      <c r="D1076" s="93" t="s">
        <v>503</v>
      </c>
      <c r="E1076" s="93" t="s">
        <v>507</v>
      </c>
      <c r="F1076" s="17">
        <v>0</v>
      </c>
      <c r="G1076" s="8" t="s">
        <v>549</v>
      </c>
    </row>
    <row r="1077" spans="1:7" ht="15" customHeight="1" x14ac:dyDescent="0.3">
      <c r="A1077" s="93" t="s">
        <v>579</v>
      </c>
      <c r="B1077" s="93" t="s">
        <v>93</v>
      </c>
      <c r="C1077" s="93" t="s">
        <v>94</v>
      </c>
      <c r="D1077" s="93" t="s">
        <v>503</v>
      </c>
      <c r="E1077" s="93" t="s">
        <v>508</v>
      </c>
      <c r="F1077" s="17">
        <v>0</v>
      </c>
      <c r="G1077" s="8" t="s">
        <v>549</v>
      </c>
    </row>
    <row r="1078" spans="1:7" ht="15" customHeight="1" x14ac:dyDescent="0.3">
      <c r="A1078" s="93" t="s">
        <v>579</v>
      </c>
      <c r="B1078" s="93" t="s">
        <v>93</v>
      </c>
      <c r="C1078" s="93" t="s">
        <v>94</v>
      </c>
      <c r="D1078" s="93" t="s">
        <v>503</v>
      </c>
      <c r="E1078" s="93" t="s">
        <v>509</v>
      </c>
      <c r="F1078" s="17">
        <v>0</v>
      </c>
      <c r="G1078" s="8" t="s">
        <v>549</v>
      </c>
    </row>
    <row r="1079" spans="1:7" ht="15" customHeight="1" x14ac:dyDescent="0.3">
      <c r="A1079" s="93" t="s">
        <v>579</v>
      </c>
      <c r="B1079" s="93" t="s">
        <v>93</v>
      </c>
      <c r="C1079" s="93" t="s">
        <v>94</v>
      </c>
      <c r="D1079" s="93" t="s">
        <v>503</v>
      </c>
      <c r="E1079" s="93" t="s">
        <v>510</v>
      </c>
      <c r="F1079" s="17">
        <v>0</v>
      </c>
      <c r="G1079" s="8" t="s">
        <v>549</v>
      </c>
    </row>
    <row r="1080" spans="1:7" ht="15" customHeight="1" x14ac:dyDescent="0.3">
      <c r="A1080" s="93" t="s">
        <v>579</v>
      </c>
      <c r="B1080" s="93" t="s">
        <v>93</v>
      </c>
      <c r="C1080" s="93" t="s">
        <v>94</v>
      </c>
      <c r="D1080" s="93" t="s">
        <v>503</v>
      </c>
      <c r="E1080" s="93" t="s">
        <v>511</v>
      </c>
      <c r="F1080" s="17">
        <v>0</v>
      </c>
      <c r="G1080" s="8" t="s">
        <v>549</v>
      </c>
    </row>
    <row r="1081" spans="1:7" ht="15" customHeight="1" x14ac:dyDescent="0.3">
      <c r="A1081" s="93" t="s">
        <v>579</v>
      </c>
      <c r="B1081" s="93" t="s">
        <v>93</v>
      </c>
      <c r="C1081" s="93" t="s">
        <v>94</v>
      </c>
      <c r="D1081" s="93" t="s">
        <v>503</v>
      </c>
      <c r="E1081" s="93" t="s">
        <v>512</v>
      </c>
      <c r="F1081" s="17">
        <v>0</v>
      </c>
      <c r="G1081" s="8" t="s">
        <v>549</v>
      </c>
    </row>
    <row r="1082" spans="1:7" ht="15" customHeight="1" x14ac:dyDescent="0.3">
      <c r="A1082" s="93" t="s">
        <v>579</v>
      </c>
      <c r="B1082" s="93" t="s">
        <v>96</v>
      </c>
      <c r="C1082" s="93" t="s">
        <v>94</v>
      </c>
      <c r="D1082" s="93" t="s">
        <v>503</v>
      </c>
      <c r="E1082" s="93" t="s">
        <v>504</v>
      </c>
      <c r="F1082" s="17">
        <v>0</v>
      </c>
      <c r="G1082" s="8" t="s">
        <v>549</v>
      </c>
    </row>
    <row r="1083" spans="1:7" ht="15" customHeight="1" x14ac:dyDescent="0.3">
      <c r="A1083" s="93" t="s">
        <v>579</v>
      </c>
      <c r="B1083" s="93" t="s">
        <v>96</v>
      </c>
      <c r="C1083" s="93" t="s">
        <v>94</v>
      </c>
      <c r="D1083" s="93" t="s">
        <v>503</v>
      </c>
      <c r="E1083" s="93" t="s">
        <v>506</v>
      </c>
      <c r="F1083" s="17">
        <v>0</v>
      </c>
      <c r="G1083" s="8" t="s">
        <v>549</v>
      </c>
    </row>
    <row r="1084" spans="1:7" ht="15" customHeight="1" x14ac:dyDescent="0.3">
      <c r="A1084" s="93" t="s">
        <v>579</v>
      </c>
      <c r="B1084" s="93" t="s">
        <v>96</v>
      </c>
      <c r="C1084" s="93" t="s">
        <v>94</v>
      </c>
      <c r="D1084" s="93" t="s">
        <v>503</v>
      </c>
      <c r="E1084" s="93" t="s">
        <v>507</v>
      </c>
      <c r="F1084" s="17">
        <v>0</v>
      </c>
      <c r="G1084" s="8" t="s">
        <v>549</v>
      </c>
    </row>
    <row r="1085" spans="1:7" ht="15" customHeight="1" x14ac:dyDescent="0.3">
      <c r="A1085" s="93" t="s">
        <v>579</v>
      </c>
      <c r="B1085" s="93" t="s">
        <v>96</v>
      </c>
      <c r="C1085" s="93" t="s">
        <v>94</v>
      </c>
      <c r="D1085" s="93" t="s">
        <v>503</v>
      </c>
      <c r="E1085" s="93" t="s">
        <v>508</v>
      </c>
      <c r="F1085" s="17">
        <v>0</v>
      </c>
      <c r="G1085" s="8" t="s">
        <v>549</v>
      </c>
    </row>
    <row r="1086" spans="1:7" ht="15" customHeight="1" x14ac:dyDescent="0.3">
      <c r="A1086" s="93" t="s">
        <v>579</v>
      </c>
      <c r="B1086" s="93" t="s">
        <v>96</v>
      </c>
      <c r="C1086" s="93" t="s">
        <v>94</v>
      </c>
      <c r="D1086" s="93" t="s">
        <v>503</v>
      </c>
      <c r="E1086" s="93" t="s">
        <v>509</v>
      </c>
      <c r="F1086" s="17">
        <v>0</v>
      </c>
      <c r="G1086" s="8" t="s">
        <v>549</v>
      </c>
    </row>
    <row r="1087" spans="1:7" ht="15" customHeight="1" x14ac:dyDescent="0.3">
      <c r="A1087" s="93" t="s">
        <v>579</v>
      </c>
      <c r="B1087" s="93" t="s">
        <v>96</v>
      </c>
      <c r="C1087" s="93" t="s">
        <v>94</v>
      </c>
      <c r="D1087" s="93" t="s">
        <v>503</v>
      </c>
      <c r="E1087" s="93" t="s">
        <v>510</v>
      </c>
      <c r="F1087" s="17">
        <v>0</v>
      </c>
      <c r="G1087" s="8" t="s">
        <v>549</v>
      </c>
    </row>
    <row r="1088" spans="1:7" ht="15" customHeight="1" x14ac:dyDescent="0.3">
      <c r="A1088" s="93" t="s">
        <v>579</v>
      </c>
      <c r="B1088" s="93" t="s">
        <v>96</v>
      </c>
      <c r="C1088" s="93" t="s">
        <v>94</v>
      </c>
      <c r="D1088" s="93" t="s">
        <v>503</v>
      </c>
      <c r="E1088" s="93" t="s">
        <v>511</v>
      </c>
      <c r="F1088" s="17">
        <v>0</v>
      </c>
      <c r="G1088" s="8" t="s">
        <v>549</v>
      </c>
    </row>
    <row r="1089" spans="1:7" ht="15" customHeight="1" x14ac:dyDescent="0.3">
      <c r="A1089" s="93" t="s">
        <v>579</v>
      </c>
      <c r="B1089" s="93" t="s">
        <v>96</v>
      </c>
      <c r="C1089" s="93" t="s">
        <v>94</v>
      </c>
      <c r="D1089" s="93" t="s">
        <v>503</v>
      </c>
      <c r="E1089" s="93" t="s">
        <v>512</v>
      </c>
      <c r="F1089" s="17">
        <v>0</v>
      </c>
      <c r="G1089" s="8" t="s">
        <v>549</v>
      </c>
    </row>
    <row r="1090" spans="1:7" ht="15" customHeight="1" x14ac:dyDescent="0.3">
      <c r="A1090" s="93" t="s">
        <v>580</v>
      </c>
      <c r="B1090" s="93" t="s">
        <v>93</v>
      </c>
      <c r="C1090" s="93" t="s">
        <v>94</v>
      </c>
      <c r="D1090" s="93" t="s">
        <v>503</v>
      </c>
      <c r="E1090" s="93" t="s">
        <v>504</v>
      </c>
      <c r="F1090" s="17">
        <v>0</v>
      </c>
      <c r="G1090" s="8" t="s">
        <v>549</v>
      </c>
    </row>
    <row r="1091" spans="1:7" ht="15" customHeight="1" x14ac:dyDescent="0.3">
      <c r="A1091" s="93" t="s">
        <v>580</v>
      </c>
      <c r="B1091" s="93" t="s">
        <v>93</v>
      </c>
      <c r="C1091" s="93" t="s">
        <v>94</v>
      </c>
      <c r="D1091" s="93" t="s">
        <v>503</v>
      </c>
      <c r="E1091" s="93" t="s">
        <v>506</v>
      </c>
      <c r="F1091" s="17">
        <v>0</v>
      </c>
      <c r="G1091" s="8" t="s">
        <v>549</v>
      </c>
    </row>
    <row r="1092" spans="1:7" ht="15" customHeight="1" x14ac:dyDescent="0.3">
      <c r="A1092" s="93" t="s">
        <v>580</v>
      </c>
      <c r="B1092" s="93" t="s">
        <v>93</v>
      </c>
      <c r="C1092" s="93" t="s">
        <v>94</v>
      </c>
      <c r="D1092" s="93" t="s">
        <v>503</v>
      </c>
      <c r="E1092" s="93" t="s">
        <v>507</v>
      </c>
      <c r="F1092" s="17">
        <v>0</v>
      </c>
      <c r="G1092" s="8" t="s">
        <v>549</v>
      </c>
    </row>
    <row r="1093" spans="1:7" ht="15" customHeight="1" x14ac:dyDescent="0.3">
      <c r="A1093" s="93" t="s">
        <v>580</v>
      </c>
      <c r="B1093" s="93" t="s">
        <v>93</v>
      </c>
      <c r="C1093" s="93" t="s">
        <v>94</v>
      </c>
      <c r="D1093" s="93" t="s">
        <v>503</v>
      </c>
      <c r="E1093" s="93" t="s">
        <v>508</v>
      </c>
      <c r="F1093" s="17">
        <v>0</v>
      </c>
      <c r="G1093" s="8" t="s">
        <v>549</v>
      </c>
    </row>
    <row r="1094" spans="1:7" ht="15" customHeight="1" x14ac:dyDescent="0.3">
      <c r="A1094" s="93" t="s">
        <v>580</v>
      </c>
      <c r="B1094" s="93" t="s">
        <v>93</v>
      </c>
      <c r="C1094" s="93" t="s">
        <v>94</v>
      </c>
      <c r="D1094" s="93" t="s">
        <v>503</v>
      </c>
      <c r="E1094" s="93" t="s">
        <v>509</v>
      </c>
      <c r="F1094" s="17">
        <v>0</v>
      </c>
      <c r="G1094" s="8" t="s">
        <v>549</v>
      </c>
    </row>
    <row r="1095" spans="1:7" ht="15" customHeight="1" x14ac:dyDescent="0.3">
      <c r="A1095" s="93" t="s">
        <v>580</v>
      </c>
      <c r="B1095" s="93" t="s">
        <v>93</v>
      </c>
      <c r="C1095" s="93" t="s">
        <v>94</v>
      </c>
      <c r="D1095" s="93" t="s">
        <v>503</v>
      </c>
      <c r="E1095" s="93" t="s">
        <v>510</v>
      </c>
      <c r="F1095" s="17">
        <v>0</v>
      </c>
      <c r="G1095" s="8" t="s">
        <v>549</v>
      </c>
    </row>
    <row r="1096" spans="1:7" ht="15" customHeight="1" x14ac:dyDescent="0.3">
      <c r="A1096" s="93" t="s">
        <v>580</v>
      </c>
      <c r="B1096" s="93" t="s">
        <v>93</v>
      </c>
      <c r="C1096" s="93" t="s">
        <v>94</v>
      </c>
      <c r="D1096" s="93" t="s">
        <v>503</v>
      </c>
      <c r="E1096" s="93" t="s">
        <v>511</v>
      </c>
      <c r="F1096" s="17">
        <v>0</v>
      </c>
      <c r="G1096" s="8" t="s">
        <v>549</v>
      </c>
    </row>
    <row r="1097" spans="1:7" ht="15" customHeight="1" x14ac:dyDescent="0.3">
      <c r="A1097" s="93" t="s">
        <v>580</v>
      </c>
      <c r="B1097" s="93" t="s">
        <v>93</v>
      </c>
      <c r="C1097" s="93" t="s">
        <v>94</v>
      </c>
      <c r="D1097" s="93" t="s">
        <v>503</v>
      </c>
      <c r="E1097" s="93" t="s">
        <v>512</v>
      </c>
      <c r="F1097" s="17">
        <v>0</v>
      </c>
      <c r="G1097" s="8" t="s">
        <v>549</v>
      </c>
    </row>
    <row r="1098" spans="1:7" ht="15" customHeight="1" x14ac:dyDescent="0.3">
      <c r="A1098" s="93" t="s">
        <v>580</v>
      </c>
      <c r="B1098" s="93" t="s">
        <v>96</v>
      </c>
      <c r="C1098" s="93" t="s">
        <v>94</v>
      </c>
      <c r="D1098" s="93" t="s">
        <v>503</v>
      </c>
      <c r="E1098" s="93" t="s">
        <v>504</v>
      </c>
      <c r="F1098" s="17">
        <v>0</v>
      </c>
      <c r="G1098" s="8" t="s">
        <v>549</v>
      </c>
    </row>
    <row r="1099" spans="1:7" ht="15" customHeight="1" x14ac:dyDescent="0.3">
      <c r="A1099" s="93" t="s">
        <v>580</v>
      </c>
      <c r="B1099" s="93" t="s">
        <v>96</v>
      </c>
      <c r="C1099" s="93" t="s">
        <v>94</v>
      </c>
      <c r="D1099" s="93" t="s">
        <v>503</v>
      </c>
      <c r="E1099" s="93" t="s">
        <v>506</v>
      </c>
      <c r="F1099" s="17">
        <v>0</v>
      </c>
      <c r="G1099" s="8" t="s">
        <v>549</v>
      </c>
    </row>
    <row r="1100" spans="1:7" ht="15" customHeight="1" x14ac:dyDescent="0.3">
      <c r="A1100" s="93" t="s">
        <v>580</v>
      </c>
      <c r="B1100" s="93" t="s">
        <v>96</v>
      </c>
      <c r="C1100" s="93" t="s">
        <v>94</v>
      </c>
      <c r="D1100" s="93" t="s">
        <v>503</v>
      </c>
      <c r="E1100" s="93" t="s">
        <v>507</v>
      </c>
      <c r="F1100" s="17">
        <v>0</v>
      </c>
      <c r="G1100" s="8" t="s">
        <v>549</v>
      </c>
    </row>
    <row r="1101" spans="1:7" ht="15" customHeight="1" x14ac:dyDescent="0.3">
      <c r="A1101" s="93" t="s">
        <v>580</v>
      </c>
      <c r="B1101" s="93" t="s">
        <v>96</v>
      </c>
      <c r="C1101" s="93" t="s">
        <v>94</v>
      </c>
      <c r="D1101" s="93" t="s">
        <v>503</v>
      </c>
      <c r="E1101" s="93" t="s">
        <v>508</v>
      </c>
      <c r="F1101" s="17">
        <v>0</v>
      </c>
      <c r="G1101" s="8" t="s">
        <v>549</v>
      </c>
    </row>
    <row r="1102" spans="1:7" ht="15" customHeight="1" x14ac:dyDescent="0.3">
      <c r="A1102" s="93" t="s">
        <v>580</v>
      </c>
      <c r="B1102" s="93" t="s">
        <v>96</v>
      </c>
      <c r="C1102" s="93" t="s">
        <v>94</v>
      </c>
      <c r="D1102" s="93" t="s">
        <v>503</v>
      </c>
      <c r="E1102" s="93" t="s">
        <v>509</v>
      </c>
      <c r="F1102" s="17">
        <v>0</v>
      </c>
      <c r="G1102" s="8" t="s">
        <v>549</v>
      </c>
    </row>
    <row r="1103" spans="1:7" ht="15" customHeight="1" x14ac:dyDescent="0.3">
      <c r="A1103" s="93" t="s">
        <v>580</v>
      </c>
      <c r="B1103" s="93" t="s">
        <v>96</v>
      </c>
      <c r="C1103" s="93" t="s">
        <v>94</v>
      </c>
      <c r="D1103" s="93" t="s">
        <v>503</v>
      </c>
      <c r="E1103" s="93" t="s">
        <v>510</v>
      </c>
      <c r="F1103" s="17">
        <v>0</v>
      </c>
      <c r="G1103" s="8" t="s">
        <v>549</v>
      </c>
    </row>
    <row r="1104" spans="1:7" ht="15" customHeight="1" x14ac:dyDescent="0.3">
      <c r="A1104" s="93" t="s">
        <v>580</v>
      </c>
      <c r="B1104" s="93" t="s">
        <v>96</v>
      </c>
      <c r="C1104" s="93" t="s">
        <v>94</v>
      </c>
      <c r="D1104" s="93" t="s">
        <v>503</v>
      </c>
      <c r="E1104" s="93" t="s">
        <v>511</v>
      </c>
      <c r="F1104" s="17">
        <v>0</v>
      </c>
      <c r="G1104" s="8" t="s">
        <v>549</v>
      </c>
    </row>
    <row r="1105" spans="1:7" ht="15" customHeight="1" x14ac:dyDescent="0.3">
      <c r="A1105" s="93" t="s">
        <v>580</v>
      </c>
      <c r="B1105" s="93" t="s">
        <v>96</v>
      </c>
      <c r="C1105" s="93" t="s">
        <v>94</v>
      </c>
      <c r="D1105" s="93" t="s">
        <v>503</v>
      </c>
      <c r="E1105" s="93" t="s">
        <v>512</v>
      </c>
      <c r="F1105" s="17">
        <v>0</v>
      </c>
      <c r="G1105" s="8" t="s">
        <v>549</v>
      </c>
    </row>
    <row r="1106" spans="1:7" ht="15" customHeight="1" x14ac:dyDescent="0.3">
      <c r="A1106" s="93" t="s">
        <v>581</v>
      </c>
      <c r="B1106" s="93" t="s">
        <v>93</v>
      </c>
      <c r="C1106" s="93" t="s">
        <v>94</v>
      </c>
      <c r="D1106" s="93" t="s">
        <v>503</v>
      </c>
      <c r="E1106" s="93" t="s">
        <v>504</v>
      </c>
      <c r="F1106" s="17">
        <v>0</v>
      </c>
      <c r="G1106" s="8" t="s">
        <v>549</v>
      </c>
    </row>
    <row r="1107" spans="1:7" ht="15" customHeight="1" x14ac:dyDescent="0.3">
      <c r="A1107" s="93" t="s">
        <v>581</v>
      </c>
      <c r="B1107" s="93" t="s">
        <v>93</v>
      </c>
      <c r="C1107" s="93" t="s">
        <v>94</v>
      </c>
      <c r="D1107" s="93" t="s">
        <v>503</v>
      </c>
      <c r="E1107" s="93" t="s">
        <v>506</v>
      </c>
      <c r="F1107" s="17">
        <v>0</v>
      </c>
      <c r="G1107" s="8" t="s">
        <v>549</v>
      </c>
    </row>
    <row r="1108" spans="1:7" ht="15" customHeight="1" x14ac:dyDescent="0.3">
      <c r="A1108" s="93" t="s">
        <v>581</v>
      </c>
      <c r="B1108" s="93" t="s">
        <v>93</v>
      </c>
      <c r="C1108" s="93" t="s">
        <v>94</v>
      </c>
      <c r="D1108" s="93" t="s">
        <v>503</v>
      </c>
      <c r="E1108" s="93" t="s">
        <v>507</v>
      </c>
      <c r="F1108" s="17">
        <v>0</v>
      </c>
      <c r="G1108" s="8" t="s">
        <v>549</v>
      </c>
    </row>
    <row r="1109" spans="1:7" ht="15" customHeight="1" x14ac:dyDescent="0.3">
      <c r="A1109" s="93" t="s">
        <v>581</v>
      </c>
      <c r="B1109" s="93" t="s">
        <v>93</v>
      </c>
      <c r="C1109" s="93" t="s">
        <v>94</v>
      </c>
      <c r="D1109" s="93" t="s">
        <v>503</v>
      </c>
      <c r="E1109" s="93" t="s">
        <v>508</v>
      </c>
      <c r="F1109" s="17">
        <v>0</v>
      </c>
      <c r="G1109" s="8" t="s">
        <v>549</v>
      </c>
    </row>
    <row r="1110" spans="1:7" ht="15" customHeight="1" x14ac:dyDescent="0.3">
      <c r="A1110" s="93" t="s">
        <v>581</v>
      </c>
      <c r="B1110" s="93" t="s">
        <v>93</v>
      </c>
      <c r="C1110" s="93" t="s">
        <v>94</v>
      </c>
      <c r="D1110" s="93" t="s">
        <v>503</v>
      </c>
      <c r="E1110" s="93" t="s">
        <v>509</v>
      </c>
      <c r="F1110" s="17">
        <v>0</v>
      </c>
      <c r="G1110" s="8" t="s">
        <v>549</v>
      </c>
    </row>
    <row r="1111" spans="1:7" ht="15" customHeight="1" x14ac:dyDescent="0.3">
      <c r="A1111" s="93" t="s">
        <v>581</v>
      </c>
      <c r="B1111" s="93" t="s">
        <v>93</v>
      </c>
      <c r="C1111" s="93" t="s">
        <v>94</v>
      </c>
      <c r="D1111" s="93" t="s">
        <v>503</v>
      </c>
      <c r="E1111" s="93" t="s">
        <v>510</v>
      </c>
      <c r="F1111" s="17">
        <v>0</v>
      </c>
      <c r="G1111" s="8" t="s">
        <v>549</v>
      </c>
    </row>
    <row r="1112" spans="1:7" ht="15" customHeight="1" x14ac:dyDescent="0.3">
      <c r="A1112" s="93" t="s">
        <v>581</v>
      </c>
      <c r="B1112" s="93" t="s">
        <v>93</v>
      </c>
      <c r="C1112" s="93" t="s">
        <v>94</v>
      </c>
      <c r="D1112" s="93" t="s">
        <v>503</v>
      </c>
      <c r="E1112" s="93" t="s">
        <v>511</v>
      </c>
      <c r="F1112" s="17">
        <v>0</v>
      </c>
      <c r="G1112" s="8" t="s">
        <v>549</v>
      </c>
    </row>
    <row r="1113" spans="1:7" ht="15" customHeight="1" x14ac:dyDescent="0.3">
      <c r="A1113" s="93" t="s">
        <v>581</v>
      </c>
      <c r="B1113" s="93" t="s">
        <v>93</v>
      </c>
      <c r="C1113" s="93" t="s">
        <v>94</v>
      </c>
      <c r="D1113" s="93" t="s">
        <v>503</v>
      </c>
      <c r="E1113" s="93" t="s">
        <v>512</v>
      </c>
      <c r="F1113" s="17">
        <v>0</v>
      </c>
      <c r="G1113" s="8" t="s">
        <v>549</v>
      </c>
    </row>
    <row r="1114" spans="1:7" ht="15" customHeight="1" x14ac:dyDescent="0.3">
      <c r="A1114" s="93" t="s">
        <v>581</v>
      </c>
      <c r="B1114" s="93" t="s">
        <v>96</v>
      </c>
      <c r="C1114" s="93" t="s">
        <v>94</v>
      </c>
      <c r="D1114" s="93" t="s">
        <v>503</v>
      </c>
      <c r="E1114" s="93" t="s">
        <v>504</v>
      </c>
      <c r="F1114" s="17">
        <v>0</v>
      </c>
      <c r="G1114" s="8" t="s">
        <v>549</v>
      </c>
    </row>
    <row r="1115" spans="1:7" ht="15" customHeight="1" x14ac:dyDescent="0.3">
      <c r="A1115" s="93" t="s">
        <v>581</v>
      </c>
      <c r="B1115" s="93" t="s">
        <v>96</v>
      </c>
      <c r="C1115" s="93" t="s">
        <v>94</v>
      </c>
      <c r="D1115" s="93" t="s">
        <v>503</v>
      </c>
      <c r="E1115" s="93" t="s">
        <v>506</v>
      </c>
      <c r="F1115" s="17">
        <v>0</v>
      </c>
      <c r="G1115" s="8" t="s">
        <v>549</v>
      </c>
    </row>
    <row r="1116" spans="1:7" ht="15" customHeight="1" x14ac:dyDescent="0.3">
      <c r="A1116" s="93" t="s">
        <v>581</v>
      </c>
      <c r="B1116" s="93" t="s">
        <v>96</v>
      </c>
      <c r="C1116" s="93" t="s">
        <v>94</v>
      </c>
      <c r="D1116" s="93" t="s">
        <v>503</v>
      </c>
      <c r="E1116" s="93" t="s">
        <v>507</v>
      </c>
      <c r="F1116" s="17">
        <v>0</v>
      </c>
      <c r="G1116" s="8" t="s">
        <v>549</v>
      </c>
    </row>
    <row r="1117" spans="1:7" ht="15" customHeight="1" x14ac:dyDescent="0.3">
      <c r="A1117" s="93" t="s">
        <v>581</v>
      </c>
      <c r="B1117" s="93" t="s">
        <v>96</v>
      </c>
      <c r="C1117" s="93" t="s">
        <v>94</v>
      </c>
      <c r="D1117" s="93" t="s">
        <v>503</v>
      </c>
      <c r="E1117" s="93" t="s">
        <v>508</v>
      </c>
      <c r="F1117" s="17">
        <v>0</v>
      </c>
      <c r="G1117" s="8" t="s">
        <v>549</v>
      </c>
    </row>
    <row r="1118" spans="1:7" ht="15" customHeight="1" x14ac:dyDescent="0.3">
      <c r="A1118" s="93" t="s">
        <v>581</v>
      </c>
      <c r="B1118" s="93" t="s">
        <v>96</v>
      </c>
      <c r="C1118" s="93" t="s">
        <v>94</v>
      </c>
      <c r="D1118" s="93" t="s">
        <v>503</v>
      </c>
      <c r="E1118" s="93" t="s">
        <v>509</v>
      </c>
      <c r="F1118" s="17">
        <v>0</v>
      </c>
      <c r="G1118" s="8" t="s">
        <v>549</v>
      </c>
    </row>
    <row r="1119" spans="1:7" ht="15" customHeight="1" x14ac:dyDescent="0.3">
      <c r="A1119" s="93" t="s">
        <v>581</v>
      </c>
      <c r="B1119" s="93" t="s">
        <v>96</v>
      </c>
      <c r="C1119" s="93" t="s">
        <v>94</v>
      </c>
      <c r="D1119" s="93" t="s">
        <v>503</v>
      </c>
      <c r="E1119" s="93" t="s">
        <v>510</v>
      </c>
      <c r="F1119" s="17">
        <v>0</v>
      </c>
      <c r="G1119" s="8" t="s">
        <v>549</v>
      </c>
    </row>
    <row r="1120" spans="1:7" ht="15" customHeight="1" x14ac:dyDescent="0.3">
      <c r="A1120" s="93" t="s">
        <v>581</v>
      </c>
      <c r="B1120" s="93" t="s">
        <v>96</v>
      </c>
      <c r="C1120" s="93" t="s">
        <v>94</v>
      </c>
      <c r="D1120" s="93" t="s">
        <v>503</v>
      </c>
      <c r="E1120" s="93" t="s">
        <v>511</v>
      </c>
      <c r="F1120" s="17">
        <v>0</v>
      </c>
      <c r="G1120" s="8" t="s">
        <v>549</v>
      </c>
    </row>
    <row r="1121" spans="1:7" ht="15" customHeight="1" x14ac:dyDescent="0.3">
      <c r="A1121" s="93" t="s">
        <v>581</v>
      </c>
      <c r="B1121" s="93" t="s">
        <v>96</v>
      </c>
      <c r="C1121" s="93" t="s">
        <v>94</v>
      </c>
      <c r="D1121" s="93" t="s">
        <v>503</v>
      </c>
      <c r="E1121" s="93" t="s">
        <v>512</v>
      </c>
      <c r="F1121" s="17">
        <v>0</v>
      </c>
      <c r="G1121" s="8" t="s">
        <v>549</v>
      </c>
    </row>
    <row r="1122" spans="1:7" ht="15" customHeight="1" x14ac:dyDescent="0.3">
      <c r="A1122" s="93" t="s">
        <v>582</v>
      </c>
      <c r="B1122" s="93" t="s">
        <v>93</v>
      </c>
      <c r="C1122" s="93" t="s">
        <v>94</v>
      </c>
      <c r="D1122" s="93" t="s">
        <v>503</v>
      </c>
      <c r="E1122" s="93" t="s">
        <v>504</v>
      </c>
      <c r="F1122" s="17">
        <v>0</v>
      </c>
      <c r="G1122" s="8" t="s">
        <v>549</v>
      </c>
    </row>
    <row r="1123" spans="1:7" ht="15" customHeight="1" x14ac:dyDescent="0.3">
      <c r="A1123" s="93" t="s">
        <v>582</v>
      </c>
      <c r="B1123" s="93" t="s">
        <v>93</v>
      </c>
      <c r="C1123" s="93" t="s">
        <v>94</v>
      </c>
      <c r="D1123" s="93" t="s">
        <v>503</v>
      </c>
      <c r="E1123" s="93" t="s">
        <v>506</v>
      </c>
      <c r="F1123" s="17">
        <v>0</v>
      </c>
      <c r="G1123" s="8" t="s">
        <v>549</v>
      </c>
    </row>
    <row r="1124" spans="1:7" ht="15" customHeight="1" x14ac:dyDescent="0.3">
      <c r="A1124" s="93" t="s">
        <v>582</v>
      </c>
      <c r="B1124" s="93" t="s">
        <v>93</v>
      </c>
      <c r="C1124" s="93" t="s">
        <v>94</v>
      </c>
      <c r="D1124" s="93" t="s">
        <v>503</v>
      </c>
      <c r="E1124" s="93" t="s">
        <v>507</v>
      </c>
      <c r="F1124" s="17">
        <v>0</v>
      </c>
      <c r="G1124" s="8" t="s">
        <v>549</v>
      </c>
    </row>
    <row r="1125" spans="1:7" ht="15" customHeight="1" x14ac:dyDescent="0.3">
      <c r="A1125" s="93" t="s">
        <v>582</v>
      </c>
      <c r="B1125" s="93" t="s">
        <v>93</v>
      </c>
      <c r="C1125" s="93" t="s">
        <v>94</v>
      </c>
      <c r="D1125" s="93" t="s">
        <v>503</v>
      </c>
      <c r="E1125" s="93" t="s">
        <v>508</v>
      </c>
      <c r="F1125" s="17">
        <v>0</v>
      </c>
      <c r="G1125" s="8" t="s">
        <v>549</v>
      </c>
    </row>
    <row r="1126" spans="1:7" ht="15" customHeight="1" x14ac:dyDescent="0.3">
      <c r="A1126" s="93" t="s">
        <v>582</v>
      </c>
      <c r="B1126" s="93" t="s">
        <v>93</v>
      </c>
      <c r="C1126" s="93" t="s">
        <v>94</v>
      </c>
      <c r="D1126" s="93" t="s">
        <v>503</v>
      </c>
      <c r="E1126" s="93" t="s">
        <v>509</v>
      </c>
      <c r="F1126" s="17">
        <v>0</v>
      </c>
      <c r="G1126" s="8" t="s">
        <v>549</v>
      </c>
    </row>
    <row r="1127" spans="1:7" ht="15" customHeight="1" x14ac:dyDescent="0.3">
      <c r="A1127" s="93" t="s">
        <v>582</v>
      </c>
      <c r="B1127" s="93" t="s">
        <v>93</v>
      </c>
      <c r="C1127" s="93" t="s">
        <v>94</v>
      </c>
      <c r="D1127" s="93" t="s">
        <v>503</v>
      </c>
      <c r="E1127" s="93" t="s">
        <v>510</v>
      </c>
      <c r="F1127" s="17">
        <v>0</v>
      </c>
      <c r="G1127" s="8" t="s">
        <v>549</v>
      </c>
    </row>
    <row r="1128" spans="1:7" ht="15" customHeight="1" x14ac:dyDescent="0.3">
      <c r="A1128" s="93" t="s">
        <v>582</v>
      </c>
      <c r="B1128" s="93" t="s">
        <v>93</v>
      </c>
      <c r="C1128" s="93" t="s">
        <v>94</v>
      </c>
      <c r="D1128" s="93" t="s">
        <v>503</v>
      </c>
      <c r="E1128" s="93" t="s">
        <v>511</v>
      </c>
      <c r="F1128" s="17">
        <v>0</v>
      </c>
      <c r="G1128" s="8" t="s">
        <v>549</v>
      </c>
    </row>
    <row r="1129" spans="1:7" ht="15" customHeight="1" x14ac:dyDescent="0.3">
      <c r="A1129" s="93" t="s">
        <v>582</v>
      </c>
      <c r="B1129" s="93" t="s">
        <v>93</v>
      </c>
      <c r="C1129" s="93" t="s">
        <v>94</v>
      </c>
      <c r="D1129" s="93" t="s">
        <v>503</v>
      </c>
      <c r="E1129" s="93" t="s">
        <v>512</v>
      </c>
      <c r="F1129" s="17">
        <v>0</v>
      </c>
      <c r="G1129" s="8" t="s">
        <v>549</v>
      </c>
    </row>
    <row r="1130" spans="1:7" ht="15" customHeight="1" x14ac:dyDescent="0.3">
      <c r="A1130" s="93" t="s">
        <v>582</v>
      </c>
      <c r="B1130" s="93" t="s">
        <v>96</v>
      </c>
      <c r="C1130" s="93" t="s">
        <v>94</v>
      </c>
      <c r="D1130" s="93" t="s">
        <v>503</v>
      </c>
      <c r="E1130" s="93" t="s">
        <v>504</v>
      </c>
      <c r="F1130" s="17">
        <v>0</v>
      </c>
      <c r="G1130" s="8" t="s">
        <v>549</v>
      </c>
    </row>
    <row r="1131" spans="1:7" ht="15" customHeight="1" x14ac:dyDescent="0.3">
      <c r="A1131" s="93" t="s">
        <v>582</v>
      </c>
      <c r="B1131" s="93" t="s">
        <v>96</v>
      </c>
      <c r="C1131" s="93" t="s">
        <v>94</v>
      </c>
      <c r="D1131" s="93" t="s">
        <v>503</v>
      </c>
      <c r="E1131" s="93" t="s">
        <v>506</v>
      </c>
      <c r="F1131" s="17">
        <v>0</v>
      </c>
      <c r="G1131" s="8" t="s">
        <v>549</v>
      </c>
    </row>
    <row r="1132" spans="1:7" ht="15" customHeight="1" x14ac:dyDescent="0.3">
      <c r="A1132" s="93" t="s">
        <v>582</v>
      </c>
      <c r="B1132" s="93" t="s">
        <v>96</v>
      </c>
      <c r="C1132" s="93" t="s">
        <v>94</v>
      </c>
      <c r="D1132" s="93" t="s">
        <v>503</v>
      </c>
      <c r="E1132" s="93" t="s">
        <v>507</v>
      </c>
      <c r="F1132" s="17">
        <v>0</v>
      </c>
      <c r="G1132" s="8" t="s">
        <v>549</v>
      </c>
    </row>
    <row r="1133" spans="1:7" ht="15" customHeight="1" x14ac:dyDescent="0.3">
      <c r="A1133" s="93" t="s">
        <v>582</v>
      </c>
      <c r="B1133" s="93" t="s">
        <v>96</v>
      </c>
      <c r="C1133" s="93" t="s">
        <v>94</v>
      </c>
      <c r="D1133" s="93" t="s">
        <v>503</v>
      </c>
      <c r="E1133" s="93" t="s">
        <v>508</v>
      </c>
      <c r="F1133" s="17">
        <v>0</v>
      </c>
      <c r="G1133" s="8" t="s">
        <v>549</v>
      </c>
    </row>
    <row r="1134" spans="1:7" ht="15" customHeight="1" x14ac:dyDescent="0.3">
      <c r="A1134" s="93" t="s">
        <v>582</v>
      </c>
      <c r="B1134" s="93" t="s">
        <v>96</v>
      </c>
      <c r="C1134" s="93" t="s">
        <v>94</v>
      </c>
      <c r="D1134" s="93" t="s">
        <v>503</v>
      </c>
      <c r="E1134" s="93" t="s">
        <v>509</v>
      </c>
      <c r="F1134" s="17">
        <v>0</v>
      </c>
      <c r="G1134" s="8" t="s">
        <v>549</v>
      </c>
    </row>
    <row r="1135" spans="1:7" ht="15" customHeight="1" x14ac:dyDescent="0.3">
      <c r="A1135" s="93" t="s">
        <v>582</v>
      </c>
      <c r="B1135" s="93" t="s">
        <v>96</v>
      </c>
      <c r="C1135" s="93" t="s">
        <v>94</v>
      </c>
      <c r="D1135" s="93" t="s">
        <v>503</v>
      </c>
      <c r="E1135" s="93" t="s">
        <v>510</v>
      </c>
      <c r="F1135" s="17">
        <v>0</v>
      </c>
      <c r="G1135" s="8" t="s">
        <v>549</v>
      </c>
    </row>
    <row r="1136" spans="1:7" ht="15" customHeight="1" x14ac:dyDescent="0.3">
      <c r="A1136" s="93" t="s">
        <v>582</v>
      </c>
      <c r="B1136" s="93" t="s">
        <v>96</v>
      </c>
      <c r="C1136" s="93" t="s">
        <v>94</v>
      </c>
      <c r="D1136" s="93" t="s">
        <v>503</v>
      </c>
      <c r="E1136" s="93" t="s">
        <v>511</v>
      </c>
      <c r="F1136" s="17">
        <v>0</v>
      </c>
      <c r="G1136" s="8" t="s">
        <v>549</v>
      </c>
    </row>
    <row r="1137" spans="1:7" ht="15" customHeight="1" x14ac:dyDescent="0.3">
      <c r="A1137" s="93" t="s">
        <v>582</v>
      </c>
      <c r="B1137" s="93" t="s">
        <v>96</v>
      </c>
      <c r="C1137" s="93" t="s">
        <v>94</v>
      </c>
      <c r="D1137" s="93" t="s">
        <v>503</v>
      </c>
      <c r="E1137" s="93" t="s">
        <v>512</v>
      </c>
      <c r="F1137" s="17">
        <v>0</v>
      </c>
      <c r="G1137" s="8" t="s">
        <v>549</v>
      </c>
    </row>
    <row r="1138" spans="1:7" ht="15" customHeight="1" x14ac:dyDescent="0.3">
      <c r="A1138" s="93" t="s">
        <v>583</v>
      </c>
      <c r="B1138" s="93" t="s">
        <v>93</v>
      </c>
      <c r="C1138" s="93" t="s">
        <v>94</v>
      </c>
      <c r="D1138" s="93" t="s">
        <v>503</v>
      </c>
      <c r="E1138" s="93" t="s">
        <v>504</v>
      </c>
      <c r="F1138" s="17">
        <v>0</v>
      </c>
      <c r="G1138" s="8" t="s">
        <v>549</v>
      </c>
    </row>
    <row r="1139" spans="1:7" ht="15" customHeight="1" x14ac:dyDescent="0.3">
      <c r="A1139" s="93" t="s">
        <v>583</v>
      </c>
      <c r="B1139" s="93" t="s">
        <v>93</v>
      </c>
      <c r="C1139" s="93" t="s">
        <v>94</v>
      </c>
      <c r="D1139" s="93" t="s">
        <v>503</v>
      </c>
      <c r="E1139" s="93" t="s">
        <v>506</v>
      </c>
      <c r="F1139" s="17">
        <v>0</v>
      </c>
      <c r="G1139" s="8" t="s">
        <v>549</v>
      </c>
    </row>
    <row r="1140" spans="1:7" ht="15" customHeight="1" x14ac:dyDescent="0.3">
      <c r="A1140" s="93" t="s">
        <v>583</v>
      </c>
      <c r="B1140" s="93" t="s">
        <v>93</v>
      </c>
      <c r="C1140" s="93" t="s">
        <v>94</v>
      </c>
      <c r="D1140" s="93" t="s">
        <v>503</v>
      </c>
      <c r="E1140" s="93" t="s">
        <v>507</v>
      </c>
      <c r="F1140" s="17">
        <v>0</v>
      </c>
      <c r="G1140" s="8" t="s">
        <v>549</v>
      </c>
    </row>
    <row r="1141" spans="1:7" ht="15" customHeight="1" x14ac:dyDescent="0.3">
      <c r="A1141" s="93" t="s">
        <v>583</v>
      </c>
      <c r="B1141" s="93" t="s">
        <v>93</v>
      </c>
      <c r="C1141" s="93" t="s">
        <v>94</v>
      </c>
      <c r="D1141" s="93" t="s">
        <v>503</v>
      </c>
      <c r="E1141" s="93" t="s">
        <v>508</v>
      </c>
      <c r="F1141" s="17">
        <v>0</v>
      </c>
      <c r="G1141" s="8" t="s">
        <v>549</v>
      </c>
    </row>
    <row r="1142" spans="1:7" ht="15" customHeight="1" x14ac:dyDescent="0.3">
      <c r="A1142" s="93" t="s">
        <v>583</v>
      </c>
      <c r="B1142" s="93" t="s">
        <v>93</v>
      </c>
      <c r="C1142" s="93" t="s">
        <v>94</v>
      </c>
      <c r="D1142" s="93" t="s">
        <v>503</v>
      </c>
      <c r="E1142" s="93" t="s">
        <v>509</v>
      </c>
      <c r="F1142" s="17">
        <v>0</v>
      </c>
      <c r="G1142" s="8" t="s">
        <v>549</v>
      </c>
    </row>
    <row r="1143" spans="1:7" ht="15" customHeight="1" x14ac:dyDescent="0.3">
      <c r="A1143" s="93" t="s">
        <v>583</v>
      </c>
      <c r="B1143" s="93" t="s">
        <v>93</v>
      </c>
      <c r="C1143" s="93" t="s">
        <v>94</v>
      </c>
      <c r="D1143" s="93" t="s">
        <v>503</v>
      </c>
      <c r="E1143" s="93" t="s">
        <v>510</v>
      </c>
      <c r="F1143" s="17">
        <v>0</v>
      </c>
      <c r="G1143" s="8" t="s">
        <v>549</v>
      </c>
    </row>
    <row r="1144" spans="1:7" ht="15" customHeight="1" x14ac:dyDescent="0.3">
      <c r="A1144" s="93" t="s">
        <v>583</v>
      </c>
      <c r="B1144" s="93" t="s">
        <v>93</v>
      </c>
      <c r="C1144" s="93" t="s">
        <v>94</v>
      </c>
      <c r="D1144" s="93" t="s">
        <v>503</v>
      </c>
      <c r="E1144" s="93" t="s">
        <v>511</v>
      </c>
      <c r="F1144" s="17">
        <v>0</v>
      </c>
      <c r="G1144" s="8" t="s">
        <v>549</v>
      </c>
    </row>
    <row r="1145" spans="1:7" ht="15" customHeight="1" x14ac:dyDescent="0.3">
      <c r="A1145" s="93" t="s">
        <v>583</v>
      </c>
      <c r="B1145" s="93" t="s">
        <v>93</v>
      </c>
      <c r="C1145" s="93" t="s">
        <v>94</v>
      </c>
      <c r="D1145" s="93" t="s">
        <v>503</v>
      </c>
      <c r="E1145" s="93" t="s">
        <v>512</v>
      </c>
      <c r="F1145" s="17">
        <v>0</v>
      </c>
      <c r="G1145" s="8" t="s">
        <v>549</v>
      </c>
    </row>
    <row r="1146" spans="1:7" ht="15" customHeight="1" x14ac:dyDescent="0.3">
      <c r="A1146" s="93" t="s">
        <v>583</v>
      </c>
      <c r="B1146" s="93" t="s">
        <v>96</v>
      </c>
      <c r="C1146" s="93" t="s">
        <v>94</v>
      </c>
      <c r="D1146" s="93" t="s">
        <v>503</v>
      </c>
      <c r="E1146" s="93" t="s">
        <v>504</v>
      </c>
      <c r="F1146" s="17">
        <v>0</v>
      </c>
      <c r="G1146" s="8" t="s">
        <v>549</v>
      </c>
    </row>
    <row r="1147" spans="1:7" ht="15" customHeight="1" x14ac:dyDescent="0.3">
      <c r="A1147" s="93" t="s">
        <v>583</v>
      </c>
      <c r="B1147" s="93" t="s">
        <v>96</v>
      </c>
      <c r="C1147" s="93" t="s">
        <v>94</v>
      </c>
      <c r="D1147" s="93" t="s">
        <v>503</v>
      </c>
      <c r="E1147" s="93" t="s">
        <v>506</v>
      </c>
      <c r="F1147" s="17">
        <v>0</v>
      </c>
      <c r="G1147" s="8" t="s">
        <v>549</v>
      </c>
    </row>
    <row r="1148" spans="1:7" ht="15" customHeight="1" x14ac:dyDescent="0.3">
      <c r="A1148" s="93" t="s">
        <v>583</v>
      </c>
      <c r="B1148" s="93" t="s">
        <v>96</v>
      </c>
      <c r="C1148" s="93" t="s">
        <v>94</v>
      </c>
      <c r="D1148" s="93" t="s">
        <v>503</v>
      </c>
      <c r="E1148" s="93" t="s">
        <v>507</v>
      </c>
      <c r="F1148" s="17">
        <v>0</v>
      </c>
      <c r="G1148" s="8" t="s">
        <v>549</v>
      </c>
    </row>
    <row r="1149" spans="1:7" ht="15" customHeight="1" x14ac:dyDescent="0.3">
      <c r="A1149" s="93" t="s">
        <v>583</v>
      </c>
      <c r="B1149" s="93" t="s">
        <v>96</v>
      </c>
      <c r="C1149" s="93" t="s">
        <v>94</v>
      </c>
      <c r="D1149" s="93" t="s">
        <v>503</v>
      </c>
      <c r="E1149" s="93" t="s">
        <v>508</v>
      </c>
      <c r="F1149" s="17">
        <v>0</v>
      </c>
      <c r="G1149" s="8" t="s">
        <v>549</v>
      </c>
    </row>
    <row r="1150" spans="1:7" ht="15" customHeight="1" x14ac:dyDescent="0.3">
      <c r="A1150" s="93" t="s">
        <v>583</v>
      </c>
      <c r="B1150" s="93" t="s">
        <v>96</v>
      </c>
      <c r="C1150" s="93" t="s">
        <v>94</v>
      </c>
      <c r="D1150" s="93" t="s">
        <v>503</v>
      </c>
      <c r="E1150" s="93" t="s">
        <v>509</v>
      </c>
      <c r="F1150" s="17">
        <v>0</v>
      </c>
      <c r="G1150" s="8" t="s">
        <v>549</v>
      </c>
    </row>
    <row r="1151" spans="1:7" ht="15" customHeight="1" x14ac:dyDescent="0.3">
      <c r="A1151" s="93" t="s">
        <v>583</v>
      </c>
      <c r="B1151" s="93" t="s">
        <v>96</v>
      </c>
      <c r="C1151" s="93" t="s">
        <v>94</v>
      </c>
      <c r="D1151" s="93" t="s">
        <v>503</v>
      </c>
      <c r="E1151" s="93" t="s">
        <v>510</v>
      </c>
      <c r="F1151" s="17">
        <v>0</v>
      </c>
      <c r="G1151" s="8" t="s">
        <v>549</v>
      </c>
    </row>
    <row r="1152" spans="1:7" ht="15" customHeight="1" x14ac:dyDescent="0.3">
      <c r="A1152" s="93" t="s">
        <v>583</v>
      </c>
      <c r="B1152" s="93" t="s">
        <v>96</v>
      </c>
      <c r="C1152" s="93" t="s">
        <v>94</v>
      </c>
      <c r="D1152" s="93" t="s">
        <v>503</v>
      </c>
      <c r="E1152" s="93" t="s">
        <v>511</v>
      </c>
      <c r="F1152" s="17">
        <v>0</v>
      </c>
      <c r="G1152" s="8" t="s">
        <v>549</v>
      </c>
    </row>
    <row r="1153" spans="1:7" ht="15" customHeight="1" x14ac:dyDescent="0.3">
      <c r="A1153" s="93" t="s">
        <v>583</v>
      </c>
      <c r="B1153" s="93" t="s">
        <v>96</v>
      </c>
      <c r="C1153" s="93" t="s">
        <v>94</v>
      </c>
      <c r="D1153" s="93" t="s">
        <v>503</v>
      </c>
      <c r="E1153" s="93" t="s">
        <v>512</v>
      </c>
      <c r="F1153" s="17">
        <v>0</v>
      </c>
      <c r="G1153" s="8" t="s">
        <v>549</v>
      </c>
    </row>
    <row r="1154" spans="1:7" ht="15" customHeight="1" x14ac:dyDescent="0.3">
      <c r="A1154" s="93" t="s">
        <v>584</v>
      </c>
      <c r="B1154" s="93" t="s">
        <v>93</v>
      </c>
      <c r="C1154" s="93" t="s">
        <v>94</v>
      </c>
      <c r="D1154" s="93" t="s">
        <v>503</v>
      </c>
      <c r="E1154" s="93" t="s">
        <v>504</v>
      </c>
      <c r="F1154" s="17">
        <v>0</v>
      </c>
      <c r="G1154" s="8" t="s">
        <v>549</v>
      </c>
    </row>
    <row r="1155" spans="1:7" ht="15" customHeight="1" x14ac:dyDescent="0.3">
      <c r="A1155" s="93" t="s">
        <v>584</v>
      </c>
      <c r="B1155" s="93" t="s">
        <v>93</v>
      </c>
      <c r="C1155" s="93" t="s">
        <v>94</v>
      </c>
      <c r="D1155" s="93" t="s">
        <v>503</v>
      </c>
      <c r="E1155" s="93" t="s">
        <v>506</v>
      </c>
      <c r="F1155" s="17">
        <v>0</v>
      </c>
      <c r="G1155" s="8" t="s">
        <v>549</v>
      </c>
    </row>
    <row r="1156" spans="1:7" ht="15" customHeight="1" x14ac:dyDescent="0.3">
      <c r="A1156" s="93" t="s">
        <v>584</v>
      </c>
      <c r="B1156" s="93" t="s">
        <v>93</v>
      </c>
      <c r="C1156" s="93" t="s">
        <v>94</v>
      </c>
      <c r="D1156" s="93" t="s">
        <v>503</v>
      </c>
      <c r="E1156" s="93" t="s">
        <v>507</v>
      </c>
      <c r="F1156" s="17">
        <v>0</v>
      </c>
      <c r="G1156" s="8" t="s">
        <v>549</v>
      </c>
    </row>
    <row r="1157" spans="1:7" ht="15" customHeight="1" x14ac:dyDescent="0.3">
      <c r="A1157" s="93" t="s">
        <v>584</v>
      </c>
      <c r="B1157" s="93" t="s">
        <v>93</v>
      </c>
      <c r="C1157" s="93" t="s">
        <v>94</v>
      </c>
      <c r="D1157" s="93" t="s">
        <v>503</v>
      </c>
      <c r="E1157" s="93" t="s">
        <v>508</v>
      </c>
      <c r="F1157" s="17">
        <v>0</v>
      </c>
      <c r="G1157" s="8" t="s">
        <v>549</v>
      </c>
    </row>
    <row r="1158" spans="1:7" ht="15" customHeight="1" x14ac:dyDescent="0.3">
      <c r="A1158" s="93" t="s">
        <v>584</v>
      </c>
      <c r="B1158" s="93" t="s">
        <v>93</v>
      </c>
      <c r="C1158" s="93" t="s">
        <v>94</v>
      </c>
      <c r="D1158" s="93" t="s">
        <v>503</v>
      </c>
      <c r="E1158" s="93" t="s">
        <v>509</v>
      </c>
      <c r="F1158" s="17">
        <v>0</v>
      </c>
      <c r="G1158" s="8" t="s">
        <v>549</v>
      </c>
    </row>
    <row r="1159" spans="1:7" ht="15" customHeight="1" x14ac:dyDescent="0.3">
      <c r="A1159" s="93" t="s">
        <v>584</v>
      </c>
      <c r="B1159" s="93" t="s">
        <v>93</v>
      </c>
      <c r="C1159" s="93" t="s">
        <v>94</v>
      </c>
      <c r="D1159" s="93" t="s">
        <v>503</v>
      </c>
      <c r="E1159" s="93" t="s">
        <v>510</v>
      </c>
      <c r="F1159" s="17">
        <v>0</v>
      </c>
      <c r="G1159" s="8" t="s">
        <v>549</v>
      </c>
    </row>
    <row r="1160" spans="1:7" ht="15" customHeight="1" x14ac:dyDescent="0.3">
      <c r="A1160" s="93" t="s">
        <v>584</v>
      </c>
      <c r="B1160" s="93" t="s">
        <v>93</v>
      </c>
      <c r="C1160" s="93" t="s">
        <v>94</v>
      </c>
      <c r="D1160" s="93" t="s">
        <v>503</v>
      </c>
      <c r="E1160" s="93" t="s">
        <v>511</v>
      </c>
      <c r="F1160" s="17">
        <v>0</v>
      </c>
      <c r="G1160" s="8" t="s">
        <v>549</v>
      </c>
    </row>
    <row r="1161" spans="1:7" ht="15" customHeight="1" x14ac:dyDescent="0.3">
      <c r="A1161" s="93" t="s">
        <v>584</v>
      </c>
      <c r="B1161" s="93" t="s">
        <v>93</v>
      </c>
      <c r="C1161" s="93" t="s">
        <v>94</v>
      </c>
      <c r="D1161" s="93" t="s">
        <v>503</v>
      </c>
      <c r="E1161" s="93" t="s">
        <v>512</v>
      </c>
      <c r="F1161" s="17">
        <v>0</v>
      </c>
      <c r="G1161" s="8" t="s">
        <v>549</v>
      </c>
    </row>
    <row r="1162" spans="1:7" ht="15" customHeight="1" x14ac:dyDescent="0.3">
      <c r="A1162" s="93" t="s">
        <v>584</v>
      </c>
      <c r="B1162" s="93" t="s">
        <v>96</v>
      </c>
      <c r="C1162" s="93" t="s">
        <v>94</v>
      </c>
      <c r="D1162" s="93" t="s">
        <v>503</v>
      </c>
      <c r="E1162" s="93" t="s">
        <v>504</v>
      </c>
      <c r="F1162" s="17">
        <v>0</v>
      </c>
      <c r="G1162" s="8" t="s">
        <v>549</v>
      </c>
    </row>
    <row r="1163" spans="1:7" ht="15" customHeight="1" x14ac:dyDescent="0.3">
      <c r="A1163" s="93" t="s">
        <v>584</v>
      </c>
      <c r="B1163" s="93" t="s">
        <v>96</v>
      </c>
      <c r="C1163" s="93" t="s">
        <v>94</v>
      </c>
      <c r="D1163" s="93" t="s">
        <v>503</v>
      </c>
      <c r="E1163" s="93" t="s">
        <v>506</v>
      </c>
      <c r="F1163" s="17">
        <v>0</v>
      </c>
      <c r="G1163" s="8" t="s">
        <v>549</v>
      </c>
    </row>
    <row r="1164" spans="1:7" ht="15" customHeight="1" x14ac:dyDescent="0.3">
      <c r="A1164" s="93" t="s">
        <v>584</v>
      </c>
      <c r="B1164" s="93" t="s">
        <v>96</v>
      </c>
      <c r="C1164" s="93" t="s">
        <v>94</v>
      </c>
      <c r="D1164" s="93" t="s">
        <v>503</v>
      </c>
      <c r="E1164" s="93" t="s">
        <v>507</v>
      </c>
      <c r="F1164" s="17">
        <v>0</v>
      </c>
      <c r="G1164" s="8" t="s">
        <v>549</v>
      </c>
    </row>
    <row r="1165" spans="1:7" ht="15" customHeight="1" x14ac:dyDescent="0.3">
      <c r="A1165" s="93" t="s">
        <v>584</v>
      </c>
      <c r="B1165" s="93" t="s">
        <v>96</v>
      </c>
      <c r="C1165" s="93" t="s">
        <v>94</v>
      </c>
      <c r="D1165" s="93" t="s">
        <v>503</v>
      </c>
      <c r="E1165" s="93" t="s">
        <v>508</v>
      </c>
      <c r="F1165" s="17">
        <v>0</v>
      </c>
      <c r="G1165" s="8" t="s">
        <v>549</v>
      </c>
    </row>
    <row r="1166" spans="1:7" ht="15" customHeight="1" x14ac:dyDescent="0.3">
      <c r="A1166" s="93" t="s">
        <v>584</v>
      </c>
      <c r="B1166" s="93" t="s">
        <v>96</v>
      </c>
      <c r="C1166" s="93" t="s">
        <v>94</v>
      </c>
      <c r="D1166" s="93" t="s">
        <v>503</v>
      </c>
      <c r="E1166" s="93" t="s">
        <v>509</v>
      </c>
      <c r="F1166" s="17">
        <v>0</v>
      </c>
      <c r="G1166" s="8" t="s">
        <v>549</v>
      </c>
    </row>
    <row r="1167" spans="1:7" ht="15" customHeight="1" x14ac:dyDescent="0.3">
      <c r="A1167" s="93" t="s">
        <v>584</v>
      </c>
      <c r="B1167" s="93" t="s">
        <v>96</v>
      </c>
      <c r="C1167" s="93" t="s">
        <v>94</v>
      </c>
      <c r="D1167" s="93" t="s">
        <v>503</v>
      </c>
      <c r="E1167" s="93" t="s">
        <v>510</v>
      </c>
      <c r="F1167" s="17">
        <v>0</v>
      </c>
      <c r="G1167" s="8" t="s">
        <v>549</v>
      </c>
    </row>
    <row r="1168" spans="1:7" ht="15" customHeight="1" x14ac:dyDescent="0.3">
      <c r="A1168" s="93" t="s">
        <v>584</v>
      </c>
      <c r="B1168" s="93" t="s">
        <v>96</v>
      </c>
      <c r="C1168" s="93" t="s">
        <v>94</v>
      </c>
      <c r="D1168" s="93" t="s">
        <v>503</v>
      </c>
      <c r="E1168" s="93" t="s">
        <v>511</v>
      </c>
      <c r="F1168" s="17">
        <v>0</v>
      </c>
      <c r="G1168" s="8" t="s">
        <v>549</v>
      </c>
    </row>
    <row r="1169" spans="1:7" ht="15" customHeight="1" x14ac:dyDescent="0.3">
      <c r="A1169" s="93" t="s">
        <v>584</v>
      </c>
      <c r="B1169" s="93" t="s">
        <v>96</v>
      </c>
      <c r="C1169" s="93" t="s">
        <v>94</v>
      </c>
      <c r="D1169" s="93" t="s">
        <v>503</v>
      </c>
      <c r="E1169" s="93" t="s">
        <v>512</v>
      </c>
      <c r="F1169" s="17">
        <v>0</v>
      </c>
      <c r="G1169" s="8" t="s">
        <v>549</v>
      </c>
    </row>
    <row r="1170" spans="1:7" ht="15" customHeight="1" x14ac:dyDescent="0.3">
      <c r="A1170" s="93" t="s">
        <v>585</v>
      </c>
      <c r="B1170" s="93" t="s">
        <v>93</v>
      </c>
      <c r="C1170" s="93" t="s">
        <v>94</v>
      </c>
      <c r="D1170" s="93" t="s">
        <v>503</v>
      </c>
      <c r="E1170" s="93" t="s">
        <v>504</v>
      </c>
      <c r="F1170" s="17">
        <v>0</v>
      </c>
      <c r="G1170" s="8" t="s">
        <v>549</v>
      </c>
    </row>
    <row r="1171" spans="1:7" ht="15" customHeight="1" x14ac:dyDescent="0.3">
      <c r="A1171" s="93" t="s">
        <v>585</v>
      </c>
      <c r="B1171" s="93" t="s">
        <v>93</v>
      </c>
      <c r="C1171" s="93" t="s">
        <v>94</v>
      </c>
      <c r="D1171" s="93" t="s">
        <v>503</v>
      </c>
      <c r="E1171" s="93" t="s">
        <v>506</v>
      </c>
      <c r="F1171" s="17">
        <v>0</v>
      </c>
      <c r="G1171" s="8" t="s">
        <v>549</v>
      </c>
    </row>
    <row r="1172" spans="1:7" ht="15" customHeight="1" x14ac:dyDescent="0.3">
      <c r="A1172" s="93" t="s">
        <v>585</v>
      </c>
      <c r="B1172" s="93" t="s">
        <v>93</v>
      </c>
      <c r="C1172" s="93" t="s">
        <v>94</v>
      </c>
      <c r="D1172" s="93" t="s">
        <v>503</v>
      </c>
      <c r="E1172" s="93" t="s">
        <v>507</v>
      </c>
      <c r="F1172" s="17">
        <v>0</v>
      </c>
      <c r="G1172" s="8" t="s">
        <v>549</v>
      </c>
    </row>
    <row r="1173" spans="1:7" ht="15" customHeight="1" x14ac:dyDescent="0.3">
      <c r="A1173" s="93" t="s">
        <v>585</v>
      </c>
      <c r="B1173" s="93" t="s">
        <v>93</v>
      </c>
      <c r="C1173" s="93" t="s">
        <v>94</v>
      </c>
      <c r="D1173" s="93" t="s">
        <v>503</v>
      </c>
      <c r="E1173" s="93" t="s">
        <v>508</v>
      </c>
      <c r="F1173" s="17">
        <v>0</v>
      </c>
      <c r="G1173" s="8" t="s">
        <v>549</v>
      </c>
    </row>
    <row r="1174" spans="1:7" ht="15" customHeight="1" x14ac:dyDescent="0.3">
      <c r="A1174" s="93" t="s">
        <v>585</v>
      </c>
      <c r="B1174" s="93" t="s">
        <v>93</v>
      </c>
      <c r="C1174" s="93" t="s">
        <v>94</v>
      </c>
      <c r="D1174" s="93" t="s">
        <v>503</v>
      </c>
      <c r="E1174" s="93" t="s">
        <v>509</v>
      </c>
      <c r="F1174" s="17">
        <v>0</v>
      </c>
      <c r="G1174" s="8" t="s">
        <v>549</v>
      </c>
    </row>
    <row r="1175" spans="1:7" ht="15" customHeight="1" x14ac:dyDescent="0.3">
      <c r="A1175" s="93" t="s">
        <v>585</v>
      </c>
      <c r="B1175" s="93" t="s">
        <v>93</v>
      </c>
      <c r="C1175" s="93" t="s">
        <v>94</v>
      </c>
      <c r="D1175" s="93" t="s">
        <v>503</v>
      </c>
      <c r="E1175" s="93" t="s">
        <v>510</v>
      </c>
      <c r="F1175" s="17">
        <v>0</v>
      </c>
      <c r="G1175" s="8" t="s">
        <v>549</v>
      </c>
    </row>
    <row r="1176" spans="1:7" ht="15" customHeight="1" x14ac:dyDescent="0.3">
      <c r="A1176" s="93" t="s">
        <v>585</v>
      </c>
      <c r="B1176" s="93" t="s">
        <v>93</v>
      </c>
      <c r="C1176" s="93" t="s">
        <v>94</v>
      </c>
      <c r="D1176" s="93" t="s">
        <v>503</v>
      </c>
      <c r="E1176" s="93" t="s">
        <v>511</v>
      </c>
      <c r="F1176" s="17">
        <v>0</v>
      </c>
      <c r="G1176" s="8" t="s">
        <v>549</v>
      </c>
    </row>
    <row r="1177" spans="1:7" ht="15" customHeight="1" x14ac:dyDescent="0.3">
      <c r="A1177" s="93" t="s">
        <v>585</v>
      </c>
      <c r="B1177" s="93" t="s">
        <v>93</v>
      </c>
      <c r="C1177" s="93" t="s">
        <v>94</v>
      </c>
      <c r="D1177" s="93" t="s">
        <v>503</v>
      </c>
      <c r="E1177" s="93" t="s">
        <v>512</v>
      </c>
      <c r="F1177" s="17">
        <v>0</v>
      </c>
      <c r="G1177" s="8" t="s">
        <v>549</v>
      </c>
    </row>
    <row r="1178" spans="1:7" ht="15" customHeight="1" x14ac:dyDescent="0.3">
      <c r="A1178" s="93" t="s">
        <v>585</v>
      </c>
      <c r="B1178" s="93" t="s">
        <v>96</v>
      </c>
      <c r="C1178" s="93" t="s">
        <v>94</v>
      </c>
      <c r="D1178" s="93" t="s">
        <v>503</v>
      </c>
      <c r="E1178" s="93" t="s">
        <v>504</v>
      </c>
      <c r="F1178" s="17">
        <v>0</v>
      </c>
      <c r="G1178" s="8" t="s">
        <v>549</v>
      </c>
    </row>
    <row r="1179" spans="1:7" ht="15" customHeight="1" x14ac:dyDescent="0.3">
      <c r="A1179" s="93" t="s">
        <v>585</v>
      </c>
      <c r="B1179" s="93" t="s">
        <v>96</v>
      </c>
      <c r="C1179" s="93" t="s">
        <v>94</v>
      </c>
      <c r="D1179" s="93" t="s">
        <v>503</v>
      </c>
      <c r="E1179" s="93" t="s">
        <v>506</v>
      </c>
      <c r="F1179" s="17">
        <v>0</v>
      </c>
      <c r="G1179" s="8" t="s">
        <v>549</v>
      </c>
    </row>
    <row r="1180" spans="1:7" ht="15" customHeight="1" x14ac:dyDescent="0.3">
      <c r="A1180" s="93" t="s">
        <v>585</v>
      </c>
      <c r="B1180" s="93" t="s">
        <v>96</v>
      </c>
      <c r="C1180" s="93" t="s">
        <v>94</v>
      </c>
      <c r="D1180" s="93" t="s">
        <v>503</v>
      </c>
      <c r="E1180" s="93" t="s">
        <v>507</v>
      </c>
      <c r="F1180" s="17">
        <v>0</v>
      </c>
      <c r="G1180" s="8" t="s">
        <v>549</v>
      </c>
    </row>
    <row r="1181" spans="1:7" ht="15" customHeight="1" x14ac:dyDescent="0.3">
      <c r="A1181" s="93" t="s">
        <v>585</v>
      </c>
      <c r="B1181" s="93" t="s">
        <v>96</v>
      </c>
      <c r="C1181" s="93" t="s">
        <v>94</v>
      </c>
      <c r="D1181" s="93" t="s">
        <v>503</v>
      </c>
      <c r="E1181" s="93" t="s">
        <v>508</v>
      </c>
      <c r="F1181" s="17">
        <v>0</v>
      </c>
      <c r="G1181" s="8" t="s">
        <v>549</v>
      </c>
    </row>
    <row r="1182" spans="1:7" ht="15" customHeight="1" x14ac:dyDescent="0.3">
      <c r="A1182" s="93" t="s">
        <v>585</v>
      </c>
      <c r="B1182" s="93" t="s">
        <v>96</v>
      </c>
      <c r="C1182" s="93" t="s">
        <v>94</v>
      </c>
      <c r="D1182" s="93" t="s">
        <v>503</v>
      </c>
      <c r="E1182" s="93" t="s">
        <v>509</v>
      </c>
      <c r="F1182" s="17">
        <v>0</v>
      </c>
      <c r="G1182" s="8" t="s">
        <v>549</v>
      </c>
    </row>
    <row r="1183" spans="1:7" ht="15" customHeight="1" x14ac:dyDescent="0.3">
      <c r="A1183" s="93" t="s">
        <v>585</v>
      </c>
      <c r="B1183" s="93" t="s">
        <v>96</v>
      </c>
      <c r="C1183" s="93" t="s">
        <v>94</v>
      </c>
      <c r="D1183" s="93" t="s">
        <v>503</v>
      </c>
      <c r="E1183" s="93" t="s">
        <v>510</v>
      </c>
      <c r="F1183" s="17">
        <v>0</v>
      </c>
      <c r="G1183" s="8" t="s">
        <v>549</v>
      </c>
    </row>
    <row r="1184" spans="1:7" ht="15" customHeight="1" x14ac:dyDescent="0.3">
      <c r="A1184" s="93" t="s">
        <v>585</v>
      </c>
      <c r="B1184" s="93" t="s">
        <v>96</v>
      </c>
      <c r="C1184" s="93" t="s">
        <v>94</v>
      </c>
      <c r="D1184" s="93" t="s">
        <v>503</v>
      </c>
      <c r="E1184" s="93" t="s">
        <v>511</v>
      </c>
      <c r="F1184" s="17">
        <v>0</v>
      </c>
      <c r="G1184" s="8" t="s">
        <v>549</v>
      </c>
    </row>
    <row r="1185" spans="1:7" ht="15" customHeight="1" x14ac:dyDescent="0.3">
      <c r="A1185" s="93" t="s">
        <v>585</v>
      </c>
      <c r="B1185" s="93" t="s">
        <v>96</v>
      </c>
      <c r="C1185" s="93" t="s">
        <v>94</v>
      </c>
      <c r="D1185" s="93" t="s">
        <v>503</v>
      </c>
      <c r="E1185" s="93" t="s">
        <v>512</v>
      </c>
      <c r="F1185" s="17">
        <v>0</v>
      </c>
      <c r="G1185" s="8" t="s">
        <v>549</v>
      </c>
    </row>
    <row r="1186" spans="1:7" ht="15" customHeight="1" x14ac:dyDescent="0.3">
      <c r="A1186" s="93" t="s">
        <v>586</v>
      </c>
      <c r="B1186" s="93" t="s">
        <v>93</v>
      </c>
      <c r="C1186" s="93" t="s">
        <v>94</v>
      </c>
      <c r="D1186" s="93" t="s">
        <v>503</v>
      </c>
      <c r="E1186" s="93" t="s">
        <v>504</v>
      </c>
      <c r="F1186" s="17">
        <v>0</v>
      </c>
      <c r="G1186" s="8" t="s">
        <v>549</v>
      </c>
    </row>
    <row r="1187" spans="1:7" ht="15" customHeight="1" x14ac:dyDescent="0.3">
      <c r="A1187" s="93" t="s">
        <v>586</v>
      </c>
      <c r="B1187" s="93" t="s">
        <v>93</v>
      </c>
      <c r="C1187" s="93" t="s">
        <v>94</v>
      </c>
      <c r="D1187" s="93" t="s">
        <v>503</v>
      </c>
      <c r="E1187" s="93" t="s">
        <v>506</v>
      </c>
      <c r="F1187" s="17">
        <v>0</v>
      </c>
      <c r="G1187" s="8" t="s">
        <v>549</v>
      </c>
    </row>
    <row r="1188" spans="1:7" ht="15" customHeight="1" x14ac:dyDescent="0.3">
      <c r="A1188" s="93" t="s">
        <v>586</v>
      </c>
      <c r="B1188" s="93" t="s">
        <v>93</v>
      </c>
      <c r="C1188" s="93" t="s">
        <v>94</v>
      </c>
      <c r="D1188" s="93" t="s">
        <v>503</v>
      </c>
      <c r="E1188" s="93" t="s">
        <v>507</v>
      </c>
      <c r="F1188" s="17">
        <v>0</v>
      </c>
      <c r="G1188" s="8" t="s">
        <v>549</v>
      </c>
    </row>
    <row r="1189" spans="1:7" ht="15" customHeight="1" x14ac:dyDescent="0.3">
      <c r="A1189" s="93" t="s">
        <v>586</v>
      </c>
      <c r="B1189" s="93" t="s">
        <v>93</v>
      </c>
      <c r="C1189" s="93" t="s">
        <v>94</v>
      </c>
      <c r="D1189" s="93" t="s">
        <v>503</v>
      </c>
      <c r="E1189" s="93" t="s">
        <v>508</v>
      </c>
      <c r="F1189" s="17">
        <v>0</v>
      </c>
      <c r="G1189" s="8" t="s">
        <v>549</v>
      </c>
    </row>
    <row r="1190" spans="1:7" ht="15" customHeight="1" x14ac:dyDescent="0.3">
      <c r="A1190" s="93" t="s">
        <v>586</v>
      </c>
      <c r="B1190" s="93" t="s">
        <v>93</v>
      </c>
      <c r="C1190" s="93" t="s">
        <v>94</v>
      </c>
      <c r="D1190" s="93" t="s">
        <v>503</v>
      </c>
      <c r="E1190" s="93" t="s">
        <v>509</v>
      </c>
      <c r="F1190" s="17">
        <v>0</v>
      </c>
      <c r="G1190" s="8" t="s">
        <v>549</v>
      </c>
    </row>
    <row r="1191" spans="1:7" ht="15" customHeight="1" x14ac:dyDescent="0.3">
      <c r="A1191" s="93" t="s">
        <v>586</v>
      </c>
      <c r="B1191" s="93" t="s">
        <v>93</v>
      </c>
      <c r="C1191" s="93" t="s">
        <v>94</v>
      </c>
      <c r="D1191" s="93" t="s">
        <v>503</v>
      </c>
      <c r="E1191" s="93" t="s">
        <v>510</v>
      </c>
      <c r="F1191" s="17">
        <v>0</v>
      </c>
      <c r="G1191" s="8" t="s">
        <v>549</v>
      </c>
    </row>
    <row r="1192" spans="1:7" ht="15" customHeight="1" x14ac:dyDescent="0.3">
      <c r="A1192" s="93" t="s">
        <v>586</v>
      </c>
      <c r="B1192" s="93" t="s">
        <v>93</v>
      </c>
      <c r="C1192" s="93" t="s">
        <v>94</v>
      </c>
      <c r="D1192" s="93" t="s">
        <v>503</v>
      </c>
      <c r="E1192" s="93" t="s">
        <v>511</v>
      </c>
      <c r="F1192" s="17">
        <v>0</v>
      </c>
      <c r="G1192" s="8" t="s">
        <v>549</v>
      </c>
    </row>
    <row r="1193" spans="1:7" ht="15" customHeight="1" x14ac:dyDescent="0.3">
      <c r="A1193" s="93" t="s">
        <v>586</v>
      </c>
      <c r="B1193" s="93" t="s">
        <v>93</v>
      </c>
      <c r="C1193" s="93" t="s">
        <v>94</v>
      </c>
      <c r="D1193" s="93" t="s">
        <v>503</v>
      </c>
      <c r="E1193" s="93" t="s">
        <v>512</v>
      </c>
      <c r="F1193" s="17">
        <v>0</v>
      </c>
      <c r="G1193" s="8" t="s">
        <v>549</v>
      </c>
    </row>
    <row r="1194" spans="1:7" ht="15" customHeight="1" x14ac:dyDescent="0.3">
      <c r="A1194" s="93" t="s">
        <v>586</v>
      </c>
      <c r="B1194" s="93" t="s">
        <v>96</v>
      </c>
      <c r="C1194" s="93" t="s">
        <v>94</v>
      </c>
      <c r="D1194" s="93" t="s">
        <v>503</v>
      </c>
      <c r="E1194" s="93" t="s">
        <v>504</v>
      </c>
      <c r="F1194" s="17">
        <v>0</v>
      </c>
      <c r="G1194" s="8" t="s">
        <v>549</v>
      </c>
    </row>
    <row r="1195" spans="1:7" ht="15" customHeight="1" x14ac:dyDescent="0.3">
      <c r="A1195" s="93" t="s">
        <v>586</v>
      </c>
      <c r="B1195" s="93" t="s">
        <v>96</v>
      </c>
      <c r="C1195" s="93" t="s">
        <v>94</v>
      </c>
      <c r="D1195" s="93" t="s">
        <v>503</v>
      </c>
      <c r="E1195" s="93" t="s">
        <v>506</v>
      </c>
      <c r="F1195" s="17">
        <v>0</v>
      </c>
      <c r="G1195" s="8" t="s">
        <v>549</v>
      </c>
    </row>
    <row r="1196" spans="1:7" ht="15" customHeight="1" x14ac:dyDescent="0.3">
      <c r="A1196" s="93" t="s">
        <v>586</v>
      </c>
      <c r="B1196" s="93" t="s">
        <v>96</v>
      </c>
      <c r="C1196" s="93" t="s">
        <v>94</v>
      </c>
      <c r="D1196" s="93" t="s">
        <v>503</v>
      </c>
      <c r="E1196" s="93" t="s">
        <v>507</v>
      </c>
      <c r="F1196" s="17">
        <v>0</v>
      </c>
      <c r="G1196" s="8" t="s">
        <v>549</v>
      </c>
    </row>
    <row r="1197" spans="1:7" ht="15" customHeight="1" x14ac:dyDescent="0.3">
      <c r="A1197" s="93" t="s">
        <v>586</v>
      </c>
      <c r="B1197" s="93" t="s">
        <v>96</v>
      </c>
      <c r="C1197" s="93" t="s">
        <v>94</v>
      </c>
      <c r="D1197" s="93" t="s">
        <v>503</v>
      </c>
      <c r="E1197" s="93" t="s">
        <v>508</v>
      </c>
      <c r="F1197" s="17">
        <v>0</v>
      </c>
      <c r="G1197" s="8" t="s">
        <v>549</v>
      </c>
    </row>
    <row r="1198" spans="1:7" ht="15" customHeight="1" x14ac:dyDescent="0.3">
      <c r="A1198" s="93" t="s">
        <v>586</v>
      </c>
      <c r="B1198" s="93" t="s">
        <v>96</v>
      </c>
      <c r="C1198" s="93" t="s">
        <v>94</v>
      </c>
      <c r="D1198" s="93" t="s">
        <v>503</v>
      </c>
      <c r="E1198" s="93" t="s">
        <v>509</v>
      </c>
      <c r="F1198" s="17">
        <v>0</v>
      </c>
      <c r="G1198" s="8" t="s">
        <v>549</v>
      </c>
    </row>
    <row r="1199" spans="1:7" ht="15" customHeight="1" x14ac:dyDescent="0.3">
      <c r="A1199" s="93" t="s">
        <v>586</v>
      </c>
      <c r="B1199" s="93" t="s">
        <v>96</v>
      </c>
      <c r="C1199" s="93" t="s">
        <v>94</v>
      </c>
      <c r="D1199" s="93" t="s">
        <v>503</v>
      </c>
      <c r="E1199" s="93" t="s">
        <v>510</v>
      </c>
      <c r="F1199" s="17">
        <v>0</v>
      </c>
      <c r="G1199" s="8" t="s">
        <v>549</v>
      </c>
    </row>
    <row r="1200" spans="1:7" ht="15" customHeight="1" x14ac:dyDescent="0.3">
      <c r="A1200" s="93" t="s">
        <v>586</v>
      </c>
      <c r="B1200" s="93" t="s">
        <v>96</v>
      </c>
      <c r="C1200" s="93" t="s">
        <v>94</v>
      </c>
      <c r="D1200" s="93" t="s">
        <v>503</v>
      </c>
      <c r="E1200" s="93" t="s">
        <v>511</v>
      </c>
      <c r="F1200" s="17">
        <v>0</v>
      </c>
      <c r="G1200" s="8" t="s">
        <v>549</v>
      </c>
    </row>
    <row r="1201" spans="1:7" ht="15" customHeight="1" x14ac:dyDescent="0.3">
      <c r="A1201" s="93" t="s">
        <v>586</v>
      </c>
      <c r="B1201" s="93" t="s">
        <v>96</v>
      </c>
      <c r="C1201" s="93" t="s">
        <v>94</v>
      </c>
      <c r="D1201" s="93" t="s">
        <v>503</v>
      </c>
      <c r="E1201" s="93" t="s">
        <v>512</v>
      </c>
      <c r="F1201" s="17">
        <v>0</v>
      </c>
      <c r="G1201" s="8" t="s">
        <v>549</v>
      </c>
    </row>
    <row r="1202" spans="1:7" ht="15" customHeight="1" x14ac:dyDescent="0.3">
      <c r="A1202" s="93" t="s">
        <v>587</v>
      </c>
      <c r="B1202" s="93" t="s">
        <v>93</v>
      </c>
      <c r="C1202" s="93" t="s">
        <v>94</v>
      </c>
      <c r="D1202" s="93" t="s">
        <v>503</v>
      </c>
      <c r="E1202" s="93" t="s">
        <v>504</v>
      </c>
      <c r="F1202" s="17">
        <v>0</v>
      </c>
      <c r="G1202" s="8" t="s">
        <v>549</v>
      </c>
    </row>
    <row r="1203" spans="1:7" ht="15" customHeight="1" x14ac:dyDescent="0.3">
      <c r="A1203" s="93" t="s">
        <v>587</v>
      </c>
      <c r="B1203" s="93" t="s">
        <v>93</v>
      </c>
      <c r="C1203" s="93" t="s">
        <v>94</v>
      </c>
      <c r="D1203" s="93" t="s">
        <v>503</v>
      </c>
      <c r="E1203" s="93" t="s">
        <v>506</v>
      </c>
      <c r="F1203" s="17">
        <v>0</v>
      </c>
      <c r="G1203" s="8" t="s">
        <v>549</v>
      </c>
    </row>
    <row r="1204" spans="1:7" ht="15" customHeight="1" x14ac:dyDescent="0.3">
      <c r="A1204" s="93" t="s">
        <v>587</v>
      </c>
      <c r="B1204" s="93" t="s">
        <v>93</v>
      </c>
      <c r="C1204" s="93" t="s">
        <v>94</v>
      </c>
      <c r="D1204" s="93" t="s">
        <v>503</v>
      </c>
      <c r="E1204" s="93" t="s">
        <v>507</v>
      </c>
      <c r="F1204" s="17">
        <v>0</v>
      </c>
      <c r="G1204" s="8" t="s">
        <v>549</v>
      </c>
    </row>
    <row r="1205" spans="1:7" ht="15" customHeight="1" x14ac:dyDescent="0.3">
      <c r="A1205" s="93" t="s">
        <v>587</v>
      </c>
      <c r="B1205" s="93" t="s">
        <v>93</v>
      </c>
      <c r="C1205" s="93" t="s">
        <v>94</v>
      </c>
      <c r="D1205" s="93" t="s">
        <v>503</v>
      </c>
      <c r="E1205" s="93" t="s">
        <v>508</v>
      </c>
      <c r="F1205" s="17">
        <v>0</v>
      </c>
      <c r="G1205" s="8" t="s">
        <v>549</v>
      </c>
    </row>
    <row r="1206" spans="1:7" ht="15" customHeight="1" x14ac:dyDescent="0.3">
      <c r="A1206" s="93" t="s">
        <v>587</v>
      </c>
      <c r="B1206" s="93" t="s">
        <v>93</v>
      </c>
      <c r="C1206" s="93" t="s">
        <v>94</v>
      </c>
      <c r="D1206" s="93" t="s">
        <v>503</v>
      </c>
      <c r="E1206" s="93" t="s">
        <v>509</v>
      </c>
      <c r="F1206" s="17">
        <v>0</v>
      </c>
      <c r="G1206" s="8" t="s">
        <v>549</v>
      </c>
    </row>
    <row r="1207" spans="1:7" ht="15" customHeight="1" x14ac:dyDescent="0.3">
      <c r="A1207" s="93" t="s">
        <v>587</v>
      </c>
      <c r="B1207" s="93" t="s">
        <v>93</v>
      </c>
      <c r="C1207" s="93" t="s">
        <v>94</v>
      </c>
      <c r="D1207" s="93" t="s">
        <v>503</v>
      </c>
      <c r="E1207" s="93" t="s">
        <v>510</v>
      </c>
      <c r="F1207" s="17">
        <v>0</v>
      </c>
      <c r="G1207" s="8" t="s">
        <v>549</v>
      </c>
    </row>
    <row r="1208" spans="1:7" ht="15" customHeight="1" x14ac:dyDescent="0.3">
      <c r="A1208" s="93" t="s">
        <v>587</v>
      </c>
      <c r="B1208" s="93" t="s">
        <v>93</v>
      </c>
      <c r="C1208" s="93" t="s">
        <v>94</v>
      </c>
      <c r="D1208" s="93" t="s">
        <v>503</v>
      </c>
      <c r="E1208" s="93" t="s">
        <v>511</v>
      </c>
      <c r="F1208" s="17">
        <v>0</v>
      </c>
      <c r="G1208" s="8" t="s">
        <v>549</v>
      </c>
    </row>
    <row r="1209" spans="1:7" ht="15" customHeight="1" x14ac:dyDescent="0.3">
      <c r="A1209" s="93" t="s">
        <v>587</v>
      </c>
      <c r="B1209" s="93" t="s">
        <v>93</v>
      </c>
      <c r="C1209" s="93" t="s">
        <v>94</v>
      </c>
      <c r="D1209" s="93" t="s">
        <v>503</v>
      </c>
      <c r="E1209" s="93" t="s">
        <v>512</v>
      </c>
      <c r="F1209" s="17">
        <v>0</v>
      </c>
      <c r="G1209" s="8" t="s">
        <v>549</v>
      </c>
    </row>
    <row r="1210" spans="1:7" ht="15" customHeight="1" x14ac:dyDescent="0.3">
      <c r="A1210" s="93" t="s">
        <v>587</v>
      </c>
      <c r="B1210" s="93" t="s">
        <v>96</v>
      </c>
      <c r="C1210" s="93" t="s">
        <v>94</v>
      </c>
      <c r="D1210" s="93" t="s">
        <v>503</v>
      </c>
      <c r="E1210" s="93" t="s">
        <v>504</v>
      </c>
      <c r="F1210" s="17">
        <v>0</v>
      </c>
      <c r="G1210" s="8" t="s">
        <v>549</v>
      </c>
    </row>
    <row r="1211" spans="1:7" ht="15" customHeight="1" x14ac:dyDescent="0.3">
      <c r="A1211" s="93" t="s">
        <v>587</v>
      </c>
      <c r="B1211" s="93" t="s">
        <v>96</v>
      </c>
      <c r="C1211" s="93" t="s">
        <v>94</v>
      </c>
      <c r="D1211" s="93" t="s">
        <v>503</v>
      </c>
      <c r="E1211" s="93" t="s">
        <v>506</v>
      </c>
      <c r="F1211" s="17">
        <v>0</v>
      </c>
      <c r="G1211" s="8" t="s">
        <v>549</v>
      </c>
    </row>
    <row r="1212" spans="1:7" ht="15" customHeight="1" x14ac:dyDescent="0.3">
      <c r="A1212" s="93" t="s">
        <v>587</v>
      </c>
      <c r="B1212" s="93" t="s">
        <v>96</v>
      </c>
      <c r="C1212" s="93" t="s">
        <v>94</v>
      </c>
      <c r="D1212" s="93" t="s">
        <v>503</v>
      </c>
      <c r="E1212" s="93" t="s">
        <v>507</v>
      </c>
      <c r="F1212" s="17">
        <v>0</v>
      </c>
      <c r="G1212" s="8" t="s">
        <v>549</v>
      </c>
    </row>
    <row r="1213" spans="1:7" ht="15" customHeight="1" x14ac:dyDescent="0.3">
      <c r="A1213" s="93" t="s">
        <v>587</v>
      </c>
      <c r="B1213" s="93" t="s">
        <v>96</v>
      </c>
      <c r="C1213" s="93" t="s">
        <v>94</v>
      </c>
      <c r="D1213" s="93" t="s">
        <v>503</v>
      </c>
      <c r="E1213" s="93" t="s">
        <v>508</v>
      </c>
      <c r="F1213" s="17">
        <v>0</v>
      </c>
      <c r="G1213" s="8" t="s">
        <v>549</v>
      </c>
    </row>
    <row r="1214" spans="1:7" ht="15" customHeight="1" x14ac:dyDescent="0.3">
      <c r="A1214" s="93" t="s">
        <v>587</v>
      </c>
      <c r="B1214" s="93" t="s">
        <v>96</v>
      </c>
      <c r="C1214" s="93" t="s">
        <v>94</v>
      </c>
      <c r="D1214" s="93" t="s">
        <v>503</v>
      </c>
      <c r="E1214" s="93" t="s">
        <v>509</v>
      </c>
      <c r="F1214" s="17">
        <v>0</v>
      </c>
      <c r="G1214" s="8" t="s">
        <v>549</v>
      </c>
    </row>
    <row r="1215" spans="1:7" ht="15" customHeight="1" x14ac:dyDescent="0.3">
      <c r="A1215" s="93" t="s">
        <v>587</v>
      </c>
      <c r="B1215" s="93" t="s">
        <v>96</v>
      </c>
      <c r="C1215" s="93" t="s">
        <v>94</v>
      </c>
      <c r="D1215" s="93" t="s">
        <v>503</v>
      </c>
      <c r="E1215" s="93" t="s">
        <v>510</v>
      </c>
      <c r="F1215" s="17">
        <v>0</v>
      </c>
      <c r="G1215" s="8" t="s">
        <v>549</v>
      </c>
    </row>
    <row r="1216" spans="1:7" ht="15" customHeight="1" x14ac:dyDescent="0.3">
      <c r="A1216" s="93" t="s">
        <v>587</v>
      </c>
      <c r="B1216" s="93" t="s">
        <v>96</v>
      </c>
      <c r="C1216" s="93" t="s">
        <v>94</v>
      </c>
      <c r="D1216" s="93" t="s">
        <v>503</v>
      </c>
      <c r="E1216" s="93" t="s">
        <v>511</v>
      </c>
      <c r="F1216" s="17">
        <v>0</v>
      </c>
      <c r="G1216" s="8" t="s">
        <v>549</v>
      </c>
    </row>
    <row r="1217" spans="1:7" ht="15" customHeight="1" x14ac:dyDescent="0.3">
      <c r="A1217" s="93" t="s">
        <v>587</v>
      </c>
      <c r="B1217" s="93" t="s">
        <v>96</v>
      </c>
      <c r="C1217" s="93" t="s">
        <v>94</v>
      </c>
      <c r="D1217" s="93" t="s">
        <v>503</v>
      </c>
      <c r="E1217" s="93" t="s">
        <v>512</v>
      </c>
      <c r="F1217" s="17">
        <v>0</v>
      </c>
      <c r="G1217" s="8" t="s">
        <v>549</v>
      </c>
    </row>
    <row r="1218" spans="1:7" ht="15" customHeight="1" x14ac:dyDescent="0.3">
      <c r="A1218" s="93" t="s">
        <v>588</v>
      </c>
      <c r="B1218" s="93" t="s">
        <v>93</v>
      </c>
      <c r="C1218" s="93" t="s">
        <v>94</v>
      </c>
      <c r="D1218" s="93" t="s">
        <v>503</v>
      </c>
      <c r="E1218" s="93" t="s">
        <v>504</v>
      </c>
      <c r="F1218" s="17">
        <v>0</v>
      </c>
      <c r="G1218" s="8" t="s">
        <v>549</v>
      </c>
    </row>
    <row r="1219" spans="1:7" ht="15" customHeight="1" x14ac:dyDescent="0.3">
      <c r="A1219" s="93" t="s">
        <v>588</v>
      </c>
      <c r="B1219" s="93" t="s">
        <v>93</v>
      </c>
      <c r="C1219" s="93" t="s">
        <v>94</v>
      </c>
      <c r="D1219" s="93" t="s">
        <v>503</v>
      </c>
      <c r="E1219" s="93" t="s">
        <v>506</v>
      </c>
      <c r="F1219" s="17">
        <v>0</v>
      </c>
      <c r="G1219" s="8" t="s">
        <v>549</v>
      </c>
    </row>
    <row r="1220" spans="1:7" ht="15" customHeight="1" x14ac:dyDescent="0.3">
      <c r="A1220" s="93" t="s">
        <v>588</v>
      </c>
      <c r="B1220" s="93" t="s">
        <v>93</v>
      </c>
      <c r="C1220" s="93" t="s">
        <v>94</v>
      </c>
      <c r="D1220" s="93" t="s">
        <v>503</v>
      </c>
      <c r="E1220" s="93" t="s">
        <v>507</v>
      </c>
      <c r="F1220" s="17">
        <v>0</v>
      </c>
      <c r="G1220" s="8" t="s">
        <v>549</v>
      </c>
    </row>
    <row r="1221" spans="1:7" ht="15" customHeight="1" x14ac:dyDescent="0.3">
      <c r="A1221" s="93" t="s">
        <v>588</v>
      </c>
      <c r="B1221" s="93" t="s">
        <v>93</v>
      </c>
      <c r="C1221" s="93" t="s">
        <v>94</v>
      </c>
      <c r="D1221" s="93" t="s">
        <v>503</v>
      </c>
      <c r="E1221" s="93" t="s">
        <v>508</v>
      </c>
      <c r="F1221" s="17">
        <v>0</v>
      </c>
      <c r="G1221" s="8" t="s">
        <v>549</v>
      </c>
    </row>
    <row r="1222" spans="1:7" ht="15" customHeight="1" x14ac:dyDescent="0.3">
      <c r="A1222" s="93" t="s">
        <v>588</v>
      </c>
      <c r="B1222" s="93" t="s">
        <v>93</v>
      </c>
      <c r="C1222" s="93" t="s">
        <v>94</v>
      </c>
      <c r="D1222" s="93" t="s">
        <v>503</v>
      </c>
      <c r="E1222" s="93" t="s">
        <v>509</v>
      </c>
      <c r="F1222" s="17">
        <v>0</v>
      </c>
      <c r="G1222" s="8" t="s">
        <v>549</v>
      </c>
    </row>
    <row r="1223" spans="1:7" ht="15" customHeight="1" x14ac:dyDescent="0.3">
      <c r="A1223" s="93" t="s">
        <v>588</v>
      </c>
      <c r="B1223" s="93" t="s">
        <v>93</v>
      </c>
      <c r="C1223" s="93" t="s">
        <v>94</v>
      </c>
      <c r="D1223" s="93" t="s">
        <v>503</v>
      </c>
      <c r="E1223" s="93" t="s">
        <v>510</v>
      </c>
      <c r="F1223" s="17">
        <v>0</v>
      </c>
      <c r="G1223" s="8" t="s">
        <v>549</v>
      </c>
    </row>
    <row r="1224" spans="1:7" ht="15" customHeight="1" x14ac:dyDescent="0.3">
      <c r="A1224" s="93" t="s">
        <v>588</v>
      </c>
      <c r="B1224" s="93" t="s">
        <v>93</v>
      </c>
      <c r="C1224" s="93" t="s">
        <v>94</v>
      </c>
      <c r="D1224" s="93" t="s">
        <v>503</v>
      </c>
      <c r="E1224" s="93" t="s">
        <v>511</v>
      </c>
      <c r="F1224" s="17">
        <v>0</v>
      </c>
      <c r="G1224" s="8" t="s">
        <v>549</v>
      </c>
    </row>
    <row r="1225" spans="1:7" ht="15" customHeight="1" x14ac:dyDescent="0.3">
      <c r="A1225" s="93" t="s">
        <v>588</v>
      </c>
      <c r="B1225" s="93" t="s">
        <v>93</v>
      </c>
      <c r="C1225" s="93" t="s">
        <v>94</v>
      </c>
      <c r="D1225" s="93" t="s">
        <v>503</v>
      </c>
      <c r="E1225" s="93" t="s">
        <v>512</v>
      </c>
      <c r="F1225" s="17">
        <v>0</v>
      </c>
      <c r="G1225" s="8" t="s">
        <v>549</v>
      </c>
    </row>
    <row r="1226" spans="1:7" ht="15" customHeight="1" x14ac:dyDescent="0.3">
      <c r="A1226" s="93" t="s">
        <v>588</v>
      </c>
      <c r="B1226" s="93" t="s">
        <v>96</v>
      </c>
      <c r="C1226" s="93" t="s">
        <v>94</v>
      </c>
      <c r="D1226" s="93" t="s">
        <v>503</v>
      </c>
      <c r="E1226" s="93" t="s">
        <v>504</v>
      </c>
      <c r="F1226" s="17">
        <v>0</v>
      </c>
      <c r="G1226" s="8" t="s">
        <v>549</v>
      </c>
    </row>
    <row r="1227" spans="1:7" ht="15" customHeight="1" x14ac:dyDescent="0.3">
      <c r="A1227" s="93" t="s">
        <v>588</v>
      </c>
      <c r="B1227" s="93" t="s">
        <v>96</v>
      </c>
      <c r="C1227" s="93" t="s">
        <v>94</v>
      </c>
      <c r="D1227" s="93" t="s">
        <v>503</v>
      </c>
      <c r="E1227" s="93" t="s">
        <v>506</v>
      </c>
      <c r="F1227" s="17">
        <v>0</v>
      </c>
      <c r="G1227" s="8" t="s">
        <v>549</v>
      </c>
    </row>
    <row r="1228" spans="1:7" ht="15" customHeight="1" x14ac:dyDescent="0.3">
      <c r="A1228" s="93" t="s">
        <v>588</v>
      </c>
      <c r="B1228" s="93" t="s">
        <v>96</v>
      </c>
      <c r="C1228" s="93" t="s">
        <v>94</v>
      </c>
      <c r="D1228" s="93" t="s">
        <v>503</v>
      </c>
      <c r="E1228" s="93" t="s">
        <v>507</v>
      </c>
      <c r="F1228" s="17">
        <v>0</v>
      </c>
      <c r="G1228" s="8" t="s">
        <v>549</v>
      </c>
    </row>
    <row r="1229" spans="1:7" ht="15" customHeight="1" x14ac:dyDescent="0.3">
      <c r="A1229" s="93" t="s">
        <v>588</v>
      </c>
      <c r="B1229" s="93" t="s">
        <v>96</v>
      </c>
      <c r="C1229" s="93" t="s">
        <v>94</v>
      </c>
      <c r="D1229" s="93" t="s">
        <v>503</v>
      </c>
      <c r="E1229" s="93" t="s">
        <v>508</v>
      </c>
      <c r="F1229" s="17">
        <v>0</v>
      </c>
      <c r="G1229" s="8" t="s">
        <v>549</v>
      </c>
    </row>
    <row r="1230" spans="1:7" ht="15" customHeight="1" x14ac:dyDescent="0.3">
      <c r="A1230" s="93" t="s">
        <v>588</v>
      </c>
      <c r="B1230" s="93" t="s">
        <v>96</v>
      </c>
      <c r="C1230" s="93" t="s">
        <v>94</v>
      </c>
      <c r="D1230" s="93" t="s">
        <v>503</v>
      </c>
      <c r="E1230" s="93" t="s">
        <v>509</v>
      </c>
      <c r="F1230" s="17">
        <v>0</v>
      </c>
      <c r="G1230" s="8" t="s">
        <v>549</v>
      </c>
    </row>
    <row r="1231" spans="1:7" ht="15" customHeight="1" x14ac:dyDescent="0.3">
      <c r="A1231" s="93" t="s">
        <v>588</v>
      </c>
      <c r="B1231" s="93" t="s">
        <v>96</v>
      </c>
      <c r="C1231" s="93" t="s">
        <v>94</v>
      </c>
      <c r="D1231" s="93" t="s">
        <v>503</v>
      </c>
      <c r="E1231" s="93" t="s">
        <v>510</v>
      </c>
      <c r="F1231" s="17">
        <v>0</v>
      </c>
      <c r="G1231" s="8" t="s">
        <v>549</v>
      </c>
    </row>
    <row r="1232" spans="1:7" ht="15" customHeight="1" x14ac:dyDescent="0.3">
      <c r="A1232" s="93" t="s">
        <v>588</v>
      </c>
      <c r="B1232" s="93" t="s">
        <v>96</v>
      </c>
      <c r="C1232" s="93" t="s">
        <v>94</v>
      </c>
      <c r="D1232" s="93" t="s">
        <v>503</v>
      </c>
      <c r="E1232" s="93" t="s">
        <v>511</v>
      </c>
      <c r="F1232" s="17">
        <v>0</v>
      </c>
      <c r="G1232" s="8" t="s">
        <v>549</v>
      </c>
    </row>
    <row r="1233" spans="1:7" ht="15" customHeight="1" x14ac:dyDescent="0.3">
      <c r="A1233" s="93" t="s">
        <v>588</v>
      </c>
      <c r="B1233" s="93" t="s">
        <v>96</v>
      </c>
      <c r="C1233" s="93" t="s">
        <v>94</v>
      </c>
      <c r="D1233" s="93" t="s">
        <v>503</v>
      </c>
      <c r="E1233" s="93" t="s">
        <v>512</v>
      </c>
      <c r="F1233" s="17">
        <v>0</v>
      </c>
      <c r="G1233" s="8" t="s">
        <v>549</v>
      </c>
    </row>
    <row r="1234" spans="1:7" ht="15" customHeight="1" x14ac:dyDescent="0.3">
      <c r="A1234" s="93" t="s">
        <v>589</v>
      </c>
      <c r="B1234" s="93" t="s">
        <v>93</v>
      </c>
      <c r="C1234" s="93" t="s">
        <v>94</v>
      </c>
      <c r="D1234" s="93" t="s">
        <v>503</v>
      </c>
      <c r="E1234" s="93" t="s">
        <v>504</v>
      </c>
      <c r="F1234" s="17">
        <v>0</v>
      </c>
      <c r="G1234" s="8" t="s">
        <v>549</v>
      </c>
    </row>
    <row r="1235" spans="1:7" ht="15" customHeight="1" x14ac:dyDescent="0.3">
      <c r="A1235" s="93" t="s">
        <v>589</v>
      </c>
      <c r="B1235" s="93" t="s">
        <v>93</v>
      </c>
      <c r="C1235" s="93" t="s">
        <v>94</v>
      </c>
      <c r="D1235" s="93" t="s">
        <v>503</v>
      </c>
      <c r="E1235" s="93" t="s">
        <v>506</v>
      </c>
      <c r="F1235" s="17">
        <v>0</v>
      </c>
      <c r="G1235" s="8" t="s">
        <v>549</v>
      </c>
    </row>
    <row r="1236" spans="1:7" ht="15" customHeight="1" x14ac:dyDescent="0.3">
      <c r="A1236" s="93" t="s">
        <v>589</v>
      </c>
      <c r="B1236" s="93" t="s">
        <v>93</v>
      </c>
      <c r="C1236" s="93" t="s">
        <v>94</v>
      </c>
      <c r="D1236" s="93" t="s">
        <v>503</v>
      </c>
      <c r="E1236" s="93" t="s">
        <v>507</v>
      </c>
      <c r="F1236" s="17">
        <v>0</v>
      </c>
      <c r="G1236" s="8" t="s">
        <v>549</v>
      </c>
    </row>
    <row r="1237" spans="1:7" ht="15" customHeight="1" x14ac:dyDescent="0.3">
      <c r="A1237" s="93" t="s">
        <v>589</v>
      </c>
      <c r="B1237" s="93" t="s">
        <v>93</v>
      </c>
      <c r="C1237" s="93" t="s">
        <v>94</v>
      </c>
      <c r="D1237" s="93" t="s">
        <v>503</v>
      </c>
      <c r="E1237" s="93" t="s">
        <v>508</v>
      </c>
      <c r="F1237" s="17">
        <v>0</v>
      </c>
      <c r="G1237" s="8" t="s">
        <v>549</v>
      </c>
    </row>
    <row r="1238" spans="1:7" ht="15" customHeight="1" x14ac:dyDescent="0.3">
      <c r="A1238" s="93" t="s">
        <v>589</v>
      </c>
      <c r="B1238" s="93" t="s">
        <v>93</v>
      </c>
      <c r="C1238" s="93" t="s">
        <v>94</v>
      </c>
      <c r="D1238" s="93" t="s">
        <v>503</v>
      </c>
      <c r="E1238" s="93" t="s">
        <v>509</v>
      </c>
      <c r="F1238" s="17">
        <v>0</v>
      </c>
      <c r="G1238" s="8" t="s">
        <v>549</v>
      </c>
    </row>
    <row r="1239" spans="1:7" ht="15" customHeight="1" x14ac:dyDescent="0.3">
      <c r="A1239" s="93" t="s">
        <v>589</v>
      </c>
      <c r="B1239" s="93" t="s">
        <v>93</v>
      </c>
      <c r="C1239" s="93" t="s">
        <v>94</v>
      </c>
      <c r="D1239" s="93" t="s">
        <v>503</v>
      </c>
      <c r="E1239" s="93" t="s">
        <v>510</v>
      </c>
      <c r="F1239" s="17">
        <v>0</v>
      </c>
      <c r="G1239" s="8" t="s">
        <v>549</v>
      </c>
    </row>
    <row r="1240" spans="1:7" ht="15" customHeight="1" x14ac:dyDescent="0.3">
      <c r="A1240" s="93" t="s">
        <v>589</v>
      </c>
      <c r="B1240" s="93" t="s">
        <v>93</v>
      </c>
      <c r="C1240" s="93" t="s">
        <v>94</v>
      </c>
      <c r="D1240" s="93" t="s">
        <v>503</v>
      </c>
      <c r="E1240" s="93" t="s">
        <v>511</v>
      </c>
      <c r="F1240" s="17">
        <v>0</v>
      </c>
      <c r="G1240" s="8" t="s">
        <v>549</v>
      </c>
    </row>
    <row r="1241" spans="1:7" ht="15" customHeight="1" x14ac:dyDescent="0.3">
      <c r="A1241" s="93" t="s">
        <v>589</v>
      </c>
      <c r="B1241" s="93" t="s">
        <v>93</v>
      </c>
      <c r="C1241" s="93" t="s">
        <v>94</v>
      </c>
      <c r="D1241" s="93" t="s">
        <v>503</v>
      </c>
      <c r="E1241" s="93" t="s">
        <v>512</v>
      </c>
      <c r="F1241" s="17">
        <v>0</v>
      </c>
      <c r="G1241" s="8" t="s">
        <v>549</v>
      </c>
    </row>
    <row r="1242" spans="1:7" ht="15" customHeight="1" x14ac:dyDescent="0.3">
      <c r="A1242" s="93" t="s">
        <v>589</v>
      </c>
      <c r="B1242" s="93" t="s">
        <v>96</v>
      </c>
      <c r="C1242" s="93" t="s">
        <v>94</v>
      </c>
      <c r="D1242" s="93" t="s">
        <v>503</v>
      </c>
      <c r="E1242" s="93" t="s">
        <v>504</v>
      </c>
      <c r="F1242" s="17">
        <v>0</v>
      </c>
      <c r="G1242" s="8" t="s">
        <v>549</v>
      </c>
    </row>
    <row r="1243" spans="1:7" ht="15" customHeight="1" x14ac:dyDescent="0.3">
      <c r="A1243" s="93" t="s">
        <v>589</v>
      </c>
      <c r="B1243" s="93" t="s">
        <v>96</v>
      </c>
      <c r="C1243" s="93" t="s">
        <v>94</v>
      </c>
      <c r="D1243" s="93" t="s">
        <v>503</v>
      </c>
      <c r="E1243" s="93" t="s">
        <v>506</v>
      </c>
      <c r="F1243" s="17">
        <v>0</v>
      </c>
      <c r="G1243" s="8" t="s">
        <v>549</v>
      </c>
    </row>
    <row r="1244" spans="1:7" ht="15" customHeight="1" x14ac:dyDescent="0.3">
      <c r="A1244" s="93" t="s">
        <v>589</v>
      </c>
      <c r="B1244" s="93" t="s">
        <v>96</v>
      </c>
      <c r="C1244" s="93" t="s">
        <v>94</v>
      </c>
      <c r="D1244" s="93" t="s">
        <v>503</v>
      </c>
      <c r="E1244" s="93" t="s">
        <v>507</v>
      </c>
      <c r="F1244" s="17">
        <v>0</v>
      </c>
      <c r="G1244" s="8" t="s">
        <v>549</v>
      </c>
    </row>
    <row r="1245" spans="1:7" ht="15" customHeight="1" x14ac:dyDescent="0.3">
      <c r="A1245" s="93" t="s">
        <v>589</v>
      </c>
      <c r="B1245" s="93" t="s">
        <v>96</v>
      </c>
      <c r="C1245" s="93" t="s">
        <v>94</v>
      </c>
      <c r="D1245" s="93" t="s">
        <v>503</v>
      </c>
      <c r="E1245" s="93" t="s">
        <v>508</v>
      </c>
      <c r="F1245" s="17">
        <v>0</v>
      </c>
      <c r="G1245" s="8" t="s">
        <v>549</v>
      </c>
    </row>
    <row r="1246" spans="1:7" ht="15" customHeight="1" x14ac:dyDescent="0.3">
      <c r="A1246" s="93" t="s">
        <v>589</v>
      </c>
      <c r="B1246" s="93" t="s">
        <v>96</v>
      </c>
      <c r="C1246" s="93" t="s">
        <v>94</v>
      </c>
      <c r="D1246" s="93" t="s">
        <v>503</v>
      </c>
      <c r="E1246" s="93" t="s">
        <v>509</v>
      </c>
      <c r="F1246" s="17">
        <v>0</v>
      </c>
      <c r="G1246" s="8" t="s">
        <v>549</v>
      </c>
    </row>
    <row r="1247" spans="1:7" ht="15" customHeight="1" x14ac:dyDescent="0.3">
      <c r="A1247" s="93" t="s">
        <v>589</v>
      </c>
      <c r="B1247" s="93" t="s">
        <v>96</v>
      </c>
      <c r="C1247" s="93" t="s">
        <v>94</v>
      </c>
      <c r="D1247" s="93" t="s">
        <v>503</v>
      </c>
      <c r="E1247" s="93" t="s">
        <v>510</v>
      </c>
      <c r="F1247" s="17">
        <v>0</v>
      </c>
      <c r="G1247" s="8" t="s">
        <v>549</v>
      </c>
    </row>
    <row r="1248" spans="1:7" ht="15" customHeight="1" x14ac:dyDescent="0.3">
      <c r="A1248" s="93" t="s">
        <v>589</v>
      </c>
      <c r="B1248" s="93" t="s">
        <v>96</v>
      </c>
      <c r="C1248" s="93" t="s">
        <v>94</v>
      </c>
      <c r="D1248" s="93" t="s">
        <v>503</v>
      </c>
      <c r="E1248" s="93" t="s">
        <v>511</v>
      </c>
      <c r="F1248" s="17">
        <v>0</v>
      </c>
      <c r="G1248" s="8" t="s">
        <v>549</v>
      </c>
    </row>
    <row r="1249" spans="1:7" ht="15" customHeight="1" x14ac:dyDescent="0.3">
      <c r="A1249" s="93" t="s">
        <v>589</v>
      </c>
      <c r="B1249" s="93" t="s">
        <v>96</v>
      </c>
      <c r="C1249" s="93" t="s">
        <v>94</v>
      </c>
      <c r="D1249" s="93" t="s">
        <v>503</v>
      </c>
      <c r="E1249" s="93" t="s">
        <v>512</v>
      </c>
      <c r="F1249" s="17">
        <v>0</v>
      </c>
      <c r="G1249" s="8" t="s">
        <v>549</v>
      </c>
    </row>
    <row r="1250" spans="1:7" ht="15" customHeight="1" x14ac:dyDescent="0.3">
      <c r="A1250" s="93" t="s">
        <v>590</v>
      </c>
      <c r="B1250" s="93" t="s">
        <v>93</v>
      </c>
      <c r="C1250" s="93" t="s">
        <v>94</v>
      </c>
      <c r="D1250" s="93" t="s">
        <v>503</v>
      </c>
      <c r="E1250" s="93" t="s">
        <v>504</v>
      </c>
      <c r="F1250" s="17">
        <v>0</v>
      </c>
      <c r="G1250" s="8" t="s">
        <v>549</v>
      </c>
    </row>
    <row r="1251" spans="1:7" ht="15" customHeight="1" x14ac:dyDescent="0.3">
      <c r="A1251" s="93" t="s">
        <v>590</v>
      </c>
      <c r="B1251" s="93" t="s">
        <v>93</v>
      </c>
      <c r="C1251" s="93" t="s">
        <v>94</v>
      </c>
      <c r="D1251" s="93" t="s">
        <v>503</v>
      </c>
      <c r="E1251" s="93" t="s">
        <v>506</v>
      </c>
      <c r="F1251" s="17">
        <v>0</v>
      </c>
      <c r="G1251" s="8" t="s">
        <v>549</v>
      </c>
    </row>
    <row r="1252" spans="1:7" ht="15" customHeight="1" x14ac:dyDescent="0.3">
      <c r="A1252" s="93" t="s">
        <v>590</v>
      </c>
      <c r="B1252" s="93" t="s">
        <v>93</v>
      </c>
      <c r="C1252" s="93" t="s">
        <v>94</v>
      </c>
      <c r="D1252" s="93" t="s">
        <v>503</v>
      </c>
      <c r="E1252" s="93" t="s">
        <v>507</v>
      </c>
      <c r="F1252" s="17">
        <v>0</v>
      </c>
      <c r="G1252" s="8" t="s">
        <v>549</v>
      </c>
    </row>
    <row r="1253" spans="1:7" ht="15" customHeight="1" x14ac:dyDescent="0.3">
      <c r="A1253" s="93" t="s">
        <v>590</v>
      </c>
      <c r="B1253" s="93" t="s">
        <v>93</v>
      </c>
      <c r="C1253" s="93" t="s">
        <v>94</v>
      </c>
      <c r="D1253" s="93" t="s">
        <v>503</v>
      </c>
      <c r="E1253" s="93" t="s">
        <v>508</v>
      </c>
      <c r="F1253" s="17">
        <v>0</v>
      </c>
      <c r="G1253" s="8" t="s">
        <v>549</v>
      </c>
    </row>
    <row r="1254" spans="1:7" ht="15" customHeight="1" x14ac:dyDescent="0.3">
      <c r="A1254" s="93" t="s">
        <v>590</v>
      </c>
      <c r="B1254" s="93" t="s">
        <v>93</v>
      </c>
      <c r="C1254" s="93" t="s">
        <v>94</v>
      </c>
      <c r="D1254" s="93" t="s">
        <v>503</v>
      </c>
      <c r="E1254" s="93" t="s">
        <v>509</v>
      </c>
      <c r="F1254" s="17">
        <v>0</v>
      </c>
      <c r="G1254" s="8" t="s">
        <v>549</v>
      </c>
    </row>
    <row r="1255" spans="1:7" ht="15" customHeight="1" x14ac:dyDescent="0.3">
      <c r="A1255" s="93" t="s">
        <v>590</v>
      </c>
      <c r="B1255" s="93" t="s">
        <v>93</v>
      </c>
      <c r="C1255" s="93" t="s">
        <v>94</v>
      </c>
      <c r="D1255" s="93" t="s">
        <v>503</v>
      </c>
      <c r="E1255" s="93" t="s">
        <v>510</v>
      </c>
      <c r="F1255" s="17">
        <v>0</v>
      </c>
      <c r="G1255" s="8" t="s">
        <v>549</v>
      </c>
    </row>
    <row r="1256" spans="1:7" ht="15" customHeight="1" x14ac:dyDescent="0.3">
      <c r="A1256" s="93" t="s">
        <v>590</v>
      </c>
      <c r="B1256" s="93" t="s">
        <v>93</v>
      </c>
      <c r="C1256" s="93" t="s">
        <v>94</v>
      </c>
      <c r="D1256" s="93" t="s">
        <v>503</v>
      </c>
      <c r="E1256" s="93" t="s">
        <v>511</v>
      </c>
      <c r="F1256" s="17">
        <v>0</v>
      </c>
      <c r="G1256" s="8" t="s">
        <v>549</v>
      </c>
    </row>
    <row r="1257" spans="1:7" ht="15" customHeight="1" x14ac:dyDescent="0.3">
      <c r="A1257" s="93" t="s">
        <v>590</v>
      </c>
      <c r="B1257" s="93" t="s">
        <v>93</v>
      </c>
      <c r="C1257" s="93" t="s">
        <v>94</v>
      </c>
      <c r="D1257" s="93" t="s">
        <v>503</v>
      </c>
      <c r="E1257" s="93" t="s">
        <v>512</v>
      </c>
      <c r="F1257" s="17">
        <v>0</v>
      </c>
      <c r="G1257" s="8" t="s">
        <v>549</v>
      </c>
    </row>
    <row r="1258" spans="1:7" ht="15" customHeight="1" x14ac:dyDescent="0.3">
      <c r="A1258" s="93" t="s">
        <v>590</v>
      </c>
      <c r="B1258" s="93" t="s">
        <v>96</v>
      </c>
      <c r="C1258" s="93" t="s">
        <v>94</v>
      </c>
      <c r="D1258" s="93" t="s">
        <v>503</v>
      </c>
      <c r="E1258" s="93" t="s">
        <v>504</v>
      </c>
      <c r="F1258" s="17">
        <v>0</v>
      </c>
      <c r="G1258" s="8" t="s">
        <v>549</v>
      </c>
    </row>
    <row r="1259" spans="1:7" ht="15" customHeight="1" x14ac:dyDescent="0.3">
      <c r="A1259" s="93" t="s">
        <v>590</v>
      </c>
      <c r="B1259" s="93" t="s">
        <v>96</v>
      </c>
      <c r="C1259" s="93" t="s">
        <v>94</v>
      </c>
      <c r="D1259" s="93" t="s">
        <v>503</v>
      </c>
      <c r="E1259" s="93" t="s">
        <v>506</v>
      </c>
      <c r="F1259" s="17">
        <v>0</v>
      </c>
      <c r="G1259" s="8" t="s">
        <v>549</v>
      </c>
    </row>
    <row r="1260" spans="1:7" ht="15" customHeight="1" x14ac:dyDescent="0.3">
      <c r="A1260" s="93" t="s">
        <v>590</v>
      </c>
      <c r="B1260" s="93" t="s">
        <v>96</v>
      </c>
      <c r="C1260" s="93" t="s">
        <v>94</v>
      </c>
      <c r="D1260" s="93" t="s">
        <v>503</v>
      </c>
      <c r="E1260" s="93" t="s">
        <v>507</v>
      </c>
      <c r="F1260" s="17">
        <v>0</v>
      </c>
      <c r="G1260" s="8" t="s">
        <v>549</v>
      </c>
    </row>
    <row r="1261" spans="1:7" ht="15" customHeight="1" x14ac:dyDescent="0.3">
      <c r="A1261" s="93" t="s">
        <v>590</v>
      </c>
      <c r="B1261" s="93" t="s">
        <v>96</v>
      </c>
      <c r="C1261" s="93" t="s">
        <v>94</v>
      </c>
      <c r="D1261" s="93" t="s">
        <v>503</v>
      </c>
      <c r="E1261" s="93" t="s">
        <v>508</v>
      </c>
      <c r="F1261" s="17">
        <v>0</v>
      </c>
      <c r="G1261" s="8" t="s">
        <v>549</v>
      </c>
    </row>
    <row r="1262" spans="1:7" ht="15" customHeight="1" x14ac:dyDescent="0.3">
      <c r="A1262" s="93" t="s">
        <v>590</v>
      </c>
      <c r="B1262" s="93" t="s">
        <v>96</v>
      </c>
      <c r="C1262" s="93" t="s">
        <v>94</v>
      </c>
      <c r="D1262" s="93" t="s">
        <v>503</v>
      </c>
      <c r="E1262" s="93" t="s">
        <v>509</v>
      </c>
      <c r="F1262" s="17">
        <v>0</v>
      </c>
      <c r="G1262" s="8" t="s">
        <v>549</v>
      </c>
    </row>
    <row r="1263" spans="1:7" ht="15" customHeight="1" x14ac:dyDescent="0.3">
      <c r="A1263" s="93" t="s">
        <v>590</v>
      </c>
      <c r="B1263" s="93" t="s">
        <v>96</v>
      </c>
      <c r="C1263" s="93" t="s">
        <v>94</v>
      </c>
      <c r="D1263" s="93" t="s">
        <v>503</v>
      </c>
      <c r="E1263" s="93" t="s">
        <v>510</v>
      </c>
      <c r="F1263" s="17">
        <v>0</v>
      </c>
      <c r="G1263" s="8" t="s">
        <v>549</v>
      </c>
    </row>
    <row r="1264" spans="1:7" ht="15" customHeight="1" x14ac:dyDescent="0.3">
      <c r="A1264" s="93" t="s">
        <v>590</v>
      </c>
      <c r="B1264" s="93" t="s">
        <v>96</v>
      </c>
      <c r="C1264" s="93" t="s">
        <v>94</v>
      </c>
      <c r="D1264" s="93" t="s">
        <v>503</v>
      </c>
      <c r="E1264" s="93" t="s">
        <v>511</v>
      </c>
      <c r="F1264" s="17">
        <v>0</v>
      </c>
      <c r="G1264" s="8" t="s">
        <v>549</v>
      </c>
    </row>
    <row r="1265" spans="1:7" ht="15" customHeight="1" x14ac:dyDescent="0.3">
      <c r="A1265" s="93" t="s">
        <v>590</v>
      </c>
      <c r="B1265" s="93" t="s">
        <v>96</v>
      </c>
      <c r="C1265" s="93" t="s">
        <v>94</v>
      </c>
      <c r="D1265" s="93" t="s">
        <v>503</v>
      </c>
      <c r="E1265" s="93" t="s">
        <v>512</v>
      </c>
      <c r="F1265" s="17">
        <v>0</v>
      </c>
      <c r="G1265" s="8" t="s">
        <v>549</v>
      </c>
    </row>
    <row r="1266" spans="1:7" ht="15" customHeight="1" x14ac:dyDescent="0.3">
      <c r="A1266" s="93" t="s">
        <v>591</v>
      </c>
      <c r="B1266" s="93" t="s">
        <v>93</v>
      </c>
      <c r="C1266" s="93" t="s">
        <v>94</v>
      </c>
      <c r="D1266" s="93" t="s">
        <v>503</v>
      </c>
      <c r="E1266" s="93" t="s">
        <v>504</v>
      </c>
      <c r="F1266" s="17">
        <v>0</v>
      </c>
      <c r="G1266" s="8" t="s">
        <v>549</v>
      </c>
    </row>
    <row r="1267" spans="1:7" ht="15" customHeight="1" x14ac:dyDescent="0.3">
      <c r="A1267" s="93" t="s">
        <v>591</v>
      </c>
      <c r="B1267" s="93" t="s">
        <v>93</v>
      </c>
      <c r="C1267" s="93" t="s">
        <v>94</v>
      </c>
      <c r="D1267" s="93" t="s">
        <v>503</v>
      </c>
      <c r="E1267" s="93" t="s">
        <v>506</v>
      </c>
      <c r="F1267" s="17">
        <v>0</v>
      </c>
      <c r="G1267" s="8" t="s">
        <v>549</v>
      </c>
    </row>
    <row r="1268" spans="1:7" ht="15" customHeight="1" x14ac:dyDescent="0.3">
      <c r="A1268" s="93" t="s">
        <v>591</v>
      </c>
      <c r="B1268" s="93" t="s">
        <v>93</v>
      </c>
      <c r="C1268" s="93" t="s">
        <v>94</v>
      </c>
      <c r="D1268" s="93" t="s">
        <v>503</v>
      </c>
      <c r="E1268" s="93" t="s">
        <v>507</v>
      </c>
      <c r="F1268" s="17">
        <v>0</v>
      </c>
      <c r="G1268" s="8" t="s">
        <v>549</v>
      </c>
    </row>
    <row r="1269" spans="1:7" ht="15" customHeight="1" x14ac:dyDescent="0.3">
      <c r="A1269" s="93" t="s">
        <v>591</v>
      </c>
      <c r="B1269" s="93" t="s">
        <v>93</v>
      </c>
      <c r="C1269" s="93" t="s">
        <v>94</v>
      </c>
      <c r="D1269" s="93" t="s">
        <v>503</v>
      </c>
      <c r="E1269" s="93" t="s">
        <v>508</v>
      </c>
      <c r="F1269" s="17">
        <v>0</v>
      </c>
      <c r="G1269" s="8" t="s">
        <v>549</v>
      </c>
    </row>
    <row r="1270" spans="1:7" ht="15" customHeight="1" x14ac:dyDescent="0.3">
      <c r="A1270" s="93" t="s">
        <v>591</v>
      </c>
      <c r="B1270" s="93" t="s">
        <v>93</v>
      </c>
      <c r="C1270" s="93" t="s">
        <v>94</v>
      </c>
      <c r="D1270" s="93" t="s">
        <v>503</v>
      </c>
      <c r="E1270" s="93" t="s">
        <v>509</v>
      </c>
      <c r="F1270" s="17">
        <v>0</v>
      </c>
      <c r="G1270" s="8" t="s">
        <v>549</v>
      </c>
    </row>
    <row r="1271" spans="1:7" ht="15" customHeight="1" x14ac:dyDescent="0.3">
      <c r="A1271" s="93" t="s">
        <v>591</v>
      </c>
      <c r="B1271" s="93" t="s">
        <v>93</v>
      </c>
      <c r="C1271" s="93" t="s">
        <v>94</v>
      </c>
      <c r="D1271" s="93" t="s">
        <v>503</v>
      </c>
      <c r="E1271" s="93" t="s">
        <v>510</v>
      </c>
      <c r="F1271" s="17">
        <v>0</v>
      </c>
      <c r="G1271" s="8" t="s">
        <v>549</v>
      </c>
    </row>
    <row r="1272" spans="1:7" ht="15" customHeight="1" x14ac:dyDescent="0.3">
      <c r="A1272" s="93" t="s">
        <v>591</v>
      </c>
      <c r="B1272" s="93" t="s">
        <v>93</v>
      </c>
      <c r="C1272" s="93" t="s">
        <v>94</v>
      </c>
      <c r="D1272" s="93" t="s">
        <v>503</v>
      </c>
      <c r="E1272" s="93" t="s">
        <v>511</v>
      </c>
      <c r="F1272" s="17">
        <v>0</v>
      </c>
      <c r="G1272" s="8" t="s">
        <v>549</v>
      </c>
    </row>
    <row r="1273" spans="1:7" ht="15" customHeight="1" x14ac:dyDescent="0.3">
      <c r="A1273" s="93" t="s">
        <v>591</v>
      </c>
      <c r="B1273" s="93" t="s">
        <v>93</v>
      </c>
      <c r="C1273" s="93" t="s">
        <v>94</v>
      </c>
      <c r="D1273" s="93" t="s">
        <v>503</v>
      </c>
      <c r="E1273" s="93" t="s">
        <v>512</v>
      </c>
      <c r="F1273" s="17">
        <v>0</v>
      </c>
      <c r="G1273" s="8" t="s">
        <v>549</v>
      </c>
    </row>
    <row r="1274" spans="1:7" ht="15" customHeight="1" x14ac:dyDescent="0.3">
      <c r="A1274" s="93" t="s">
        <v>591</v>
      </c>
      <c r="B1274" s="93" t="s">
        <v>96</v>
      </c>
      <c r="C1274" s="93" t="s">
        <v>94</v>
      </c>
      <c r="D1274" s="93" t="s">
        <v>503</v>
      </c>
      <c r="E1274" s="93" t="s">
        <v>504</v>
      </c>
      <c r="F1274" s="17">
        <v>0</v>
      </c>
      <c r="G1274" s="8" t="s">
        <v>549</v>
      </c>
    </row>
    <row r="1275" spans="1:7" ht="15" customHeight="1" x14ac:dyDescent="0.3">
      <c r="A1275" s="93" t="s">
        <v>591</v>
      </c>
      <c r="B1275" s="93" t="s">
        <v>96</v>
      </c>
      <c r="C1275" s="93" t="s">
        <v>94</v>
      </c>
      <c r="D1275" s="93" t="s">
        <v>503</v>
      </c>
      <c r="E1275" s="93" t="s">
        <v>506</v>
      </c>
      <c r="F1275" s="17">
        <v>0</v>
      </c>
      <c r="G1275" s="8" t="s">
        <v>549</v>
      </c>
    </row>
    <row r="1276" spans="1:7" ht="15" customHeight="1" x14ac:dyDescent="0.3">
      <c r="A1276" s="93" t="s">
        <v>591</v>
      </c>
      <c r="B1276" s="93" t="s">
        <v>96</v>
      </c>
      <c r="C1276" s="93" t="s">
        <v>94</v>
      </c>
      <c r="D1276" s="93" t="s">
        <v>503</v>
      </c>
      <c r="E1276" s="93" t="s">
        <v>507</v>
      </c>
      <c r="F1276" s="17">
        <v>0</v>
      </c>
      <c r="G1276" s="8" t="s">
        <v>549</v>
      </c>
    </row>
    <row r="1277" spans="1:7" ht="15" customHeight="1" x14ac:dyDescent="0.3">
      <c r="A1277" s="93" t="s">
        <v>591</v>
      </c>
      <c r="B1277" s="93" t="s">
        <v>96</v>
      </c>
      <c r="C1277" s="93" t="s">
        <v>94</v>
      </c>
      <c r="D1277" s="93" t="s">
        <v>503</v>
      </c>
      <c r="E1277" s="93" t="s">
        <v>508</v>
      </c>
      <c r="F1277" s="17">
        <v>0</v>
      </c>
      <c r="G1277" s="8" t="s">
        <v>549</v>
      </c>
    </row>
    <row r="1278" spans="1:7" ht="15" customHeight="1" x14ac:dyDescent="0.3">
      <c r="A1278" s="93" t="s">
        <v>591</v>
      </c>
      <c r="B1278" s="93" t="s">
        <v>96</v>
      </c>
      <c r="C1278" s="93" t="s">
        <v>94</v>
      </c>
      <c r="D1278" s="93" t="s">
        <v>503</v>
      </c>
      <c r="E1278" s="93" t="s">
        <v>509</v>
      </c>
      <c r="F1278" s="17">
        <v>0</v>
      </c>
      <c r="G1278" s="8" t="s">
        <v>549</v>
      </c>
    </row>
    <row r="1279" spans="1:7" ht="15" customHeight="1" x14ac:dyDescent="0.3">
      <c r="A1279" s="93" t="s">
        <v>591</v>
      </c>
      <c r="B1279" s="93" t="s">
        <v>96</v>
      </c>
      <c r="C1279" s="93" t="s">
        <v>94</v>
      </c>
      <c r="D1279" s="93" t="s">
        <v>503</v>
      </c>
      <c r="E1279" s="93" t="s">
        <v>510</v>
      </c>
      <c r="F1279" s="17">
        <v>0</v>
      </c>
      <c r="G1279" s="8" t="s">
        <v>549</v>
      </c>
    </row>
    <row r="1280" spans="1:7" ht="15" customHeight="1" x14ac:dyDescent="0.3">
      <c r="A1280" s="93" t="s">
        <v>591</v>
      </c>
      <c r="B1280" s="93" t="s">
        <v>96</v>
      </c>
      <c r="C1280" s="93" t="s">
        <v>94</v>
      </c>
      <c r="D1280" s="93" t="s">
        <v>503</v>
      </c>
      <c r="E1280" s="93" t="s">
        <v>511</v>
      </c>
      <c r="F1280" s="17">
        <v>0</v>
      </c>
      <c r="G1280" s="8" t="s">
        <v>549</v>
      </c>
    </row>
    <row r="1281" spans="1:7" ht="15" customHeight="1" x14ac:dyDescent="0.3">
      <c r="A1281" s="93" t="s">
        <v>591</v>
      </c>
      <c r="B1281" s="93" t="s">
        <v>96</v>
      </c>
      <c r="C1281" s="93" t="s">
        <v>94</v>
      </c>
      <c r="D1281" s="93" t="s">
        <v>503</v>
      </c>
      <c r="E1281" s="93" t="s">
        <v>512</v>
      </c>
      <c r="F1281" s="17">
        <v>0</v>
      </c>
      <c r="G1281" s="8" t="s">
        <v>549</v>
      </c>
    </row>
    <row r="1282" spans="1:7" ht="15" customHeight="1" x14ac:dyDescent="0.3">
      <c r="A1282" s="93" t="s">
        <v>592</v>
      </c>
      <c r="B1282" s="93" t="s">
        <v>93</v>
      </c>
      <c r="C1282" s="93" t="s">
        <v>94</v>
      </c>
      <c r="D1282" s="93" t="s">
        <v>503</v>
      </c>
      <c r="E1282" s="93" t="s">
        <v>504</v>
      </c>
      <c r="F1282" s="17">
        <v>0</v>
      </c>
      <c r="G1282" s="8" t="s">
        <v>549</v>
      </c>
    </row>
    <row r="1283" spans="1:7" ht="15" customHeight="1" x14ac:dyDescent="0.3">
      <c r="A1283" s="93" t="s">
        <v>592</v>
      </c>
      <c r="B1283" s="93" t="s">
        <v>93</v>
      </c>
      <c r="C1283" s="93" t="s">
        <v>94</v>
      </c>
      <c r="D1283" s="93" t="s">
        <v>503</v>
      </c>
      <c r="E1283" s="93" t="s">
        <v>506</v>
      </c>
      <c r="F1283" s="17">
        <v>0</v>
      </c>
      <c r="G1283" s="8" t="s">
        <v>549</v>
      </c>
    </row>
    <row r="1284" spans="1:7" ht="15" customHeight="1" x14ac:dyDescent="0.3">
      <c r="A1284" s="93" t="s">
        <v>592</v>
      </c>
      <c r="B1284" s="93" t="s">
        <v>93</v>
      </c>
      <c r="C1284" s="93" t="s">
        <v>94</v>
      </c>
      <c r="D1284" s="93" t="s">
        <v>503</v>
      </c>
      <c r="E1284" s="93" t="s">
        <v>507</v>
      </c>
      <c r="F1284" s="17">
        <v>0</v>
      </c>
      <c r="G1284" s="8" t="s">
        <v>549</v>
      </c>
    </row>
    <row r="1285" spans="1:7" ht="15" customHeight="1" x14ac:dyDescent="0.3">
      <c r="A1285" s="93" t="s">
        <v>592</v>
      </c>
      <c r="B1285" s="93" t="s">
        <v>93</v>
      </c>
      <c r="C1285" s="93" t="s">
        <v>94</v>
      </c>
      <c r="D1285" s="93" t="s">
        <v>503</v>
      </c>
      <c r="E1285" s="93" t="s">
        <v>508</v>
      </c>
      <c r="F1285" s="17">
        <v>0</v>
      </c>
      <c r="G1285" s="8" t="s">
        <v>549</v>
      </c>
    </row>
    <row r="1286" spans="1:7" ht="15" customHeight="1" x14ac:dyDescent="0.3">
      <c r="A1286" s="93" t="s">
        <v>592</v>
      </c>
      <c r="B1286" s="93" t="s">
        <v>93</v>
      </c>
      <c r="C1286" s="93" t="s">
        <v>94</v>
      </c>
      <c r="D1286" s="93" t="s">
        <v>503</v>
      </c>
      <c r="E1286" s="93" t="s">
        <v>509</v>
      </c>
      <c r="F1286" s="17">
        <v>0</v>
      </c>
      <c r="G1286" s="8" t="s">
        <v>549</v>
      </c>
    </row>
    <row r="1287" spans="1:7" ht="15" customHeight="1" x14ac:dyDescent="0.3">
      <c r="A1287" s="93" t="s">
        <v>592</v>
      </c>
      <c r="B1287" s="93" t="s">
        <v>93</v>
      </c>
      <c r="C1287" s="93" t="s">
        <v>94</v>
      </c>
      <c r="D1287" s="93" t="s">
        <v>503</v>
      </c>
      <c r="E1287" s="93" t="s">
        <v>510</v>
      </c>
      <c r="F1287" s="17">
        <v>0</v>
      </c>
      <c r="G1287" s="8" t="s">
        <v>549</v>
      </c>
    </row>
    <row r="1288" spans="1:7" ht="15" customHeight="1" x14ac:dyDescent="0.3">
      <c r="A1288" s="93" t="s">
        <v>592</v>
      </c>
      <c r="B1288" s="93" t="s">
        <v>93</v>
      </c>
      <c r="C1288" s="93" t="s">
        <v>94</v>
      </c>
      <c r="D1288" s="93" t="s">
        <v>503</v>
      </c>
      <c r="E1288" s="93" t="s">
        <v>511</v>
      </c>
      <c r="F1288" s="17">
        <v>0</v>
      </c>
      <c r="G1288" s="8" t="s">
        <v>549</v>
      </c>
    </row>
    <row r="1289" spans="1:7" ht="15" customHeight="1" x14ac:dyDescent="0.3">
      <c r="A1289" s="93" t="s">
        <v>592</v>
      </c>
      <c r="B1289" s="93" t="s">
        <v>93</v>
      </c>
      <c r="C1289" s="93" t="s">
        <v>94</v>
      </c>
      <c r="D1289" s="93" t="s">
        <v>503</v>
      </c>
      <c r="E1289" s="93" t="s">
        <v>512</v>
      </c>
      <c r="F1289" s="17">
        <v>0</v>
      </c>
      <c r="G1289" s="8" t="s">
        <v>549</v>
      </c>
    </row>
    <row r="1290" spans="1:7" ht="15" customHeight="1" x14ac:dyDescent="0.3">
      <c r="A1290" s="93" t="s">
        <v>592</v>
      </c>
      <c r="B1290" s="93" t="s">
        <v>96</v>
      </c>
      <c r="C1290" s="93" t="s">
        <v>94</v>
      </c>
      <c r="D1290" s="93" t="s">
        <v>503</v>
      </c>
      <c r="E1290" s="93" t="s">
        <v>504</v>
      </c>
      <c r="F1290" s="17">
        <v>0</v>
      </c>
      <c r="G1290" s="8" t="s">
        <v>549</v>
      </c>
    </row>
    <row r="1291" spans="1:7" ht="15" customHeight="1" x14ac:dyDescent="0.3">
      <c r="A1291" s="93" t="s">
        <v>592</v>
      </c>
      <c r="B1291" s="93" t="s">
        <v>96</v>
      </c>
      <c r="C1291" s="93" t="s">
        <v>94</v>
      </c>
      <c r="D1291" s="93" t="s">
        <v>503</v>
      </c>
      <c r="E1291" s="93" t="s">
        <v>506</v>
      </c>
      <c r="F1291" s="17">
        <v>0</v>
      </c>
      <c r="G1291" s="8" t="s">
        <v>549</v>
      </c>
    </row>
    <row r="1292" spans="1:7" ht="15" customHeight="1" x14ac:dyDescent="0.3">
      <c r="A1292" s="93" t="s">
        <v>592</v>
      </c>
      <c r="B1292" s="93" t="s">
        <v>96</v>
      </c>
      <c r="C1292" s="93" t="s">
        <v>94</v>
      </c>
      <c r="D1292" s="93" t="s">
        <v>503</v>
      </c>
      <c r="E1292" s="93" t="s">
        <v>507</v>
      </c>
      <c r="F1292" s="17">
        <v>0</v>
      </c>
      <c r="G1292" s="8" t="s">
        <v>549</v>
      </c>
    </row>
    <row r="1293" spans="1:7" ht="15" customHeight="1" x14ac:dyDescent="0.3">
      <c r="A1293" s="93" t="s">
        <v>592</v>
      </c>
      <c r="B1293" s="93" t="s">
        <v>96</v>
      </c>
      <c r="C1293" s="93" t="s">
        <v>94</v>
      </c>
      <c r="D1293" s="93" t="s">
        <v>503</v>
      </c>
      <c r="E1293" s="93" t="s">
        <v>508</v>
      </c>
      <c r="F1293" s="17">
        <v>0</v>
      </c>
      <c r="G1293" s="8" t="s">
        <v>549</v>
      </c>
    </row>
    <row r="1294" spans="1:7" ht="15" customHeight="1" x14ac:dyDescent="0.3">
      <c r="A1294" s="93" t="s">
        <v>592</v>
      </c>
      <c r="B1294" s="93" t="s">
        <v>96</v>
      </c>
      <c r="C1294" s="93" t="s">
        <v>94</v>
      </c>
      <c r="D1294" s="93" t="s">
        <v>503</v>
      </c>
      <c r="E1294" s="93" t="s">
        <v>509</v>
      </c>
      <c r="F1294" s="17">
        <v>0</v>
      </c>
      <c r="G1294" s="8" t="s">
        <v>549</v>
      </c>
    </row>
    <row r="1295" spans="1:7" ht="15" customHeight="1" x14ac:dyDescent="0.3">
      <c r="A1295" s="93" t="s">
        <v>592</v>
      </c>
      <c r="B1295" s="93" t="s">
        <v>96</v>
      </c>
      <c r="C1295" s="93" t="s">
        <v>94</v>
      </c>
      <c r="D1295" s="93" t="s">
        <v>503</v>
      </c>
      <c r="E1295" s="93" t="s">
        <v>510</v>
      </c>
      <c r="F1295" s="17">
        <v>0</v>
      </c>
      <c r="G1295" s="8" t="s">
        <v>549</v>
      </c>
    </row>
    <row r="1296" spans="1:7" ht="15" customHeight="1" x14ac:dyDescent="0.3">
      <c r="A1296" s="93" t="s">
        <v>592</v>
      </c>
      <c r="B1296" s="93" t="s">
        <v>96</v>
      </c>
      <c r="C1296" s="93" t="s">
        <v>94</v>
      </c>
      <c r="D1296" s="93" t="s">
        <v>503</v>
      </c>
      <c r="E1296" s="93" t="s">
        <v>511</v>
      </c>
      <c r="F1296" s="17">
        <v>0</v>
      </c>
      <c r="G1296" s="8" t="s">
        <v>549</v>
      </c>
    </row>
    <row r="1297" spans="1:7" ht="15" customHeight="1" x14ac:dyDescent="0.3">
      <c r="A1297" s="93" t="s">
        <v>592</v>
      </c>
      <c r="B1297" s="93" t="s">
        <v>96</v>
      </c>
      <c r="C1297" s="93" t="s">
        <v>94</v>
      </c>
      <c r="D1297" s="93" t="s">
        <v>503</v>
      </c>
      <c r="E1297" s="93" t="s">
        <v>512</v>
      </c>
      <c r="F1297" s="17">
        <v>0</v>
      </c>
      <c r="G1297" s="8" t="s">
        <v>549</v>
      </c>
    </row>
    <row r="1298" spans="1:7" ht="15" customHeight="1" x14ac:dyDescent="0.3">
      <c r="A1298" s="93" t="s">
        <v>593</v>
      </c>
      <c r="B1298" s="93" t="s">
        <v>93</v>
      </c>
      <c r="C1298" s="93" t="s">
        <v>94</v>
      </c>
      <c r="D1298" s="93" t="s">
        <v>503</v>
      </c>
      <c r="E1298" s="93" t="s">
        <v>504</v>
      </c>
      <c r="F1298" s="17">
        <v>0</v>
      </c>
      <c r="G1298" s="8" t="s">
        <v>549</v>
      </c>
    </row>
    <row r="1299" spans="1:7" ht="15" customHeight="1" x14ac:dyDescent="0.3">
      <c r="A1299" s="93" t="s">
        <v>593</v>
      </c>
      <c r="B1299" s="93" t="s">
        <v>93</v>
      </c>
      <c r="C1299" s="93" t="s">
        <v>94</v>
      </c>
      <c r="D1299" s="93" t="s">
        <v>503</v>
      </c>
      <c r="E1299" s="93" t="s">
        <v>506</v>
      </c>
      <c r="F1299" s="17">
        <v>0</v>
      </c>
      <c r="G1299" s="8" t="s">
        <v>549</v>
      </c>
    </row>
    <row r="1300" spans="1:7" ht="15" customHeight="1" x14ac:dyDescent="0.3">
      <c r="A1300" s="93" t="s">
        <v>593</v>
      </c>
      <c r="B1300" s="93" t="s">
        <v>93</v>
      </c>
      <c r="C1300" s="93" t="s">
        <v>94</v>
      </c>
      <c r="D1300" s="93" t="s">
        <v>503</v>
      </c>
      <c r="E1300" s="93" t="s">
        <v>507</v>
      </c>
      <c r="F1300" s="17">
        <v>0</v>
      </c>
      <c r="G1300" s="8" t="s">
        <v>549</v>
      </c>
    </row>
    <row r="1301" spans="1:7" ht="15" customHeight="1" x14ac:dyDescent="0.3">
      <c r="A1301" s="93" t="s">
        <v>593</v>
      </c>
      <c r="B1301" s="93" t="s">
        <v>93</v>
      </c>
      <c r="C1301" s="93" t="s">
        <v>94</v>
      </c>
      <c r="D1301" s="93" t="s">
        <v>503</v>
      </c>
      <c r="E1301" s="93" t="s">
        <v>508</v>
      </c>
      <c r="F1301" s="17">
        <v>0</v>
      </c>
      <c r="G1301" s="8" t="s">
        <v>549</v>
      </c>
    </row>
    <row r="1302" spans="1:7" ht="15" customHeight="1" x14ac:dyDescent="0.3">
      <c r="A1302" s="93" t="s">
        <v>593</v>
      </c>
      <c r="B1302" s="93" t="s">
        <v>93</v>
      </c>
      <c r="C1302" s="93" t="s">
        <v>94</v>
      </c>
      <c r="D1302" s="93" t="s">
        <v>503</v>
      </c>
      <c r="E1302" s="93" t="s">
        <v>509</v>
      </c>
      <c r="F1302" s="17">
        <v>0</v>
      </c>
      <c r="G1302" s="8" t="s">
        <v>549</v>
      </c>
    </row>
    <row r="1303" spans="1:7" ht="15" customHeight="1" x14ac:dyDescent="0.3">
      <c r="A1303" s="93" t="s">
        <v>593</v>
      </c>
      <c r="B1303" s="93" t="s">
        <v>93</v>
      </c>
      <c r="C1303" s="93" t="s">
        <v>94</v>
      </c>
      <c r="D1303" s="93" t="s">
        <v>503</v>
      </c>
      <c r="E1303" s="93" t="s">
        <v>510</v>
      </c>
      <c r="F1303" s="17">
        <v>0</v>
      </c>
      <c r="G1303" s="8" t="s">
        <v>549</v>
      </c>
    </row>
    <row r="1304" spans="1:7" ht="15" customHeight="1" x14ac:dyDescent="0.3">
      <c r="A1304" s="93" t="s">
        <v>593</v>
      </c>
      <c r="B1304" s="93" t="s">
        <v>93</v>
      </c>
      <c r="C1304" s="93" t="s">
        <v>94</v>
      </c>
      <c r="D1304" s="93" t="s">
        <v>503</v>
      </c>
      <c r="E1304" s="93" t="s">
        <v>511</v>
      </c>
      <c r="F1304" s="17">
        <v>0</v>
      </c>
      <c r="G1304" s="8" t="s">
        <v>549</v>
      </c>
    </row>
    <row r="1305" spans="1:7" ht="15" customHeight="1" x14ac:dyDescent="0.3">
      <c r="A1305" s="93" t="s">
        <v>593</v>
      </c>
      <c r="B1305" s="93" t="s">
        <v>93</v>
      </c>
      <c r="C1305" s="93" t="s">
        <v>94</v>
      </c>
      <c r="D1305" s="93" t="s">
        <v>503</v>
      </c>
      <c r="E1305" s="93" t="s">
        <v>512</v>
      </c>
      <c r="F1305" s="17">
        <v>0</v>
      </c>
      <c r="G1305" s="8" t="s">
        <v>549</v>
      </c>
    </row>
    <row r="1306" spans="1:7" ht="15" customHeight="1" x14ac:dyDescent="0.3">
      <c r="A1306" s="93" t="s">
        <v>593</v>
      </c>
      <c r="B1306" s="93" t="s">
        <v>96</v>
      </c>
      <c r="C1306" s="93" t="s">
        <v>94</v>
      </c>
      <c r="D1306" s="93" t="s">
        <v>503</v>
      </c>
      <c r="E1306" s="93" t="s">
        <v>504</v>
      </c>
      <c r="F1306" s="17">
        <v>0</v>
      </c>
      <c r="G1306" s="8" t="s">
        <v>549</v>
      </c>
    </row>
    <row r="1307" spans="1:7" ht="15" customHeight="1" x14ac:dyDescent="0.3">
      <c r="A1307" s="93" t="s">
        <v>593</v>
      </c>
      <c r="B1307" s="93" t="s">
        <v>96</v>
      </c>
      <c r="C1307" s="93" t="s">
        <v>94</v>
      </c>
      <c r="D1307" s="93" t="s">
        <v>503</v>
      </c>
      <c r="E1307" s="93" t="s">
        <v>506</v>
      </c>
      <c r="F1307" s="17">
        <v>0</v>
      </c>
      <c r="G1307" s="8" t="s">
        <v>549</v>
      </c>
    </row>
    <row r="1308" spans="1:7" ht="15" customHeight="1" x14ac:dyDescent="0.3">
      <c r="A1308" s="93" t="s">
        <v>593</v>
      </c>
      <c r="B1308" s="93" t="s">
        <v>96</v>
      </c>
      <c r="C1308" s="93" t="s">
        <v>94</v>
      </c>
      <c r="D1308" s="93" t="s">
        <v>503</v>
      </c>
      <c r="E1308" s="93" t="s">
        <v>507</v>
      </c>
      <c r="F1308" s="17">
        <v>0</v>
      </c>
      <c r="G1308" s="8" t="s">
        <v>549</v>
      </c>
    </row>
    <row r="1309" spans="1:7" ht="15" customHeight="1" x14ac:dyDescent="0.3">
      <c r="A1309" s="93" t="s">
        <v>593</v>
      </c>
      <c r="B1309" s="93" t="s">
        <v>96</v>
      </c>
      <c r="C1309" s="93" t="s">
        <v>94</v>
      </c>
      <c r="D1309" s="93" t="s">
        <v>503</v>
      </c>
      <c r="E1309" s="93" t="s">
        <v>508</v>
      </c>
      <c r="F1309" s="17">
        <v>0</v>
      </c>
      <c r="G1309" s="8" t="s">
        <v>549</v>
      </c>
    </row>
    <row r="1310" spans="1:7" ht="15" customHeight="1" x14ac:dyDescent="0.3">
      <c r="A1310" s="93" t="s">
        <v>593</v>
      </c>
      <c r="B1310" s="93" t="s">
        <v>96</v>
      </c>
      <c r="C1310" s="93" t="s">
        <v>94</v>
      </c>
      <c r="D1310" s="93" t="s">
        <v>503</v>
      </c>
      <c r="E1310" s="93" t="s">
        <v>509</v>
      </c>
      <c r="F1310" s="17">
        <v>0</v>
      </c>
      <c r="G1310" s="8" t="s">
        <v>549</v>
      </c>
    </row>
    <row r="1311" spans="1:7" ht="15" customHeight="1" x14ac:dyDescent="0.3">
      <c r="A1311" s="93" t="s">
        <v>593</v>
      </c>
      <c r="B1311" s="93" t="s">
        <v>96</v>
      </c>
      <c r="C1311" s="93" t="s">
        <v>94</v>
      </c>
      <c r="D1311" s="93" t="s">
        <v>503</v>
      </c>
      <c r="E1311" s="93" t="s">
        <v>510</v>
      </c>
      <c r="F1311" s="17">
        <v>0</v>
      </c>
      <c r="G1311" s="8" t="s">
        <v>549</v>
      </c>
    </row>
    <row r="1312" spans="1:7" ht="15" customHeight="1" x14ac:dyDescent="0.3">
      <c r="A1312" s="93" t="s">
        <v>593</v>
      </c>
      <c r="B1312" s="93" t="s">
        <v>96</v>
      </c>
      <c r="C1312" s="93" t="s">
        <v>94</v>
      </c>
      <c r="D1312" s="93" t="s">
        <v>503</v>
      </c>
      <c r="E1312" s="93" t="s">
        <v>511</v>
      </c>
      <c r="F1312" s="17">
        <v>0</v>
      </c>
      <c r="G1312" s="8" t="s">
        <v>549</v>
      </c>
    </row>
    <row r="1313" spans="1:7" ht="15" customHeight="1" x14ac:dyDescent="0.3">
      <c r="A1313" s="93" t="s">
        <v>593</v>
      </c>
      <c r="B1313" s="93" t="s">
        <v>96</v>
      </c>
      <c r="C1313" s="93" t="s">
        <v>94</v>
      </c>
      <c r="D1313" s="93" t="s">
        <v>503</v>
      </c>
      <c r="E1313" s="93" t="s">
        <v>512</v>
      </c>
      <c r="F1313" s="17">
        <v>0</v>
      </c>
      <c r="G1313" s="8" t="s">
        <v>549</v>
      </c>
    </row>
    <row r="1314" spans="1:7" ht="15" customHeight="1" x14ac:dyDescent="0.3">
      <c r="A1314" s="93" t="s">
        <v>594</v>
      </c>
      <c r="B1314" s="93" t="s">
        <v>93</v>
      </c>
      <c r="C1314" s="93" t="s">
        <v>94</v>
      </c>
      <c r="D1314" s="93" t="s">
        <v>503</v>
      </c>
      <c r="E1314" s="93" t="s">
        <v>504</v>
      </c>
      <c r="F1314" s="17">
        <v>0</v>
      </c>
      <c r="G1314" s="8" t="s">
        <v>549</v>
      </c>
    </row>
    <row r="1315" spans="1:7" ht="15" customHeight="1" x14ac:dyDescent="0.3">
      <c r="A1315" s="93" t="s">
        <v>594</v>
      </c>
      <c r="B1315" s="93" t="s">
        <v>93</v>
      </c>
      <c r="C1315" s="93" t="s">
        <v>94</v>
      </c>
      <c r="D1315" s="93" t="s">
        <v>503</v>
      </c>
      <c r="E1315" s="93" t="s">
        <v>506</v>
      </c>
      <c r="F1315" s="17">
        <v>0</v>
      </c>
      <c r="G1315" s="8" t="s">
        <v>549</v>
      </c>
    </row>
    <row r="1316" spans="1:7" ht="15" customHeight="1" x14ac:dyDescent="0.3">
      <c r="A1316" s="93" t="s">
        <v>594</v>
      </c>
      <c r="B1316" s="93" t="s">
        <v>93</v>
      </c>
      <c r="C1316" s="93" t="s">
        <v>94</v>
      </c>
      <c r="D1316" s="93" t="s">
        <v>503</v>
      </c>
      <c r="E1316" s="93" t="s">
        <v>507</v>
      </c>
      <c r="F1316" s="17">
        <v>0</v>
      </c>
      <c r="G1316" s="8" t="s">
        <v>549</v>
      </c>
    </row>
    <row r="1317" spans="1:7" ht="15" customHeight="1" x14ac:dyDescent="0.3">
      <c r="A1317" s="93" t="s">
        <v>594</v>
      </c>
      <c r="B1317" s="93" t="s">
        <v>93</v>
      </c>
      <c r="C1317" s="93" t="s">
        <v>94</v>
      </c>
      <c r="D1317" s="93" t="s">
        <v>503</v>
      </c>
      <c r="E1317" s="93" t="s">
        <v>508</v>
      </c>
      <c r="F1317" s="17">
        <v>0</v>
      </c>
      <c r="G1317" s="8" t="s">
        <v>549</v>
      </c>
    </row>
    <row r="1318" spans="1:7" ht="15" customHeight="1" x14ac:dyDescent="0.3">
      <c r="A1318" s="93" t="s">
        <v>594</v>
      </c>
      <c r="B1318" s="93" t="s">
        <v>93</v>
      </c>
      <c r="C1318" s="93" t="s">
        <v>94</v>
      </c>
      <c r="D1318" s="93" t="s">
        <v>503</v>
      </c>
      <c r="E1318" s="93" t="s">
        <v>509</v>
      </c>
      <c r="F1318" s="17">
        <v>0</v>
      </c>
      <c r="G1318" s="8" t="s">
        <v>549</v>
      </c>
    </row>
    <row r="1319" spans="1:7" ht="15" customHeight="1" x14ac:dyDescent="0.3">
      <c r="A1319" s="93" t="s">
        <v>594</v>
      </c>
      <c r="B1319" s="93" t="s">
        <v>93</v>
      </c>
      <c r="C1319" s="93" t="s">
        <v>94</v>
      </c>
      <c r="D1319" s="93" t="s">
        <v>503</v>
      </c>
      <c r="E1319" s="93" t="s">
        <v>510</v>
      </c>
      <c r="F1319" s="17">
        <v>0</v>
      </c>
      <c r="G1319" s="8" t="s">
        <v>549</v>
      </c>
    </row>
    <row r="1320" spans="1:7" ht="15" customHeight="1" x14ac:dyDescent="0.3">
      <c r="A1320" s="93" t="s">
        <v>594</v>
      </c>
      <c r="B1320" s="93" t="s">
        <v>93</v>
      </c>
      <c r="C1320" s="93" t="s">
        <v>94</v>
      </c>
      <c r="D1320" s="93" t="s">
        <v>503</v>
      </c>
      <c r="E1320" s="93" t="s">
        <v>511</v>
      </c>
      <c r="F1320" s="17">
        <v>0</v>
      </c>
      <c r="G1320" s="8" t="s">
        <v>549</v>
      </c>
    </row>
    <row r="1321" spans="1:7" ht="15" customHeight="1" x14ac:dyDescent="0.3">
      <c r="A1321" s="93" t="s">
        <v>594</v>
      </c>
      <c r="B1321" s="93" t="s">
        <v>93</v>
      </c>
      <c r="C1321" s="93" t="s">
        <v>94</v>
      </c>
      <c r="D1321" s="93" t="s">
        <v>503</v>
      </c>
      <c r="E1321" s="93" t="s">
        <v>512</v>
      </c>
      <c r="F1321" s="17">
        <v>0</v>
      </c>
      <c r="G1321" s="8" t="s">
        <v>549</v>
      </c>
    </row>
    <row r="1322" spans="1:7" ht="15" customHeight="1" x14ac:dyDescent="0.3">
      <c r="A1322" s="93" t="s">
        <v>594</v>
      </c>
      <c r="B1322" s="93" t="s">
        <v>96</v>
      </c>
      <c r="C1322" s="93" t="s">
        <v>94</v>
      </c>
      <c r="D1322" s="93" t="s">
        <v>503</v>
      </c>
      <c r="E1322" s="93" t="s">
        <v>504</v>
      </c>
      <c r="F1322" s="17">
        <v>0</v>
      </c>
      <c r="G1322" s="8" t="s">
        <v>549</v>
      </c>
    </row>
    <row r="1323" spans="1:7" ht="15" customHeight="1" x14ac:dyDescent="0.3">
      <c r="A1323" s="93" t="s">
        <v>594</v>
      </c>
      <c r="B1323" s="93" t="s">
        <v>96</v>
      </c>
      <c r="C1323" s="93" t="s">
        <v>94</v>
      </c>
      <c r="D1323" s="93" t="s">
        <v>503</v>
      </c>
      <c r="E1323" s="93" t="s">
        <v>506</v>
      </c>
      <c r="F1323" s="17">
        <v>0</v>
      </c>
      <c r="G1323" s="8" t="s">
        <v>549</v>
      </c>
    </row>
    <row r="1324" spans="1:7" ht="15" customHeight="1" x14ac:dyDescent="0.3">
      <c r="A1324" s="93" t="s">
        <v>594</v>
      </c>
      <c r="B1324" s="93" t="s">
        <v>96</v>
      </c>
      <c r="C1324" s="93" t="s">
        <v>94</v>
      </c>
      <c r="D1324" s="93" t="s">
        <v>503</v>
      </c>
      <c r="E1324" s="93" t="s">
        <v>507</v>
      </c>
      <c r="F1324" s="17">
        <v>0</v>
      </c>
      <c r="G1324" s="8" t="s">
        <v>549</v>
      </c>
    </row>
    <row r="1325" spans="1:7" ht="15" customHeight="1" x14ac:dyDescent="0.3">
      <c r="A1325" s="93" t="s">
        <v>594</v>
      </c>
      <c r="B1325" s="93" t="s">
        <v>96</v>
      </c>
      <c r="C1325" s="93" t="s">
        <v>94</v>
      </c>
      <c r="D1325" s="93" t="s">
        <v>503</v>
      </c>
      <c r="E1325" s="93" t="s">
        <v>508</v>
      </c>
      <c r="F1325" s="17">
        <v>0</v>
      </c>
      <c r="G1325" s="8" t="s">
        <v>549</v>
      </c>
    </row>
    <row r="1326" spans="1:7" ht="15" customHeight="1" x14ac:dyDescent="0.3">
      <c r="A1326" s="93" t="s">
        <v>594</v>
      </c>
      <c r="B1326" s="93" t="s">
        <v>96</v>
      </c>
      <c r="C1326" s="93" t="s">
        <v>94</v>
      </c>
      <c r="D1326" s="93" t="s">
        <v>503</v>
      </c>
      <c r="E1326" s="93" t="s">
        <v>509</v>
      </c>
      <c r="F1326" s="17">
        <v>0</v>
      </c>
      <c r="G1326" s="8" t="s">
        <v>549</v>
      </c>
    </row>
    <row r="1327" spans="1:7" ht="15" customHeight="1" x14ac:dyDescent="0.3">
      <c r="A1327" s="93" t="s">
        <v>594</v>
      </c>
      <c r="B1327" s="93" t="s">
        <v>96</v>
      </c>
      <c r="C1327" s="93" t="s">
        <v>94</v>
      </c>
      <c r="D1327" s="93" t="s">
        <v>503</v>
      </c>
      <c r="E1327" s="93" t="s">
        <v>510</v>
      </c>
      <c r="F1327" s="17">
        <v>0</v>
      </c>
      <c r="G1327" s="8" t="s">
        <v>549</v>
      </c>
    </row>
    <row r="1328" spans="1:7" ht="15" customHeight="1" x14ac:dyDescent="0.3">
      <c r="A1328" s="93" t="s">
        <v>594</v>
      </c>
      <c r="B1328" s="93" t="s">
        <v>96</v>
      </c>
      <c r="C1328" s="93" t="s">
        <v>94</v>
      </c>
      <c r="D1328" s="93" t="s">
        <v>503</v>
      </c>
      <c r="E1328" s="93" t="s">
        <v>511</v>
      </c>
      <c r="F1328" s="17">
        <v>0</v>
      </c>
      <c r="G1328" s="8" t="s">
        <v>549</v>
      </c>
    </row>
    <row r="1329" spans="1:7" ht="15" customHeight="1" x14ac:dyDescent="0.3">
      <c r="A1329" s="93" t="s">
        <v>594</v>
      </c>
      <c r="B1329" s="93" t="s">
        <v>96</v>
      </c>
      <c r="C1329" s="93" t="s">
        <v>94</v>
      </c>
      <c r="D1329" s="93" t="s">
        <v>503</v>
      </c>
      <c r="E1329" s="93" t="s">
        <v>512</v>
      </c>
      <c r="F1329" s="17">
        <v>0</v>
      </c>
      <c r="G1329" s="8" t="s">
        <v>549</v>
      </c>
    </row>
    <row r="1330" spans="1:7" ht="15" customHeight="1" x14ac:dyDescent="0.3">
      <c r="A1330" s="93" t="s">
        <v>595</v>
      </c>
      <c r="B1330" s="93" t="s">
        <v>93</v>
      </c>
      <c r="C1330" s="93" t="s">
        <v>94</v>
      </c>
      <c r="D1330" s="93" t="s">
        <v>503</v>
      </c>
      <c r="E1330" s="93" t="s">
        <v>504</v>
      </c>
      <c r="F1330" s="17">
        <v>0</v>
      </c>
      <c r="G1330" s="8" t="s">
        <v>549</v>
      </c>
    </row>
    <row r="1331" spans="1:7" ht="15" customHeight="1" x14ac:dyDescent="0.3">
      <c r="A1331" s="93" t="s">
        <v>595</v>
      </c>
      <c r="B1331" s="93" t="s">
        <v>93</v>
      </c>
      <c r="C1331" s="93" t="s">
        <v>94</v>
      </c>
      <c r="D1331" s="93" t="s">
        <v>503</v>
      </c>
      <c r="E1331" s="93" t="s">
        <v>506</v>
      </c>
      <c r="F1331" s="17">
        <v>0</v>
      </c>
      <c r="G1331" s="8" t="s">
        <v>549</v>
      </c>
    </row>
    <row r="1332" spans="1:7" ht="15" customHeight="1" x14ac:dyDescent="0.3">
      <c r="A1332" s="93" t="s">
        <v>595</v>
      </c>
      <c r="B1332" s="93" t="s">
        <v>93</v>
      </c>
      <c r="C1332" s="93" t="s">
        <v>94</v>
      </c>
      <c r="D1332" s="93" t="s">
        <v>503</v>
      </c>
      <c r="E1332" s="93" t="s">
        <v>507</v>
      </c>
      <c r="F1332" s="17">
        <v>0</v>
      </c>
      <c r="G1332" s="8" t="s">
        <v>549</v>
      </c>
    </row>
    <row r="1333" spans="1:7" ht="15" customHeight="1" x14ac:dyDescent="0.3">
      <c r="A1333" s="93" t="s">
        <v>595</v>
      </c>
      <c r="B1333" s="93" t="s">
        <v>93</v>
      </c>
      <c r="C1333" s="93" t="s">
        <v>94</v>
      </c>
      <c r="D1333" s="93" t="s">
        <v>503</v>
      </c>
      <c r="E1333" s="93" t="s">
        <v>508</v>
      </c>
      <c r="F1333" s="17">
        <v>0</v>
      </c>
      <c r="G1333" s="8" t="s">
        <v>549</v>
      </c>
    </row>
    <row r="1334" spans="1:7" ht="15" customHeight="1" x14ac:dyDescent="0.3">
      <c r="A1334" s="93" t="s">
        <v>595</v>
      </c>
      <c r="B1334" s="93" t="s">
        <v>93</v>
      </c>
      <c r="C1334" s="93" t="s">
        <v>94</v>
      </c>
      <c r="D1334" s="93" t="s">
        <v>503</v>
      </c>
      <c r="E1334" s="93" t="s">
        <v>509</v>
      </c>
      <c r="F1334" s="17">
        <v>0</v>
      </c>
      <c r="G1334" s="8" t="s">
        <v>549</v>
      </c>
    </row>
    <row r="1335" spans="1:7" ht="15" customHeight="1" x14ac:dyDescent="0.3">
      <c r="A1335" s="93" t="s">
        <v>595</v>
      </c>
      <c r="B1335" s="93" t="s">
        <v>93</v>
      </c>
      <c r="C1335" s="93" t="s">
        <v>94</v>
      </c>
      <c r="D1335" s="93" t="s">
        <v>503</v>
      </c>
      <c r="E1335" s="93" t="s">
        <v>510</v>
      </c>
      <c r="F1335" s="17">
        <v>0</v>
      </c>
      <c r="G1335" s="8" t="s">
        <v>549</v>
      </c>
    </row>
    <row r="1336" spans="1:7" ht="15" customHeight="1" x14ac:dyDescent="0.3">
      <c r="A1336" s="93" t="s">
        <v>595</v>
      </c>
      <c r="B1336" s="93" t="s">
        <v>93</v>
      </c>
      <c r="C1336" s="93" t="s">
        <v>94</v>
      </c>
      <c r="D1336" s="93" t="s">
        <v>503</v>
      </c>
      <c r="E1336" s="93" t="s">
        <v>511</v>
      </c>
      <c r="F1336" s="17">
        <v>0</v>
      </c>
      <c r="G1336" s="8" t="s">
        <v>549</v>
      </c>
    </row>
    <row r="1337" spans="1:7" ht="15" customHeight="1" x14ac:dyDescent="0.3">
      <c r="A1337" s="93" t="s">
        <v>595</v>
      </c>
      <c r="B1337" s="93" t="s">
        <v>93</v>
      </c>
      <c r="C1337" s="93" t="s">
        <v>94</v>
      </c>
      <c r="D1337" s="93" t="s">
        <v>503</v>
      </c>
      <c r="E1337" s="93" t="s">
        <v>512</v>
      </c>
      <c r="F1337" s="17">
        <v>0</v>
      </c>
      <c r="G1337" s="8" t="s">
        <v>549</v>
      </c>
    </row>
    <row r="1338" spans="1:7" ht="15" customHeight="1" x14ac:dyDescent="0.3">
      <c r="A1338" s="93" t="s">
        <v>595</v>
      </c>
      <c r="B1338" s="93" t="s">
        <v>96</v>
      </c>
      <c r="C1338" s="93" t="s">
        <v>94</v>
      </c>
      <c r="D1338" s="93" t="s">
        <v>503</v>
      </c>
      <c r="E1338" s="93" t="s">
        <v>504</v>
      </c>
      <c r="F1338" s="17">
        <v>0</v>
      </c>
      <c r="G1338" s="8" t="s">
        <v>549</v>
      </c>
    </row>
    <row r="1339" spans="1:7" ht="15" customHeight="1" x14ac:dyDescent="0.3">
      <c r="A1339" s="93" t="s">
        <v>595</v>
      </c>
      <c r="B1339" s="93" t="s">
        <v>96</v>
      </c>
      <c r="C1339" s="93" t="s">
        <v>94</v>
      </c>
      <c r="D1339" s="93" t="s">
        <v>503</v>
      </c>
      <c r="E1339" s="93" t="s">
        <v>506</v>
      </c>
      <c r="F1339" s="17">
        <v>0</v>
      </c>
      <c r="G1339" s="8" t="s">
        <v>549</v>
      </c>
    </row>
    <row r="1340" spans="1:7" ht="15" customHeight="1" x14ac:dyDescent="0.3">
      <c r="A1340" s="93" t="s">
        <v>595</v>
      </c>
      <c r="B1340" s="93" t="s">
        <v>96</v>
      </c>
      <c r="C1340" s="93" t="s">
        <v>94</v>
      </c>
      <c r="D1340" s="93" t="s">
        <v>503</v>
      </c>
      <c r="E1340" s="93" t="s">
        <v>507</v>
      </c>
      <c r="F1340" s="17">
        <v>0</v>
      </c>
      <c r="G1340" s="8" t="s">
        <v>549</v>
      </c>
    </row>
    <row r="1341" spans="1:7" ht="15" customHeight="1" x14ac:dyDescent="0.3">
      <c r="A1341" s="93" t="s">
        <v>595</v>
      </c>
      <c r="B1341" s="93" t="s">
        <v>96</v>
      </c>
      <c r="C1341" s="93" t="s">
        <v>94</v>
      </c>
      <c r="D1341" s="93" t="s">
        <v>503</v>
      </c>
      <c r="E1341" s="93" t="s">
        <v>508</v>
      </c>
      <c r="F1341" s="17">
        <v>0</v>
      </c>
      <c r="G1341" s="8" t="s">
        <v>549</v>
      </c>
    </row>
    <row r="1342" spans="1:7" ht="15" customHeight="1" x14ac:dyDescent="0.3">
      <c r="A1342" s="93" t="s">
        <v>595</v>
      </c>
      <c r="B1342" s="93" t="s">
        <v>96</v>
      </c>
      <c r="C1342" s="93" t="s">
        <v>94</v>
      </c>
      <c r="D1342" s="93" t="s">
        <v>503</v>
      </c>
      <c r="E1342" s="93" t="s">
        <v>509</v>
      </c>
      <c r="F1342" s="17">
        <v>0</v>
      </c>
      <c r="G1342" s="8" t="s">
        <v>549</v>
      </c>
    </row>
    <row r="1343" spans="1:7" ht="15" customHeight="1" x14ac:dyDescent="0.3">
      <c r="A1343" s="93" t="s">
        <v>595</v>
      </c>
      <c r="B1343" s="93" t="s">
        <v>96</v>
      </c>
      <c r="C1343" s="93" t="s">
        <v>94</v>
      </c>
      <c r="D1343" s="93" t="s">
        <v>503</v>
      </c>
      <c r="E1343" s="93" t="s">
        <v>510</v>
      </c>
      <c r="F1343" s="17">
        <v>0</v>
      </c>
      <c r="G1343" s="8" t="s">
        <v>549</v>
      </c>
    </row>
    <row r="1344" spans="1:7" ht="15" customHeight="1" x14ac:dyDescent="0.3">
      <c r="A1344" s="93" t="s">
        <v>595</v>
      </c>
      <c r="B1344" s="93" t="s">
        <v>96</v>
      </c>
      <c r="C1344" s="93" t="s">
        <v>94</v>
      </c>
      <c r="D1344" s="93" t="s">
        <v>503</v>
      </c>
      <c r="E1344" s="93" t="s">
        <v>511</v>
      </c>
      <c r="F1344" s="17">
        <v>0</v>
      </c>
      <c r="G1344" s="8" t="s">
        <v>549</v>
      </c>
    </row>
    <row r="1345" spans="1:7" ht="15" customHeight="1" x14ac:dyDescent="0.3">
      <c r="A1345" s="93" t="s">
        <v>595</v>
      </c>
      <c r="B1345" s="93" t="s">
        <v>96</v>
      </c>
      <c r="C1345" s="93" t="s">
        <v>94</v>
      </c>
      <c r="D1345" s="93" t="s">
        <v>503</v>
      </c>
      <c r="E1345" s="93" t="s">
        <v>512</v>
      </c>
      <c r="F1345" s="17">
        <v>0</v>
      </c>
      <c r="G1345" s="8" t="s">
        <v>549</v>
      </c>
    </row>
    <row r="1346" spans="1:7" ht="15" customHeight="1" x14ac:dyDescent="0.3">
      <c r="G1346" s="105"/>
    </row>
    <row r="1347" spans="1:7" ht="15" customHeight="1" x14ac:dyDescent="0.3">
      <c r="G1347" s="105"/>
    </row>
    <row r="1348" spans="1:7" ht="15" customHeight="1" x14ac:dyDescent="0.3">
      <c r="G1348" s="105"/>
    </row>
    <row r="1349" spans="1:7" ht="15" customHeight="1" x14ac:dyDescent="0.3">
      <c r="G1349" s="105"/>
    </row>
    <row r="1350" spans="1:7" ht="15" customHeight="1" x14ac:dyDescent="0.3">
      <c r="G1350" s="105"/>
    </row>
    <row r="1351" spans="1:7" ht="15" customHeight="1" x14ac:dyDescent="0.3">
      <c r="G1351" s="105"/>
    </row>
    <row r="1352" spans="1:7" ht="15" customHeight="1" x14ac:dyDescent="0.3">
      <c r="G1352" s="105"/>
    </row>
    <row r="1353" spans="1:7" ht="15" customHeight="1" x14ac:dyDescent="0.3">
      <c r="G1353" s="105"/>
    </row>
    <row r="1354" spans="1:7" ht="15" customHeight="1" x14ac:dyDescent="0.3">
      <c r="G1354" s="105"/>
    </row>
    <row r="1355" spans="1:7" ht="15" customHeight="1" x14ac:dyDescent="0.3">
      <c r="G1355" s="105"/>
    </row>
    <row r="1356" spans="1:7" ht="15" customHeight="1" x14ac:dyDescent="0.3">
      <c r="G1356" s="105"/>
    </row>
    <row r="1357" spans="1:7" ht="15" customHeight="1" x14ac:dyDescent="0.3">
      <c r="G1357" s="105"/>
    </row>
    <row r="1358" spans="1:7" ht="15" customHeight="1" x14ac:dyDescent="0.3">
      <c r="G1358" s="105"/>
    </row>
    <row r="1359" spans="1:7" ht="15" customHeight="1" x14ac:dyDescent="0.3">
      <c r="G1359" s="105"/>
    </row>
    <row r="1360" spans="1:7" ht="15" customHeight="1" x14ac:dyDescent="0.3">
      <c r="G1360" s="105"/>
    </row>
    <row r="1361" spans="7:7" ht="15" customHeight="1" x14ac:dyDescent="0.3">
      <c r="G1361" s="105"/>
    </row>
    <row r="1362" spans="7:7" ht="15" customHeight="1" x14ac:dyDescent="0.3">
      <c r="G1362" s="105"/>
    </row>
    <row r="1363" spans="7:7" ht="15" customHeight="1" x14ac:dyDescent="0.3">
      <c r="G1363" s="105"/>
    </row>
    <row r="1364" spans="7:7" ht="15" customHeight="1" x14ac:dyDescent="0.3">
      <c r="G1364" s="105"/>
    </row>
    <row r="1365" spans="7:7" ht="15" customHeight="1" x14ac:dyDescent="0.3">
      <c r="G1365" s="105"/>
    </row>
    <row r="1366" spans="7:7" ht="15" customHeight="1" x14ac:dyDescent="0.3">
      <c r="G1366" s="105"/>
    </row>
    <row r="1367" spans="7:7" ht="15" customHeight="1" x14ac:dyDescent="0.3">
      <c r="G1367" s="105"/>
    </row>
    <row r="1368" spans="7:7" ht="15" customHeight="1" x14ac:dyDescent="0.3">
      <c r="G1368" s="105"/>
    </row>
    <row r="1369" spans="7:7" ht="15" customHeight="1" x14ac:dyDescent="0.3">
      <c r="G1369" s="105"/>
    </row>
    <row r="1370" spans="7:7" ht="15" customHeight="1" x14ac:dyDescent="0.3">
      <c r="G1370" s="105"/>
    </row>
    <row r="1371" spans="7:7" ht="15" customHeight="1" x14ac:dyDescent="0.3">
      <c r="G1371" s="105"/>
    </row>
    <row r="1372" spans="7:7" ht="15" customHeight="1" x14ac:dyDescent="0.3">
      <c r="G1372" s="105"/>
    </row>
    <row r="1373" spans="7:7" ht="15" customHeight="1" x14ac:dyDescent="0.3">
      <c r="G1373" s="105"/>
    </row>
    <row r="1374" spans="7:7" ht="15" customHeight="1" x14ac:dyDescent="0.3">
      <c r="G1374" s="105"/>
    </row>
    <row r="1375" spans="7:7" ht="15" customHeight="1" x14ac:dyDescent="0.3">
      <c r="G1375" s="105"/>
    </row>
    <row r="1376" spans="7:7" ht="15" customHeight="1" x14ac:dyDescent="0.3">
      <c r="G1376" s="105"/>
    </row>
    <row r="1377" spans="7:7" ht="15" customHeight="1" x14ac:dyDescent="0.3">
      <c r="G1377" s="105"/>
    </row>
    <row r="1378" spans="7:7" ht="15" customHeight="1" x14ac:dyDescent="0.3">
      <c r="G1378" s="105"/>
    </row>
    <row r="1379" spans="7:7" ht="15" customHeight="1" x14ac:dyDescent="0.3">
      <c r="G1379" s="105"/>
    </row>
    <row r="1380" spans="7:7" ht="15" customHeight="1" x14ac:dyDescent="0.3">
      <c r="G1380" s="105"/>
    </row>
    <row r="1381" spans="7:7" ht="15" customHeight="1" x14ac:dyDescent="0.3">
      <c r="G1381" s="105"/>
    </row>
    <row r="1382" spans="7:7" ht="15" customHeight="1" x14ac:dyDescent="0.3">
      <c r="G1382" s="105"/>
    </row>
    <row r="1383" spans="7:7" ht="15" customHeight="1" x14ac:dyDescent="0.3">
      <c r="G1383" s="105"/>
    </row>
    <row r="1384" spans="7:7" ht="15" customHeight="1" x14ac:dyDescent="0.3">
      <c r="G1384" s="105"/>
    </row>
    <row r="1385" spans="7:7" ht="15" customHeight="1" x14ac:dyDescent="0.3">
      <c r="G1385" s="105"/>
    </row>
    <row r="1386" spans="7:7" ht="15" customHeight="1" x14ac:dyDescent="0.3">
      <c r="G1386" s="105"/>
    </row>
    <row r="1387" spans="7:7" ht="15" customHeight="1" x14ac:dyDescent="0.3">
      <c r="G1387" s="105"/>
    </row>
    <row r="1388" spans="7:7" ht="15" customHeight="1" x14ac:dyDescent="0.3">
      <c r="G1388" s="105"/>
    </row>
    <row r="1389" spans="7:7" ht="15" customHeight="1" x14ac:dyDescent="0.3">
      <c r="G1389" s="105"/>
    </row>
    <row r="1390" spans="7:7" ht="15" customHeight="1" x14ac:dyDescent="0.3">
      <c r="G1390" s="105"/>
    </row>
    <row r="1391" spans="7:7" ht="15" customHeight="1" x14ac:dyDescent="0.3">
      <c r="G1391" s="105"/>
    </row>
    <row r="1392" spans="7:7" ht="15" customHeight="1" x14ac:dyDescent="0.3">
      <c r="G1392" s="105"/>
    </row>
    <row r="1393" spans="7:7" ht="15" customHeight="1" x14ac:dyDescent="0.3">
      <c r="G1393" s="105"/>
    </row>
    <row r="1394" spans="7:7" ht="15" customHeight="1" x14ac:dyDescent="0.3">
      <c r="G1394" s="105"/>
    </row>
    <row r="1395" spans="7:7" ht="15" customHeight="1" x14ac:dyDescent="0.3">
      <c r="G1395" s="105"/>
    </row>
    <row r="1396" spans="7:7" ht="15" customHeight="1" x14ac:dyDescent="0.3">
      <c r="G1396" s="105"/>
    </row>
    <row r="1397" spans="7:7" ht="15" customHeight="1" x14ac:dyDescent="0.3">
      <c r="G1397" s="105"/>
    </row>
    <row r="1398" spans="7:7" ht="15" customHeight="1" x14ac:dyDescent="0.3">
      <c r="G1398" s="105"/>
    </row>
    <row r="1399" spans="7:7" ht="15" customHeight="1" x14ac:dyDescent="0.3">
      <c r="G1399" s="105"/>
    </row>
    <row r="1400" spans="7:7" ht="15" customHeight="1" x14ac:dyDescent="0.3">
      <c r="G1400" s="105"/>
    </row>
    <row r="1401" spans="7:7" ht="15" customHeight="1" x14ac:dyDescent="0.3">
      <c r="G1401" s="105"/>
    </row>
    <row r="1402" spans="7:7" ht="15" customHeight="1" x14ac:dyDescent="0.3">
      <c r="G1402" s="105"/>
    </row>
    <row r="1403" spans="7:7" ht="15" customHeight="1" x14ac:dyDescent="0.3">
      <c r="G1403" s="105"/>
    </row>
    <row r="1404" spans="7:7" ht="15" customHeight="1" x14ac:dyDescent="0.3">
      <c r="G1404" s="105"/>
    </row>
    <row r="1405" spans="7:7" ht="15" customHeight="1" x14ac:dyDescent="0.3">
      <c r="G1405" s="105"/>
    </row>
    <row r="1406" spans="7:7" ht="15" customHeight="1" x14ac:dyDescent="0.3">
      <c r="G1406" s="105"/>
    </row>
    <row r="1407" spans="7:7" ht="15" customHeight="1" x14ac:dyDescent="0.3">
      <c r="G1407" s="105"/>
    </row>
    <row r="1408" spans="7:7" ht="15" customHeight="1" x14ac:dyDescent="0.3">
      <c r="G1408" s="105"/>
    </row>
    <row r="1409" spans="7:7" ht="15" customHeight="1" x14ac:dyDescent="0.3">
      <c r="G1409" s="105"/>
    </row>
    <row r="1410" spans="7:7" ht="15" customHeight="1" x14ac:dyDescent="0.3">
      <c r="G1410" s="105"/>
    </row>
    <row r="1411" spans="7:7" ht="15" customHeight="1" x14ac:dyDescent="0.3">
      <c r="G1411" s="105"/>
    </row>
    <row r="1412" spans="7:7" ht="15" customHeight="1" x14ac:dyDescent="0.3">
      <c r="G1412" s="105"/>
    </row>
    <row r="1413" spans="7:7" ht="15" customHeight="1" x14ac:dyDescent="0.3">
      <c r="G1413" s="105"/>
    </row>
    <row r="1414" spans="7:7" ht="15" customHeight="1" x14ac:dyDescent="0.3">
      <c r="G1414" s="105"/>
    </row>
    <row r="1415" spans="7:7" ht="15" customHeight="1" x14ac:dyDescent="0.3">
      <c r="G1415" s="105"/>
    </row>
    <row r="1416" spans="7:7" ht="15" customHeight="1" x14ac:dyDescent="0.3">
      <c r="G1416" s="105"/>
    </row>
    <row r="1417" spans="7:7" ht="15" customHeight="1" x14ac:dyDescent="0.3">
      <c r="G1417" s="105"/>
    </row>
    <row r="1418" spans="7:7" ht="15" customHeight="1" x14ac:dyDescent="0.3">
      <c r="G1418" s="105"/>
    </row>
    <row r="1419" spans="7:7" ht="15" customHeight="1" x14ac:dyDescent="0.3">
      <c r="G1419" s="105"/>
    </row>
    <row r="1420" spans="7:7" ht="15" customHeight="1" x14ac:dyDescent="0.3">
      <c r="G1420" s="105"/>
    </row>
    <row r="1421" spans="7:7" ht="15" customHeight="1" x14ac:dyDescent="0.3">
      <c r="G1421" s="105"/>
    </row>
    <row r="1422" spans="7:7" ht="15" customHeight="1" x14ac:dyDescent="0.3">
      <c r="G1422" s="105"/>
    </row>
    <row r="1423" spans="7:7" ht="15" customHeight="1" x14ac:dyDescent="0.3">
      <c r="G1423" s="105"/>
    </row>
    <row r="1424" spans="7:7" ht="15" customHeight="1" x14ac:dyDescent="0.3">
      <c r="G1424" s="105"/>
    </row>
    <row r="1425" spans="7:7" ht="15" customHeight="1" x14ac:dyDescent="0.3">
      <c r="G1425" s="105"/>
    </row>
    <row r="1426" spans="7:7" ht="15" customHeight="1" x14ac:dyDescent="0.3">
      <c r="G1426" s="105"/>
    </row>
    <row r="1427" spans="7:7" ht="15" customHeight="1" x14ac:dyDescent="0.3">
      <c r="G1427" s="105"/>
    </row>
    <row r="1428" spans="7:7" ht="15" customHeight="1" x14ac:dyDescent="0.3">
      <c r="G1428" s="105"/>
    </row>
    <row r="1429" spans="7:7" ht="15" customHeight="1" x14ac:dyDescent="0.3">
      <c r="G1429" s="105"/>
    </row>
    <row r="1430" spans="7:7" ht="15" customHeight="1" x14ac:dyDescent="0.3">
      <c r="G1430" s="105"/>
    </row>
    <row r="1431" spans="7:7" ht="15" customHeight="1" x14ac:dyDescent="0.3">
      <c r="G1431" s="105"/>
    </row>
    <row r="1432" spans="7:7" ht="15" customHeight="1" x14ac:dyDescent="0.3">
      <c r="G1432" s="105"/>
    </row>
    <row r="1433" spans="7:7" ht="15" customHeight="1" x14ac:dyDescent="0.3">
      <c r="G1433" s="105"/>
    </row>
    <row r="1434" spans="7:7" ht="15" customHeight="1" x14ac:dyDescent="0.3">
      <c r="G1434" s="105"/>
    </row>
    <row r="1435" spans="7:7" ht="15" customHeight="1" x14ac:dyDescent="0.3">
      <c r="G1435" s="105"/>
    </row>
    <row r="1436" spans="7:7" ht="15" customHeight="1" x14ac:dyDescent="0.3">
      <c r="G1436" s="105"/>
    </row>
    <row r="1437" spans="7:7" ht="15" customHeight="1" x14ac:dyDescent="0.3">
      <c r="G1437" s="105"/>
    </row>
    <row r="1438" spans="7:7" ht="15" customHeight="1" x14ac:dyDescent="0.3">
      <c r="G1438" s="105"/>
    </row>
    <row r="1439" spans="7:7" ht="15" customHeight="1" x14ac:dyDescent="0.3">
      <c r="G1439" s="105"/>
    </row>
    <row r="1440" spans="7:7" ht="15" customHeight="1" x14ac:dyDescent="0.3">
      <c r="G1440" s="105"/>
    </row>
    <row r="1441" spans="7:7" ht="15" customHeight="1" x14ac:dyDescent="0.3">
      <c r="G1441" s="105"/>
    </row>
    <row r="1442" spans="7:7" ht="15" customHeight="1" x14ac:dyDescent="0.3">
      <c r="G1442" s="105"/>
    </row>
    <row r="1443" spans="7:7" ht="15" customHeight="1" x14ac:dyDescent="0.3">
      <c r="G1443" s="105"/>
    </row>
    <row r="1444" spans="7:7" ht="15" customHeight="1" x14ac:dyDescent="0.3">
      <c r="G1444" s="105"/>
    </row>
    <row r="1445" spans="7:7" ht="15" customHeight="1" x14ac:dyDescent="0.3">
      <c r="G1445" s="105"/>
    </row>
    <row r="1446" spans="7:7" ht="15" customHeight="1" x14ac:dyDescent="0.3">
      <c r="G1446" s="105"/>
    </row>
    <row r="1447" spans="7:7" ht="15" customHeight="1" x14ac:dyDescent="0.3">
      <c r="G1447" s="105"/>
    </row>
    <row r="1448" spans="7:7" ht="15" customHeight="1" x14ac:dyDescent="0.3">
      <c r="G1448" s="105"/>
    </row>
    <row r="1449" spans="7:7" ht="15" customHeight="1" x14ac:dyDescent="0.3">
      <c r="G1449" s="105"/>
    </row>
    <row r="1450" spans="7:7" ht="15" customHeight="1" x14ac:dyDescent="0.3">
      <c r="G1450" s="105"/>
    </row>
    <row r="1451" spans="7:7" ht="15" customHeight="1" x14ac:dyDescent="0.3">
      <c r="G1451" s="105"/>
    </row>
    <row r="1452" spans="7:7" ht="15" customHeight="1" x14ac:dyDescent="0.3">
      <c r="G1452" s="105"/>
    </row>
    <row r="1453" spans="7:7" ht="15" customHeight="1" x14ac:dyDescent="0.3">
      <c r="G1453" s="105"/>
    </row>
    <row r="1454" spans="7:7" ht="15" customHeight="1" x14ac:dyDescent="0.3">
      <c r="G1454" s="105"/>
    </row>
    <row r="1455" spans="7:7" ht="15" customHeight="1" x14ac:dyDescent="0.3">
      <c r="G1455" s="105"/>
    </row>
    <row r="1456" spans="7:7" ht="15" customHeight="1" x14ac:dyDescent="0.3">
      <c r="G1456" s="105"/>
    </row>
    <row r="1457" spans="7:7" ht="15" customHeight="1" x14ac:dyDescent="0.3">
      <c r="G1457" s="105"/>
    </row>
    <row r="1458" spans="7:7" ht="15" customHeight="1" x14ac:dyDescent="0.3">
      <c r="G1458" s="105"/>
    </row>
    <row r="1459" spans="7:7" ht="15" customHeight="1" x14ac:dyDescent="0.3">
      <c r="G1459" s="105"/>
    </row>
    <row r="1460" spans="7:7" ht="15" customHeight="1" x14ac:dyDescent="0.3">
      <c r="G1460" s="105"/>
    </row>
    <row r="1461" spans="7:7" ht="15" customHeight="1" x14ac:dyDescent="0.3">
      <c r="G1461" s="105"/>
    </row>
    <row r="1462" spans="7:7" ht="15" customHeight="1" x14ac:dyDescent="0.3">
      <c r="G1462" s="105"/>
    </row>
    <row r="1463" spans="7:7" ht="15" customHeight="1" x14ac:dyDescent="0.3">
      <c r="G1463" s="105"/>
    </row>
    <row r="1464" spans="7:7" ht="15" customHeight="1" x14ac:dyDescent="0.3">
      <c r="G1464" s="105"/>
    </row>
    <row r="1465" spans="7:7" ht="15" customHeight="1" x14ac:dyDescent="0.3">
      <c r="G1465" s="105"/>
    </row>
    <row r="1466" spans="7:7" ht="15" customHeight="1" x14ac:dyDescent="0.3">
      <c r="G1466" s="105"/>
    </row>
    <row r="1467" spans="7:7" ht="15" customHeight="1" x14ac:dyDescent="0.3">
      <c r="G1467" s="105"/>
    </row>
    <row r="1468" spans="7:7" ht="15" customHeight="1" x14ac:dyDescent="0.3">
      <c r="G1468" s="105"/>
    </row>
    <row r="1469" spans="7:7" ht="15" customHeight="1" x14ac:dyDescent="0.3">
      <c r="G1469" s="105"/>
    </row>
    <row r="1470" spans="7:7" ht="15" customHeight="1" x14ac:dyDescent="0.3">
      <c r="G1470" s="105"/>
    </row>
    <row r="1471" spans="7:7" ht="15" customHeight="1" x14ac:dyDescent="0.3">
      <c r="G1471" s="105"/>
    </row>
    <row r="1472" spans="7:7" ht="15" customHeight="1" x14ac:dyDescent="0.3">
      <c r="G1472" s="105"/>
    </row>
    <row r="1473" spans="7:7" ht="15" customHeight="1" x14ac:dyDescent="0.3">
      <c r="G1473" s="105"/>
    </row>
    <row r="1474" spans="7:7" ht="15" customHeight="1" x14ac:dyDescent="0.3">
      <c r="G1474" s="105"/>
    </row>
    <row r="1475" spans="7:7" ht="15" customHeight="1" x14ac:dyDescent="0.3">
      <c r="G1475" s="105"/>
    </row>
    <row r="1476" spans="7:7" ht="15" customHeight="1" x14ac:dyDescent="0.3">
      <c r="G1476" s="105"/>
    </row>
    <row r="1477" spans="7:7" ht="15" customHeight="1" x14ac:dyDescent="0.3">
      <c r="G1477" s="105"/>
    </row>
    <row r="1478" spans="7:7" ht="15" customHeight="1" x14ac:dyDescent="0.3">
      <c r="G1478" s="105"/>
    </row>
    <row r="1479" spans="7:7" ht="15" customHeight="1" x14ac:dyDescent="0.3">
      <c r="G1479" s="105"/>
    </row>
    <row r="1480" spans="7:7" ht="15" customHeight="1" x14ac:dyDescent="0.3">
      <c r="G1480" s="105"/>
    </row>
    <row r="1481" spans="7:7" ht="15" customHeight="1" x14ac:dyDescent="0.3">
      <c r="G1481" s="105"/>
    </row>
    <row r="1482" spans="7:7" ht="15" customHeight="1" x14ac:dyDescent="0.3">
      <c r="G1482" s="105"/>
    </row>
    <row r="1483" spans="7:7" ht="15" customHeight="1" x14ac:dyDescent="0.3">
      <c r="G1483" s="105"/>
    </row>
    <row r="1484" spans="7:7" ht="15" customHeight="1" x14ac:dyDescent="0.3">
      <c r="G1484" s="105"/>
    </row>
    <row r="1485" spans="7:7" ht="15" customHeight="1" x14ac:dyDescent="0.3">
      <c r="G1485" s="105"/>
    </row>
    <row r="1486" spans="7:7" ht="15" customHeight="1" x14ac:dyDescent="0.3">
      <c r="G1486" s="105"/>
    </row>
    <row r="1487" spans="7:7" ht="15" customHeight="1" x14ac:dyDescent="0.3">
      <c r="G1487" s="105"/>
    </row>
    <row r="1488" spans="7:7" ht="15" customHeight="1" x14ac:dyDescent="0.3">
      <c r="G1488" s="105"/>
    </row>
    <row r="1489" spans="7:7" ht="15" customHeight="1" x14ac:dyDescent="0.3">
      <c r="G1489" s="105"/>
    </row>
    <row r="1490" spans="7:7" ht="15" customHeight="1" x14ac:dyDescent="0.3">
      <c r="G1490" s="105"/>
    </row>
    <row r="1491" spans="7:7" ht="15" customHeight="1" x14ac:dyDescent="0.3">
      <c r="G1491" s="105"/>
    </row>
    <row r="1492" spans="7:7" ht="15" customHeight="1" x14ac:dyDescent="0.3">
      <c r="G1492" s="105"/>
    </row>
    <row r="1493" spans="7:7" ht="15" customHeight="1" x14ac:dyDescent="0.3">
      <c r="G1493" s="105"/>
    </row>
    <row r="1494" spans="7:7" ht="15" customHeight="1" x14ac:dyDescent="0.3">
      <c r="G1494" s="105"/>
    </row>
    <row r="1495" spans="7:7" ht="15" customHeight="1" x14ac:dyDescent="0.3">
      <c r="G1495" s="105"/>
    </row>
    <row r="1496" spans="7:7" ht="15" customHeight="1" x14ac:dyDescent="0.3">
      <c r="G1496" s="105"/>
    </row>
    <row r="1497" spans="7:7" ht="15" customHeight="1" x14ac:dyDescent="0.3">
      <c r="G1497" s="105"/>
    </row>
    <row r="1498" spans="7:7" ht="15" customHeight="1" x14ac:dyDescent="0.3">
      <c r="G1498" s="105"/>
    </row>
    <row r="1499" spans="7:7" ht="15" customHeight="1" x14ac:dyDescent="0.3">
      <c r="G1499" s="105"/>
    </row>
    <row r="1500" spans="7:7" ht="15" customHeight="1" x14ac:dyDescent="0.3">
      <c r="G1500" s="105"/>
    </row>
    <row r="1501" spans="7:7" ht="15" customHeight="1" x14ac:dyDescent="0.3">
      <c r="G1501" s="105"/>
    </row>
    <row r="1502" spans="7:7" ht="15" customHeight="1" x14ac:dyDescent="0.3">
      <c r="G1502" s="105"/>
    </row>
    <row r="1503" spans="7:7" ht="15" customHeight="1" x14ac:dyDescent="0.3">
      <c r="G1503" s="105"/>
    </row>
    <row r="1504" spans="7:7" ht="15" customHeight="1" x14ac:dyDescent="0.3">
      <c r="G1504" s="105"/>
    </row>
    <row r="1505" spans="7:7" ht="15" customHeight="1" x14ac:dyDescent="0.3">
      <c r="G1505" s="105"/>
    </row>
    <row r="1506" spans="7:7" ht="15" customHeight="1" x14ac:dyDescent="0.3">
      <c r="G1506" s="105"/>
    </row>
    <row r="1507" spans="7:7" ht="15" customHeight="1" x14ac:dyDescent="0.3">
      <c r="G1507" s="105"/>
    </row>
    <row r="1508" spans="7:7" ht="15" customHeight="1" x14ac:dyDescent="0.3">
      <c r="G1508" s="105"/>
    </row>
    <row r="1509" spans="7:7" ht="15" customHeight="1" x14ac:dyDescent="0.3">
      <c r="G1509" s="105"/>
    </row>
    <row r="1510" spans="7:7" ht="15" customHeight="1" x14ac:dyDescent="0.3">
      <c r="G1510" s="105"/>
    </row>
    <row r="1511" spans="7:7" ht="15" customHeight="1" x14ac:dyDescent="0.3">
      <c r="G1511" s="105"/>
    </row>
    <row r="1512" spans="7:7" ht="15" customHeight="1" x14ac:dyDescent="0.3">
      <c r="G1512" s="105"/>
    </row>
    <row r="1513" spans="7:7" ht="15" customHeight="1" x14ac:dyDescent="0.3">
      <c r="G1513" s="105"/>
    </row>
    <row r="1514" spans="7:7" ht="15" customHeight="1" x14ac:dyDescent="0.3">
      <c r="G1514" s="105"/>
    </row>
    <row r="1515" spans="7:7" ht="15" customHeight="1" x14ac:dyDescent="0.3">
      <c r="G1515" s="105"/>
    </row>
    <row r="1516" spans="7:7" ht="15" customHeight="1" x14ac:dyDescent="0.3">
      <c r="G1516" s="105"/>
    </row>
    <row r="1517" spans="7:7" ht="15" customHeight="1" x14ac:dyDescent="0.3">
      <c r="G1517" s="105"/>
    </row>
    <row r="1518" spans="7:7" ht="15" customHeight="1" x14ac:dyDescent="0.3">
      <c r="G1518" s="105"/>
    </row>
    <row r="1519" spans="7:7" ht="15" customHeight="1" x14ac:dyDescent="0.3">
      <c r="G1519" s="105"/>
    </row>
    <row r="1520" spans="7:7" ht="15" customHeight="1" x14ac:dyDescent="0.3">
      <c r="G1520" s="105"/>
    </row>
    <row r="1521" spans="7:7" ht="15" customHeight="1" x14ac:dyDescent="0.3">
      <c r="G1521" s="105"/>
    </row>
    <row r="1522" spans="7:7" ht="15" customHeight="1" x14ac:dyDescent="0.3">
      <c r="G1522" s="105"/>
    </row>
    <row r="1523" spans="7:7" ht="15" customHeight="1" x14ac:dyDescent="0.3">
      <c r="G1523" s="105"/>
    </row>
    <row r="1524" spans="7:7" ht="15" customHeight="1" x14ac:dyDescent="0.3">
      <c r="G1524" s="105"/>
    </row>
    <row r="1525" spans="7:7" ht="15" customHeight="1" x14ac:dyDescent="0.3">
      <c r="G1525" s="105"/>
    </row>
    <row r="1526" spans="7:7" ht="15" customHeight="1" x14ac:dyDescent="0.3">
      <c r="G1526" s="105"/>
    </row>
    <row r="1527" spans="7:7" ht="15" customHeight="1" x14ac:dyDescent="0.3">
      <c r="G1527" s="105"/>
    </row>
    <row r="1528" spans="7:7" ht="15" customHeight="1" x14ac:dyDescent="0.3">
      <c r="G1528" s="105"/>
    </row>
    <row r="1529" spans="7:7" ht="15" customHeight="1" x14ac:dyDescent="0.3">
      <c r="G1529" s="105"/>
    </row>
    <row r="1530" spans="7:7" ht="15" customHeight="1" x14ac:dyDescent="0.3">
      <c r="G1530" s="105"/>
    </row>
    <row r="1531" spans="7:7" ht="15" customHeight="1" x14ac:dyDescent="0.3">
      <c r="G1531" s="105"/>
    </row>
    <row r="1532" spans="7:7" ht="15" customHeight="1" x14ac:dyDescent="0.3">
      <c r="G1532" s="105"/>
    </row>
    <row r="1533" spans="7:7" ht="15" customHeight="1" x14ac:dyDescent="0.3">
      <c r="G1533" s="105"/>
    </row>
    <row r="1534" spans="7:7" ht="15" customHeight="1" x14ac:dyDescent="0.3">
      <c r="G1534" s="105"/>
    </row>
    <row r="1535" spans="7:7" ht="15" customHeight="1" x14ac:dyDescent="0.3">
      <c r="G1535" s="105"/>
    </row>
    <row r="1536" spans="7:7" ht="15" customHeight="1" x14ac:dyDescent="0.3">
      <c r="G1536" s="105"/>
    </row>
    <row r="1537" spans="1:7" ht="15" customHeight="1" x14ac:dyDescent="0.3">
      <c r="G1537" s="105"/>
    </row>
    <row r="1538" spans="1:7" ht="15" customHeight="1" x14ac:dyDescent="0.3">
      <c r="G1538" s="105"/>
    </row>
    <row r="1539" spans="1:7" ht="15" customHeight="1" x14ac:dyDescent="0.3">
      <c r="G1539" s="105"/>
    </row>
    <row r="1540" spans="1:7" ht="15" customHeight="1" x14ac:dyDescent="0.3">
      <c r="G1540" s="105"/>
    </row>
    <row r="1541" spans="1:7" ht="15" customHeight="1" x14ac:dyDescent="0.3">
      <c r="G1541" s="105"/>
    </row>
    <row r="1542" spans="1:7" ht="15" customHeight="1" x14ac:dyDescent="0.3">
      <c r="A1542" s="8"/>
      <c r="B1542" s="8"/>
      <c r="C1542" s="8"/>
      <c r="D1542" s="8"/>
      <c r="E1542" s="8"/>
      <c r="F1542" s="104"/>
      <c r="G1542" s="105"/>
    </row>
    <row r="1543" spans="1:7" ht="15" customHeight="1" x14ac:dyDescent="0.3">
      <c r="A1543" s="8"/>
      <c r="B1543" s="8"/>
      <c r="C1543" s="8"/>
      <c r="D1543" s="8"/>
      <c r="E1543" s="8"/>
      <c r="F1543" s="104"/>
      <c r="G1543" s="105"/>
    </row>
    <row r="1544" spans="1:7" ht="15" customHeight="1" x14ac:dyDescent="0.3">
      <c r="A1544" s="8"/>
      <c r="B1544" s="8"/>
      <c r="C1544" s="8"/>
      <c r="D1544" s="8"/>
      <c r="E1544" s="8"/>
      <c r="F1544" s="104"/>
      <c r="G1544" s="105"/>
    </row>
    <row r="1545" spans="1:7" ht="15" customHeight="1" x14ac:dyDescent="0.3">
      <c r="A1545" s="8"/>
      <c r="B1545" s="8"/>
      <c r="C1545" s="8"/>
      <c r="D1545" s="8"/>
      <c r="E1545" s="8"/>
      <c r="F1545" s="104"/>
      <c r="G1545" s="105"/>
    </row>
    <row r="1546" spans="1:7" ht="15" customHeight="1" x14ac:dyDescent="0.3">
      <c r="A1546" s="8"/>
      <c r="B1546" s="8"/>
      <c r="C1546" s="8"/>
      <c r="D1546" s="8"/>
      <c r="E1546" s="8"/>
      <c r="F1546" s="104"/>
      <c r="G1546" s="105"/>
    </row>
    <row r="1547" spans="1:7" ht="15" customHeight="1" x14ac:dyDescent="0.3">
      <c r="A1547" s="8"/>
      <c r="B1547" s="8"/>
      <c r="C1547" s="8"/>
      <c r="D1547" s="8"/>
      <c r="E1547" s="8"/>
      <c r="F1547" s="104"/>
      <c r="G1547" s="105"/>
    </row>
    <row r="1548" spans="1:7" ht="15" customHeight="1" x14ac:dyDescent="0.3">
      <c r="A1548" s="8"/>
      <c r="B1548" s="8"/>
      <c r="C1548" s="8"/>
      <c r="D1548" s="8"/>
      <c r="E1548" s="8"/>
      <c r="F1548" s="104"/>
      <c r="G1548" s="105"/>
    </row>
    <row r="1549" spans="1:7" ht="15" customHeight="1" x14ac:dyDescent="0.3">
      <c r="A1549" s="8"/>
      <c r="B1549" s="8"/>
      <c r="C1549" s="8"/>
      <c r="D1549" s="8"/>
      <c r="E1549" s="8"/>
      <c r="F1549" s="104"/>
      <c r="G1549" s="105"/>
    </row>
    <row r="1550" spans="1:7" ht="15" customHeight="1" x14ac:dyDescent="0.3">
      <c r="A1550" s="8"/>
      <c r="B1550" s="8"/>
      <c r="C1550" s="8"/>
      <c r="D1550" s="8"/>
      <c r="E1550" s="8"/>
      <c r="F1550" s="104"/>
      <c r="G1550" s="105"/>
    </row>
    <row r="1551" spans="1:7" ht="15" customHeight="1" x14ac:dyDescent="0.3">
      <c r="A1551" s="8"/>
      <c r="B1551" s="8"/>
      <c r="C1551" s="8"/>
      <c r="D1551" s="8"/>
      <c r="E1551" s="8"/>
      <c r="F1551" s="104"/>
      <c r="G1551" s="105"/>
    </row>
    <row r="1552" spans="1:7" ht="15" customHeight="1" x14ac:dyDescent="0.3">
      <c r="A1552" s="8"/>
      <c r="B1552" s="8"/>
      <c r="C1552" s="8"/>
      <c r="D1552" s="8"/>
      <c r="E1552" s="8"/>
      <c r="F1552" s="104"/>
      <c r="G1552" s="105"/>
    </row>
    <row r="1553" spans="1:7" ht="15" customHeight="1" x14ac:dyDescent="0.3">
      <c r="A1553" s="8"/>
      <c r="B1553" s="8"/>
      <c r="C1553" s="8"/>
      <c r="D1553" s="8"/>
      <c r="E1553" s="8"/>
      <c r="F1553" s="104"/>
      <c r="G1553" s="105"/>
    </row>
    <row r="1554" spans="1:7" ht="15" customHeight="1" x14ac:dyDescent="0.3">
      <c r="A1554" s="93" t="s">
        <v>7</v>
      </c>
      <c r="B1554" s="93" t="s">
        <v>495</v>
      </c>
      <c r="C1554" s="93" t="s">
        <v>94</v>
      </c>
      <c r="D1554" s="93">
        <v>1.83</v>
      </c>
      <c r="E1554" s="93">
        <v>6</v>
      </c>
      <c r="F1554" s="106">
        <v>67953</v>
      </c>
    </row>
    <row r="1555" spans="1:7" ht="15" customHeight="1" x14ac:dyDescent="0.3">
      <c r="A1555" s="93" t="s">
        <v>7</v>
      </c>
      <c r="B1555" s="93" t="s">
        <v>93</v>
      </c>
      <c r="C1555" s="93" t="s">
        <v>94</v>
      </c>
      <c r="D1555" s="93">
        <v>1.83</v>
      </c>
      <c r="E1555" s="93">
        <v>9</v>
      </c>
      <c r="F1555" s="106">
        <v>78108</v>
      </c>
    </row>
    <row r="1556" spans="1:7" ht="15" customHeight="1" x14ac:dyDescent="0.3">
      <c r="A1556" s="93" t="s">
        <v>7</v>
      </c>
      <c r="B1556" s="93" t="s">
        <v>93</v>
      </c>
      <c r="C1556" s="93" t="s">
        <v>94</v>
      </c>
      <c r="D1556" s="93">
        <v>1.83</v>
      </c>
      <c r="E1556" s="93">
        <v>12</v>
      </c>
      <c r="F1556" s="106">
        <v>96567</v>
      </c>
    </row>
    <row r="1557" spans="1:7" ht="15" customHeight="1" x14ac:dyDescent="0.3">
      <c r="A1557" s="93" t="s">
        <v>7</v>
      </c>
      <c r="B1557" s="93" t="s">
        <v>93</v>
      </c>
      <c r="C1557" s="93" t="s">
        <v>94</v>
      </c>
      <c r="D1557" s="93">
        <v>1.83</v>
      </c>
      <c r="E1557" s="93">
        <v>15</v>
      </c>
      <c r="F1557" s="106">
        <v>112773</v>
      </c>
    </row>
    <row r="1558" spans="1:7" ht="15" customHeight="1" x14ac:dyDescent="0.3">
      <c r="A1558" s="93" t="s">
        <v>7</v>
      </c>
      <c r="B1558" s="93" t="s">
        <v>93</v>
      </c>
      <c r="C1558" s="93" t="s">
        <v>94</v>
      </c>
      <c r="D1558" s="93">
        <v>1.83</v>
      </c>
      <c r="E1558" s="93">
        <v>18</v>
      </c>
      <c r="F1558" s="106">
        <v>132689</v>
      </c>
    </row>
    <row r="1559" spans="1:7" ht="15" customHeight="1" x14ac:dyDescent="0.3">
      <c r="A1559" s="93" t="s">
        <v>7</v>
      </c>
      <c r="B1559" s="93" t="s">
        <v>93</v>
      </c>
      <c r="C1559" s="93" t="s">
        <v>94</v>
      </c>
      <c r="D1559" s="93">
        <v>1.83</v>
      </c>
      <c r="E1559" s="93">
        <v>25</v>
      </c>
      <c r="F1559" s="106">
        <v>184018</v>
      </c>
    </row>
    <row r="1560" spans="1:7" ht="15" customHeight="1" x14ac:dyDescent="0.3">
      <c r="A1560" s="93" t="s">
        <v>7</v>
      </c>
      <c r="B1560" s="93" t="s">
        <v>93</v>
      </c>
      <c r="C1560" s="93" t="s">
        <v>94</v>
      </c>
      <c r="D1560" s="93">
        <v>1.83</v>
      </c>
      <c r="E1560" s="93">
        <v>30</v>
      </c>
      <c r="F1560" s="106">
        <v>220934</v>
      </c>
    </row>
    <row r="1561" spans="1:7" ht="15" customHeight="1" x14ac:dyDescent="0.3">
      <c r="A1561" s="93" t="s">
        <v>7</v>
      </c>
      <c r="B1561" s="93" t="s">
        <v>93</v>
      </c>
      <c r="C1561" s="93" t="s">
        <v>94</v>
      </c>
      <c r="D1561" s="93">
        <v>1.83</v>
      </c>
      <c r="E1561" s="93">
        <v>36</v>
      </c>
      <c r="F1561" s="106">
        <v>257394</v>
      </c>
    </row>
    <row r="1562" spans="1:7" ht="15" customHeight="1" x14ac:dyDescent="0.3">
      <c r="A1562" s="93" t="s">
        <v>95</v>
      </c>
      <c r="B1562" s="93" t="s">
        <v>96</v>
      </c>
      <c r="C1562" s="93" t="s">
        <v>94</v>
      </c>
      <c r="D1562" s="93">
        <v>1.83</v>
      </c>
      <c r="E1562" s="93">
        <v>6</v>
      </c>
      <c r="F1562" s="106">
        <v>84263</v>
      </c>
    </row>
    <row r="1563" spans="1:7" ht="15" customHeight="1" x14ac:dyDescent="0.3">
      <c r="A1563" s="93" t="s">
        <v>95</v>
      </c>
      <c r="B1563" s="93" t="s">
        <v>96</v>
      </c>
      <c r="C1563" s="93" t="s">
        <v>94</v>
      </c>
      <c r="D1563" s="93">
        <v>1.83</v>
      </c>
      <c r="E1563" s="93">
        <v>9</v>
      </c>
      <c r="F1563" s="106">
        <v>96817</v>
      </c>
    </row>
    <row r="1564" spans="1:7" ht="15" customHeight="1" x14ac:dyDescent="0.3">
      <c r="A1564" s="93" t="s">
        <v>95</v>
      </c>
      <c r="B1564" s="93" t="s">
        <v>96</v>
      </c>
      <c r="C1564" s="93" t="s">
        <v>94</v>
      </c>
      <c r="D1564" s="93">
        <v>1.83</v>
      </c>
      <c r="E1564" s="93">
        <v>12</v>
      </c>
      <c r="F1564" s="106">
        <v>119658</v>
      </c>
    </row>
    <row r="1565" spans="1:7" ht="15" customHeight="1" x14ac:dyDescent="0.3">
      <c r="A1565" s="93" t="s">
        <v>95</v>
      </c>
      <c r="B1565" s="93" t="s">
        <v>96</v>
      </c>
      <c r="C1565" s="93" t="s">
        <v>94</v>
      </c>
      <c r="D1565" s="93">
        <v>1.83</v>
      </c>
      <c r="E1565" s="93">
        <v>15</v>
      </c>
      <c r="F1565" s="106">
        <v>139792</v>
      </c>
    </row>
    <row r="1566" spans="1:7" ht="15" customHeight="1" x14ac:dyDescent="0.3">
      <c r="A1566" s="93" t="s">
        <v>95</v>
      </c>
      <c r="B1566" s="93" t="s">
        <v>96</v>
      </c>
      <c r="C1566" s="93" t="s">
        <v>94</v>
      </c>
      <c r="D1566" s="93">
        <v>1.83</v>
      </c>
      <c r="E1566" s="93">
        <v>18</v>
      </c>
      <c r="F1566" s="106">
        <v>173380</v>
      </c>
    </row>
    <row r="1567" spans="1:7" ht="15" customHeight="1" x14ac:dyDescent="0.3">
      <c r="A1567" s="93" t="s">
        <v>95</v>
      </c>
      <c r="B1567" s="93" t="s">
        <v>96</v>
      </c>
      <c r="C1567" s="93" t="s">
        <v>94</v>
      </c>
      <c r="D1567" s="93">
        <v>1.83</v>
      </c>
      <c r="E1567" s="93">
        <v>25</v>
      </c>
      <c r="F1567" s="106">
        <v>228004</v>
      </c>
    </row>
    <row r="1568" spans="1:7" ht="15" customHeight="1" x14ac:dyDescent="0.3">
      <c r="A1568" s="93" t="s">
        <v>95</v>
      </c>
      <c r="B1568" s="93" t="s">
        <v>96</v>
      </c>
      <c r="C1568" s="93" t="s">
        <v>94</v>
      </c>
      <c r="D1568" s="93">
        <v>1.83</v>
      </c>
      <c r="E1568" s="93">
        <v>30</v>
      </c>
      <c r="F1568" s="106">
        <v>273590</v>
      </c>
    </row>
    <row r="1569" spans="1:6" ht="15" customHeight="1" x14ac:dyDescent="0.3">
      <c r="A1569" s="93" t="s">
        <v>95</v>
      </c>
      <c r="B1569" s="93" t="s">
        <v>96</v>
      </c>
      <c r="C1569" s="93" t="s">
        <v>94</v>
      </c>
      <c r="D1569" s="93">
        <v>1.83</v>
      </c>
      <c r="E1569" s="93">
        <v>36</v>
      </c>
      <c r="F1569" s="106">
        <v>318827</v>
      </c>
    </row>
    <row r="1570" spans="1:6" x14ac:dyDescent="0.3">
      <c r="A1570" s="93" t="s">
        <v>97</v>
      </c>
      <c r="B1570" s="93" t="s">
        <v>93</v>
      </c>
      <c r="C1570" s="93" t="s">
        <v>98</v>
      </c>
      <c r="D1570" s="93">
        <v>1.83</v>
      </c>
      <c r="E1570" s="93">
        <v>6</v>
      </c>
      <c r="F1570" s="106">
        <v>126272</v>
      </c>
    </row>
    <row r="1571" spans="1:6" x14ac:dyDescent="0.3">
      <c r="A1571" s="93" t="s">
        <v>97</v>
      </c>
      <c r="B1571" s="93" t="s">
        <v>93</v>
      </c>
      <c r="C1571" s="93" t="s">
        <v>98</v>
      </c>
      <c r="D1571" s="93">
        <v>1.83</v>
      </c>
      <c r="E1571" s="93">
        <v>9</v>
      </c>
      <c r="F1571" s="106">
        <v>150861</v>
      </c>
    </row>
    <row r="1572" spans="1:6" x14ac:dyDescent="0.3">
      <c r="A1572" s="93" t="s">
        <v>97</v>
      </c>
      <c r="B1572" s="93" t="s">
        <v>93</v>
      </c>
      <c r="C1572" s="93" t="s">
        <v>98</v>
      </c>
      <c r="D1572" s="93">
        <v>1.83</v>
      </c>
      <c r="E1572" s="93">
        <v>12</v>
      </c>
      <c r="F1572" s="106">
        <v>169635</v>
      </c>
    </row>
    <row r="1573" spans="1:6" x14ac:dyDescent="0.3">
      <c r="A1573" s="93" t="s">
        <v>97</v>
      </c>
      <c r="B1573" s="93" t="s">
        <v>93</v>
      </c>
      <c r="C1573" s="93" t="s">
        <v>98</v>
      </c>
      <c r="D1573" s="93">
        <v>1.83</v>
      </c>
      <c r="E1573" s="93">
        <v>15</v>
      </c>
      <c r="F1573" s="106">
        <v>178311</v>
      </c>
    </row>
    <row r="1574" spans="1:6" x14ac:dyDescent="0.3">
      <c r="A1574" s="93" t="s">
        <v>97</v>
      </c>
      <c r="B1574" s="93" t="s">
        <v>93</v>
      </c>
      <c r="C1574" s="93" t="s">
        <v>98</v>
      </c>
      <c r="D1574" s="93">
        <v>1.83</v>
      </c>
      <c r="E1574" s="93">
        <v>18</v>
      </c>
      <c r="F1574" s="106">
        <v>197322</v>
      </c>
    </row>
    <row r="1575" spans="1:6" x14ac:dyDescent="0.3">
      <c r="A1575" s="93" t="s">
        <v>97</v>
      </c>
      <c r="B1575" s="93" t="s">
        <v>93</v>
      </c>
      <c r="C1575" s="93" t="s">
        <v>98</v>
      </c>
      <c r="D1575" s="93">
        <v>1.83</v>
      </c>
      <c r="E1575" s="93">
        <v>25</v>
      </c>
      <c r="F1575" s="106">
        <v>274534</v>
      </c>
    </row>
    <row r="1576" spans="1:6" x14ac:dyDescent="0.3">
      <c r="A1576" s="93" t="s">
        <v>97</v>
      </c>
      <c r="B1576" s="93" t="s">
        <v>93</v>
      </c>
      <c r="C1576" s="93" t="s">
        <v>98</v>
      </c>
      <c r="D1576" s="93">
        <v>1.83</v>
      </c>
      <c r="E1576" s="93">
        <v>30</v>
      </c>
      <c r="F1576" s="106">
        <v>306044</v>
      </c>
    </row>
    <row r="1577" spans="1:6" x14ac:dyDescent="0.3">
      <c r="A1577" s="93" t="s">
        <v>97</v>
      </c>
      <c r="B1577" s="93" t="s">
        <v>93</v>
      </c>
      <c r="C1577" s="93" t="s">
        <v>98</v>
      </c>
      <c r="D1577" s="93">
        <v>1.83</v>
      </c>
      <c r="E1577" s="93">
        <v>36</v>
      </c>
      <c r="F1577" s="106">
        <v>306392</v>
      </c>
    </row>
    <row r="1578" spans="1:6" x14ac:dyDescent="0.3">
      <c r="A1578" s="93" t="s">
        <v>99</v>
      </c>
      <c r="B1578" s="93" t="s">
        <v>96</v>
      </c>
      <c r="C1578" s="93" t="s">
        <v>98</v>
      </c>
      <c r="D1578" s="93">
        <v>1.83</v>
      </c>
      <c r="E1578" s="93">
        <v>6</v>
      </c>
      <c r="F1578" s="106">
        <v>152506</v>
      </c>
    </row>
    <row r="1579" spans="1:6" x14ac:dyDescent="0.3">
      <c r="A1579" s="93" t="s">
        <v>99</v>
      </c>
      <c r="B1579" s="93" t="s">
        <v>96</v>
      </c>
      <c r="C1579" s="93" t="s">
        <v>98</v>
      </c>
      <c r="D1579" s="93">
        <v>1.83</v>
      </c>
      <c r="E1579" s="93">
        <v>9</v>
      </c>
      <c r="F1579" s="106">
        <v>173728</v>
      </c>
    </row>
    <row r="1580" spans="1:6" x14ac:dyDescent="0.3">
      <c r="A1580" s="93" t="s">
        <v>99</v>
      </c>
      <c r="B1580" s="93" t="s">
        <v>96</v>
      </c>
      <c r="C1580" s="93" t="s">
        <v>98</v>
      </c>
      <c r="D1580" s="93">
        <v>1.83</v>
      </c>
      <c r="E1580" s="93">
        <v>12</v>
      </c>
      <c r="F1580" s="106">
        <v>180102</v>
      </c>
    </row>
    <row r="1581" spans="1:6" x14ac:dyDescent="0.3">
      <c r="A1581" s="93" t="s">
        <v>99</v>
      </c>
      <c r="B1581" s="93" t="s">
        <v>96</v>
      </c>
      <c r="C1581" s="93" t="s">
        <v>98</v>
      </c>
      <c r="D1581" s="93">
        <v>1.83</v>
      </c>
      <c r="E1581" s="93">
        <v>15</v>
      </c>
      <c r="F1581" s="106">
        <v>198711</v>
      </c>
    </row>
    <row r="1582" spans="1:6" x14ac:dyDescent="0.3">
      <c r="A1582" s="93" t="s">
        <v>99</v>
      </c>
      <c r="B1582" s="93" t="s">
        <v>96</v>
      </c>
      <c r="C1582" s="93" t="s">
        <v>98</v>
      </c>
      <c r="D1582" s="93">
        <v>1.83</v>
      </c>
      <c r="E1582" s="93">
        <v>18</v>
      </c>
      <c r="F1582" s="106">
        <v>220308</v>
      </c>
    </row>
    <row r="1583" spans="1:6" x14ac:dyDescent="0.3">
      <c r="A1583" s="93" t="s">
        <v>99</v>
      </c>
      <c r="B1583" s="93" t="s">
        <v>96</v>
      </c>
      <c r="C1583" s="93" t="s">
        <v>98</v>
      </c>
      <c r="D1583" s="93">
        <v>1.83</v>
      </c>
      <c r="E1583" s="93">
        <v>25</v>
      </c>
      <c r="F1583" s="106">
        <v>316175</v>
      </c>
    </row>
    <row r="1584" spans="1:6" x14ac:dyDescent="0.3">
      <c r="A1584" s="93" t="s">
        <v>99</v>
      </c>
      <c r="B1584" s="93" t="s">
        <v>96</v>
      </c>
      <c r="C1584" s="93" t="s">
        <v>98</v>
      </c>
      <c r="D1584" s="93">
        <v>1.83</v>
      </c>
      <c r="E1584" s="93">
        <v>30</v>
      </c>
      <c r="F1584" s="106">
        <v>352354</v>
      </c>
    </row>
    <row r="1585" spans="1:6" ht="15" customHeight="1" x14ac:dyDescent="0.3">
      <c r="A1585" s="93" t="s">
        <v>99</v>
      </c>
      <c r="B1585" s="93" t="s">
        <v>96</v>
      </c>
      <c r="C1585" s="93" t="s">
        <v>98</v>
      </c>
      <c r="D1585" s="93">
        <v>1.83</v>
      </c>
      <c r="E1585" s="93">
        <v>36</v>
      </c>
      <c r="F1585" s="106">
        <v>353038</v>
      </c>
    </row>
    <row r="1586" spans="1:6" x14ac:dyDescent="0.3">
      <c r="A1586" s="93" t="s">
        <v>100</v>
      </c>
      <c r="B1586" s="93" t="s">
        <v>93</v>
      </c>
      <c r="C1586" s="93" t="s">
        <v>101</v>
      </c>
      <c r="D1586" s="93">
        <v>1.83</v>
      </c>
      <c r="E1586" s="93">
        <v>6</v>
      </c>
      <c r="F1586" s="106">
        <v>117801</v>
      </c>
    </row>
    <row r="1587" spans="1:6" x14ac:dyDescent="0.3">
      <c r="A1587" s="93" t="s">
        <v>100</v>
      </c>
      <c r="B1587" s="93" t="s">
        <v>93</v>
      </c>
      <c r="C1587" s="93" t="s">
        <v>101</v>
      </c>
      <c r="D1587" s="93">
        <v>1.83</v>
      </c>
      <c r="E1587" s="93">
        <v>9</v>
      </c>
      <c r="F1587" s="106">
        <v>139932</v>
      </c>
    </row>
    <row r="1588" spans="1:6" x14ac:dyDescent="0.3">
      <c r="A1588" s="93" t="s">
        <v>100</v>
      </c>
      <c r="B1588" s="93" t="s">
        <v>93</v>
      </c>
      <c r="C1588" s="93" t="s">
        <v>101</v>
      </c>
      <c r="D1588" s="93">
        <v>1.83</v>
      </c>
      <c r="E1588" s="93">
        <v>12</v>
      </c>
      <c r="F1588" s="106">
        <v>157343</v>
      </c>
    </row>
    <row r="1589" spans="1:6" x14ac:dyDescent="0.3">
      <c r="A1589" s="93" t="s">
        <v>100</v>
      </c>
      <c r="B1589" s="93" t="s">
        <v>93</v>
      </c>
      <c r="C1589" s="93" t="s">
        <v>101</v>
      </c>
      <c r="D1589" s="93">
        <v>1.83</v>
      </c>
      <c r="E1589" s="93">
        <v>15</v>
      </c>
      <c r="F1589" s="106">
        <v>170499</v>
      </c>
    </row>
    <row r="1590" spans="1:6" x14ac:dyDescent="0.3">
      <c r="A1590" s="93" t="s">
        <v>100</v>
      </c>
      <c r="B1590" s="93" t="s">
        <v>93</v>
      </c>
      <c r="C1590" s="93" t="s">
        <v>101</v>
      </c>
      <c r="D1590" s="93">
        <v>1.83</v>
      </c>
      <c r="E1590" s="93">
        <v>18</v>
      </c>
      <c r="F1590" s="106">
        <v>188679</v>
      </c>
    </row>
    <row r="1591" spans="1:6" x14ac:dyDescent="0.3">
      <c r="A1591" s="93" t="s">
        <v>100</v>
      </c>
      <c r="B1591" s="93" t="s">
        <v>93</v>
      </c>
      <c r="C1591" s="93" t="s">
        <v>101</v>
      </c>
      <c r="D1591" s="93">
        <v>1.83</v>
      </c>
      <c r="E1591" s="93">
        <v>25</v>
      </c>
      <c r="F1591" s="106">
        <v>254638</v>
      </c>
    </row>
    <row r="1592" spans="1:6" x14ac:dyDescent="0.3">
      <c r="A1592" s="93" t="s">
        <v>100</v>
      </c>
      <c r="B1592" s="93" t="s">
        <v>93</v>
      </c>
      <c r="C1592" s="93" t="s">
        <v>101</v>
      </c>
      <c r="D1592" s="93">
        <v>1.83</v>
      </c>
      <c r="E1592" s="93">
        <v>30</v>
      </c>
      <c r="F1592" s="106">
        <v>283862</v>
      </c>
    </row>
    <row r="1593" spans="1:6" x14ac:dyDescent="0.3">
      <c r="A1593" s="93" t="s">
        <v>100</v>
      </c>
      <c r="B1593" s="93" t="s">
        <v>93</v>
      </c>
      <c r="C1593" s="93" t="s">
        <v>101</v>
      </c>
      <c r="D1593" s="93">
        <v>1.83</v>
      </c>
      <c r="E1593" s="93">
        <v>36</v>
      </c>
      <c r="F1593" s="106">
        <v>284188</v>
      </c>
    </row>
    <row r="1594" spans="1:6" x14ac:dyDescent="0.3">
      <c r="A1594" s="93" t="s">
        <v>102</v>
      </c>
      <c r="B1594" s="93" t="s">
        <v>96</v>
      </c>
      <c r="C1594" s="93" t="s">
        <v>101</v>
      </c>
      <c r="D1594" s="93">
        <v>1.83</v>
      </c>
      <c r="E1594" s="93">
        <v>6</v>
      </c>
      <c r="F1594" s="106">
        <v>146813</v>
      </c>
    </row>
    <row r="1595" spans="1:6" x14ac:dyDescent="0.3">
      <c r="A1595" s="93" t="s">
        <v>102</v>
      </c>
      <c r="B1595" s="93" t="s">
        <v>96</v>
      </c>
      <c r="C1595" s="93" t="s">
        <v>101</v>
      </c>
      <c r="D1595" s="93">
        <v>1.83</v>
      </c>
      <c r="E1595" s="93">
        <v>9</v>
      </c>
      <c r="F1595" s="106">
        <v>161142</v>
      </c>
    </row>
    <row r="1596" spans="1:6" x14ac:dyDescent="0.3">
      <c r="A1596" s="93" t="s">
        <v>102</v>
      </c>
      <c r="B1596" s="93" t="s">
        <v>96</v>
      </c>
      <c r="C1596" s="93" t="s">
        <v>101</v>
      </c>
      <c r="D1596" s="93">
        <v>1.83</v>
      </c>
      <c r="E1596" s="93">
        <v>12</v>
      </c>
      <c r="F1596" s="106">
        <v>167045</v>
      </c>
    </row>
    <row r="1597" spans="1:6" x14ac:dyDescent="0.3">
      <c r="A1597" s="93" t="s">
        <v>102</v>
      </c>
      <c r="B1597" s="93" t="s">
        <v>96</v>
      </c>
      <c r="C1597" s="93" t="s">
        <v>101</v>
      </c>
      <c r="D1597" s="93">
        <v>1.83</v>
      </c>
      <c r="E1597" s="93">
        <v>15</v>
      </c>
      <c r="F1597" s="106">
        <v>196081</v>
      </c>
    </row>
    <row r="1598" spans="1:6" x14ac:dyDescent="0.3">
      <c r="A1598" s="93" t="s">
        <v>102</v>
      </c>
      <c r="B1598" s="93" t="s">
        <v>96</v>
      </c>
      <c r="C1598" s="93" t="s">
        <v>101</v>
      </c>
      <c r="D1598" s="93">
        <v>1.83</v>
      </c>
      <c r="E1598" s="93">
        <v>18</v>
      </c>
      <c r="F1598" s="106">
        <v>217390</v>
      </c>
    </row>
    <row r="1599" spans="1:6" x14ac:dyDescent="0.3">
      <c r="A1599" s="93" t="s">
        <v>102</v>
      </c>
      <c r="B1599" s="93" t="s">
        <v>96</v>
      </c>
      <c r="C1599" s="93" t="s">
        <v>101</v>
      </c>
      <c r="D1599" s="93">
        <v>1.83</v>
      </c>
      <c r="E1599" s="93">
        <v>25</v>
      </c>
      <c r="F1599" s="106">
        <v>293258</v>
      </c>
    </row>
    <row r="1600" spans="1:6" x14ac:dyDescent="0.3">
      <c r="A1600" s="93" t="s">
        <v>102</v>
      </c>
      <c r="B1600" s="93" t="s">
        <v>96</v>
      </c>
      <c r="C1600" s="93" t="s">
        <v>101</v>
      </c>
      <c r="D1600" s="93">
        <v>1.83</v>
      </c>
      <c r="E1600" s="93">
        <v>30</v>
      </c>
      <c r="F1600" s="106">
        <v>326815</v>
      </c>
    </row>
    <row r="1601" spans="1:6" x14ac:dyDescent="0.3">
      <c r="A1601" s="93" t="s">
        <v>102</v>
      </c>
      <c r="B1601" s="93" t="s">
        <v>96</v>
      </c>
      <c r="C1601" s="93" t="s">
        <v>101</v>
      </c>
      <c r="D1601" s="93">
        <v>1.83</v>
      </c>
      <c r="E1601" s="93">
        <v>36</v>
      </c>
      <c r="F1601" s="106">
        <v>327446</v>
      </c>
    </row>
    <row r="1602" spans="1:6" x14ac:dyDescent="0.3">
      <c r="A1602" s="93" t="s">
        <v>103</v>
      </c>
      <c r="B1602" s="93" t="s">
        <v>93</v>
      </c>
      <c r="C1602" s="93" t="s">
        <v>101</v>
      </c>
      <c r="D1602" s="93">
        <v>1.83</v>
      </c>
      <c r="E1602" s="93">
        <v>6</v>
      </c>
      <c r="F1602" s="106">
        <v>117801</v>
      </c>
    </row>
    <row r="1603" spans="1:6" x14ac:dyDescent="0.3">
      <c r="A1603" s="93" t="s">
        <v>103</v>
      </c>
      <c r="B1603" s="93" t="s">
        <v>93</v>
      </c>
      <c r="C1603" s="93" t="s">
        <v>101</v>
      </c>
      <c r="D1603" s="93">
        <v>1.83</v>
      </c>
      <c r="E1603" s="93">
        <v>9</v>
      </c>
      <c r="F1603" s="106">
        <v>139932</v>
      </c>
    </row>
    <row r="1604" spans="1:6" x14ac:dyDescent="0.3">
      <c r="A1604" s="93" t="s">
        <v>103</v>
      </c>
      <c r="B1604" s="93" t="s">
        <v>93</v>
      </c>
      <c r="C1604" s="93" t="s">
        <v>101</v>
      </c>
      <c r="D1604" s="93">
        <v>1.83</v>
      </c>
      <c r="E1604" s="93">
        <v>12</v>
      </c>
      <c r="F1604" s="106">
        <v>157343</v>
      </c>
    </row>
    <row r="1605" spans="1:6" x14ac:dyDescent="0.3">
      <c r="A1605" s="93" t="s">
        <v>103</v>
      </c>
      <c r="B1605" s="93" t="s">
        <v>93</v>
      </c>
      <c r="C1605" s="93" t="s">
        <v>101</v>
      </c>
      <c r="D1605" s="93">
        <v>1.83</v>
      </c>
      <c r="E1605" s="93">
        <v>15</v>
      </c>
      <c r="F1605" s="106">
        <v>170499</v>
      </c>
    </row>
    <row r="1606" spans="1:6" x14ac:dyDescent="0.3">
      <c r="A1606" s="93" t="s">
        <v>103</v>
      </c>
      <c r="B1606" s="93" t="s">
        <v>93</v>
      </c>
      <c r="C1606" s="93" t="s">
        <v>101</v>
      </c>
      <c r="D1606" s="93">
        <v>1.83</v>
      </c>
      <c r="E1606" s="93">
        <v>18</v>
      </c>
      <c r="F1606" s="106">
        <v>188679</v>
      </c>
    </row>
    <row r="1607" spans="1:6" x14ac:dyDescent="0.3">
      <c r="A1607" s="93" t="s">
        <v>103</v>
      </c>
      <c r="B1607" s="93" t="s">
        <v>93</v>
      </c>
      <c r="C1607" s="93" t="s">
        <v>101</v>
      </c>
      <c r="D1607" s="93">
        <v>1.83</v>
      </c>
      <c r="E1607" s="93">
        <v>25</v>
      </c>
      <c r="F1607" s="106">
        <v>254638</v>
      </c>
    </row>
    <row r="1608" spans="1:6" x14ac:dyDescent="0.3">
      <c r="A1608" s="93" t="s">
        <v>103</v>
      </c>
      <c r="B1608" s="93" t="s">
        <v>93</v>
      </c>
      <c r="C1608" s="93" t="s">
        <v>101</v>
      </c>
      <c r="D1608" s="93">
        <v>1.83</v>
      </c>
      <c r="E1608" s="93">
        <v>30</v>
      </c>
      <c r="F1608" s="106">
        <v>283862</v>
      </c>
    </row>
    <row r="1609" spans="1:6" x14ac:dyDescent="0.3">
      <c r="A1609" s="93" t="s">
        <v>103</v>
      </c>
      <c r="B1609" s="93" t="s">
        <v>93</v>
      </c>
      <c r="C1609" s="93" t="s">
        <v>101</v>
      </c>
      <c r="D1609" s="93">
        <v>1.83</v>
      </c>
      <c r="E1609" s="93">
        <v>36</v>
      </c>
      <c r="F1609" s="106">
        <v>284188</v>
      </c>
    </row>
    <row r="1610" spans="1:6" x14ac:dyDescent="0.3">
      <c r="A1610" s="93" t="s">
        <v>104</v>
      </c>
      <c r="B1610" s="93" t="s">
        <v>96</v>
      </c>
      <c r="C1610" s="93" t="s">
        <v>101</v>
      </c>
      <c r="D1610" s="93">
        <v>1.83</v>
      </c>
      <c r="E1610" s="93">
        <v>6</v>
      </c>
      <c r="F1610" s="106">
        <v>146813</v>
      </c>
    </row>
    <row r="1611" spans="1:6" x14ac:dyDescent="0.3">
      <c r="A1611" s="93" t="s">
        <v>104</v>
      </c>
      <c r="B1611" s="93" t="s">
        <v>96</v>
      </c>
      <c r="C1611" s="93" t="s">
        <v>101</v>
      </c>
      <c r="D1611" s="93">
        <v>1.83</v>
      </c>
      <c r="E1611" s="93">
        <v>9</v>
      </c>
      <c r="F1611" s="106">
        <v>161142</v>
      </c>
    </row>
    <row r="1612" spans="1:6" x14ac:dyDescent="0.3">
      <c r="A1612" s="93" t="s">
        <v>104</v>
      </c>
      <c r="B1612" s="93" t="s">
        <v>96</v>
      </c>
      <c r="C1612" s="93" t="s">
        <v>101</v>
      </c>
      <c r="D1612" s="93">
        <v>1.83</v>
      </c>
      <c r="E1612" s="93">
        <v>12</v>
      </c>
      <c r="F1612" s="106">
        <v>167045</v>
      </c>
    </row>
    <row r="1613" spans="1:6" x14ac:dyDescent="0.3">
      <c r="A1613" s="93" t="s">
        <v>104</v>
      </c>
      <c r="B1613" s="93" t="s">
        <v>96</v>
      </c>
      <c r="C1613" s="93" t="s">
        <v>101</v>
      </c>
      <c r="D1613" s="93">
        <v>1.83</v>
      </c>
      <c r="E1613" s="93">
        <v>15</v>
      </c>
      <c r="F1613" s="106">
        <v>196081</v>
      </c>
    </row>
    <row r="1614" spans="1:6" x14ac:dyDescent="0.3">
      <c r="A1614" s="93" t="s">
        <v>104</v>
      </c>
      <c r="B1614" s="93" t="s">
        <v>96</v>
      </c>
      <c r="C1614" s="93" t="s">
        <v>101</v>
      </c>
      <c r="D1614" s="93">
        <v>1.83</v>
      </c>
      <c r="E1614" s="93">
        <v>18</v>
      </c>
      <c r="F1614" s="106">
        <v>217390</v>
      </c>
    </row>
    <row r="1615" spans="1:6" x14ac:dyDescent="0.3">
      <c r="A1615" s="93" t="s">
        <v>104</v>
      </c>
      <c r="B1615" s="93" t="s">
        <v>96</v>
      </c>
      <c r="C1615" s="93" t="s">
        <v>101</v>
      </c>
      <c r="D1615" s="93">
        <v>1.83</v>
      </c>
      <c r="E1615" s="93">
        <v>25</v>
      </c>
      <c r="F1615" s="106">
        <v>293258</v>
      </c>
    </row>
    <row r="1616" spans="1:6" x14ac:dyDescent="0.3">
      <c r="A1616" s="93" t="s">
        <v>104</v>
      </c>
      <c r="B1616" s="93" t="s">
        <v>96</v>
      </c>
      <c r="C1616" s="93" t="s">
        <v>101</v>
      </c>
      <c r="D1616" s="93">
        <v>1.83</v>
      </c>
      <c r="E1616" s="93">
        <v>30</v>
      </c>
      <c r="F1616" s="106">
        <v>326815</v>
      </c>
    </row>
    <row r="1617" spans="1:6" ht="15" customHeight="1" x14ac:dyDescent="0.3">
      <c r="A1617" s="93" t="s">
        <v>104</v>
      </c>
      <c r="B1617" s="93" t="s">
        <v>96</v>
      </c>
      <c r="C1617" s="93" t="s">
        <v>101</v>
      </c>
      <c r="D1617" s="93">
        <v>1.83</v>
      </c>
      <c r="E1617" s="93">
        <v>36</v>
      </c>
      <c r="F1617" s="106">
        <v>327446</v>
      </c>
    </row>
    <row r="1618" spans="1:6" ht="15" customHeight="1" x14ac:dyDescent="0.3">
      <c r="A1618" s="131" t="s">
        <v>105</v>
      </c>
      <c r="B1618" s="93" t="s">
        <v>93</v>
      </c>
      <c r="C1618" s="93" t="s">
        <v>106</v>
      </c>
      <c r="D1618" s="93">
        <v>1.83</v>
      </c>
      <c r="E1618" s="93">
        <v>6</v>
      </c>
      <c r="F1618" s="106">
        <v>119432</v>
      </c>
    </row>
    <row r="1619" spans="1:6" ht="15" customHeight="1" x14ac:dyDescent="0.3">
      <c r="A1619" s="131" t="s">
        <v>105</v>
      </c>
      <c r="B1619" s="93" t="s">
        <v>93</v>
      </c>
      <c r="C1619" s="93" t="s">
        <v>106</v>
      </c>
      <c r="D1619" s="93">
        <v>1.83</v>
      </c>
      <c r="E1619" s="93">
        <v>9</v>
      </c>
      <c r="F1619" s="106">
        <v>146677</v>
      </c>
    </row>
    <row r="1620" spans="1:6" ht="15" customHeight="1" x14ac:dyDescent="0.3">
      <c r="A1620" s="131" t="s">
        <v>105</v>
      </c>
      <c r="B1620" s="93" t="s">
        <v>93</v>
      </c>
      <c r="C1620" s="93" t="s">
        <v>106</v>
      </c>
      <c r="D1620" s="93">
        <v>1.83</v>
      </c>
      <c r="E1620" s="93">
        <v>12</v>
      </c>
      <c r="F1620" s="106">
        <v>165192</v>
      </c>
    </row>
    <row r="1621" spans="1:6" ht="15" customHeight="1" x14ac:dyDescent="0.3">
      <c r="A1621" s="131" t="s">
        <v>105</v>
      </c>
      <c r="B1621" s="93" t="s">
        <v>93</v>
      </c>
      <c r="C1621" s="93" t="s">
        <v>106</v>
      </c>
      <c r="D1621" s="93">
        <v>1.83</v>
      </c>
      <c r="E1621" s="93">
        <v>15</v>
      </c>
      <c r="F1621" s="106">
        <v>177677</v>
      </c>
    </row>
    <row r="1622" spans="1:6" ht="15" customHeight="1" x14ac:dyDescent="0.3">
      <c r="A1622" s="131" t="s">
        <v>105</v>
      </c>
      <c r="B1622" s="93" t="s">
        <v>93</v>
      </c>
      <c r="C1622" s="93" t="s">
        <v>106</v>
      </c>
      <c r="D1622" s="93">
        <v>1.83</v>
      </c>
      <c r="E1622" s="93">
        <v>18</v>
      </c>
      <c r="F1622" s="106">
        <v>197966</v>
      </c>
    </row>
    <row r="1623" spans="1:6" ht="15" customHeight="1" x14ac:dyDescent="0.3">
      <c r="A1623" s="131" t="s">
        <v>105</v>
      </c>
      <c r="B1623" s="93" t="s">
        <v>93</v>
      </c>
      <c r="C1623" s="93" t="s">
        <v>106</v>
      </c>
      <c r="D1623" s="93">
        <v>1.83</v>
      </c>
      <c r="E1623" s="93">
        <v>25</v>
      </c>
      <c r="F1623" s="106">
        <v>267320</v>
      </c>
    </row>
    <row r="1624" spans="1:6" ht="15" customHeight="1" x14ac:dyDescent="0.3">
      <c r="A1624" s="131" t="s">
        <v>105</v>
      </c>
      <c r="B1624" s="93" t="s">
        <v>93</v>
      </c>
      <c r="C1624" s="93" t="s">
        <v>106</v>
      </c>
      <c r="D1624" s="93">
        <v>1.83</v>
      </c>
      <c r="E1624" s="93">
        <v>30</v>
      </c>
      <c r="F1624" s="106">
        <v>297784</v>
      </c>
    </row>
    <row r="1625" spans="1:6" ht="15" customHeight="1" x14ac:dyDescent="0.3">
      <c r="A1625" s="131" t="s">
        <v>105</v>
      </c>
      <c r="B1625" s="93" t="s">
        <v>93</v>
      </c>
      <c r="C1625" s="93" t="s">
        <v>106</v>
      </c>
      <c r="D1625" s="93">
        <v>1.83</v>
      </c>
      <c r="E1625" s="93">
        <v>36</v>
      </c>
      <c r="F1625" s="106">
        <v>298320</v>
      </c>
    </row>
    <row r="1626" spans="1:6" ht="15" customHeight="1" x14ac:dyDescent="0.3">
      <c r="A1626" s="131" t="s">
        <v>107</v>
      </c>
      <c r="B1626" s="93" t="s">
        <v>96</v>
      </c>
      <c r="C1626" s="93" t="s">
        <v>106</v>
      </c>
      <c r="D1626" s="93">
        <v>1.83</v>
      </c>
      <c r="E1626" s="93">
        <v>6</v>
      </c>
      <c r="F1626" s="106">
        <v>158348</v>
      </c>
    </row>
    <row r="1627" spans="1:6" ht="15" customHeight="1" x14ac:dyDescent="0.3">
      <c r="A1627" s="131" t="s">
        <v>107</v>
      </c>
      <c r="B1627" s="93" t="s">
        <v>96</v>
      </c>
      <c r="C1627" s="93" t="s">
        <v>106</v>
      </c>
      <c r="D1627" s="93">
        <v>1.83</v>
      </c>
      <c r="E1627" s="93">
        <v>9</v>
      </c>
      <c r="F1627" s="106">
        <v>170405</v>
      </c>
    </row>
    <row r="1628" spans="1:6" ht="15" customHeight="1" x14ac:dyDescent="0.3">
      <c r="A1628" s="131" t="s">
        <v>107</v>
      </c>
      <c r="B1628" s="93" t="s">
        <v>96</v>
      </c>
      <c r="C1628" s="93" t="s">
        <v>106</v>
      </c>
      <c r="D1628" s="93">
        <v>1.83</v>
      </c>
      <c r="E1628" s="93">
        <v>12</v>
      </c>
      <c r="F1628" s="106">
        <v>176745</v>
      </c>
    </row>
    <row r="1629" spans="1:6" ht="15" customHeight="1" x14ac:dyDescent="0.3">
      <c r="A1629" s="131" t="s">
        <v>107</v>
      </c>
      <c r="B1629" s="93" t="s">
        <v>96</v>
      </c>
      <c r="C1629" s="93" t="s">
        <v>106</v>
      </c>
      <c r="D1629" s="93">
        <v>1.83</v>
      </c>
      <c r="E1629" s="93">
        <v>15</v>
      </c>
      <c r="F1629" s="106">
        <v>206322</v>
      </c>
    </row>
    <row r="1630" spans="1:6" ht="15" customHeight="1" x14ac:dyDescent="0.3">
      <c r="A1630" s="131" t="s">
        <v>107</v>
      </c>
      <c r="B1630" s="93" t="s">
        <v>96</v>
      </c>
      <c r="C1630" s="93" t="s">
        <v>106</v>
      </c>
      <c r="D1630" s="93">
        <v>1.83</v>
      </c>
      <c r="E1630" s="93">
        <v>18</v>
      </c>
      <c r="F1630" s="106">
        <v>229909</v>
      </c>
    </row>
    <row r="1631" spans="1:6" ht="15" customHeight="1" x14ac:dyDescent="0.3">
      <c r="A1631" s="131" t="s">
        <v>107</v>
      </c>
      <c r="B1631" s="93" t="s">
        <v>96</v>
      </c>
      <c r="C1631" s="93" t="s">
        <v>106</v>
      </c>
      <c r="D1631" s="93">
        <v>1.83</v>
      </c>
      <c r="E1631" s="93">
        <v>25</v>
      </c>
      <c r="F1631" s="106">
        <v>310425</v>
      </c>
    </row>
    <row r="1632" spans="1:6" ht="15" customHeight="1" x14ac:dyDescent="0.3">
      <c r="A1632" s="131" t="s">
        <v>107</v>
      </c>
      <c r="B1632" s="93" t="s">
        <v>96</v>
      </c>
      <c r="C1632" s="93" t="s">
        <v>106</v>
      </c>
      <c r="D1632" s="93">
        <v>1.83</v>
      </c>
      <c r="E1632" s="93">
        <v>30</v>
      </c>
      <c r="F1632" s="106">
        <v>345901</v>
      </c>
    </row>
    <row r="1633" spans="1:6" ht="15" customHeight="1" x14ac:dyDescent="0.3">
      <c r="A1633" s="131" t="s">
        <v>107</v>
      </c>
      <c r="B1633" s="93" t="s">
        <v>96</v>
      </c>
      <c r="C1633" s="93" t="s">
        <v>106</v>
      </c>
      <c r="D1633" s="93">
        <v>1.83</v>
      </c>
      <c r="E1633" s="93">
        <v>36</v>
      </c>
      <c r="F1633" s="106">
        <v>346526</v>
      </c>
    </row>
    <row r="1634" spans="1:6" ht="15" customHeight="1" x14ac:dyDescent="0.3">
      <c r="A1634" s="131" t="s">
        <v>108</v>
      </c>
      <c r="B1634" s="93" t="s">
        <v>93</v>
      </c>
      <c r="C1634" s="93" t="s">
        <v>106</v>
      </c>
      <c r="D1634" s="93">
        <v>1.83</v>
      </c>
      <c r="E1634" s="93">
        <v>6</v>
      </c>
      <c r="F1634" s="106">
        <v>119432</v>
      </c>
    </row>
    <row r="1635" spans="1:6" ht="15" customHeight="1" x14ac:dyDescent="0.3">
      <c r="A1635" s="131" t="s">
        <v>108</v>
      </c>
      <c r="B1635" s="93" t="s">
        <v>93</v>
      </c>
      <c r="C1635" s="93" t="s">
        <v>106</v>
      </c>
      <c r="D1635" s="93">
        <v>1.83</v>
      </c>
      <c r="E1635" s="93">
        <v>9</v>
      </c>
      <c r="F1635" s="106">
        <v>146677</v>
      </c>
    </row>
    <row r="1636" spans="1:6" ht="15" customHeight="1" x14ac:dyDescent="0.3">
      <c r="A1636" s="131" t="s">
        <v>108</v>
      </c>
      <c r="B1636" s="93" t="s">
        <v>93</v>
      </c>
      <c r="C1636" s="93" t="s">
        <v>106</v>
      </c>
      <c r="D1636" s="93">
        <v>1.83</v>
      </c>
      <c r="E1636" s="93">
        <v>12</v>
      </c>
      <c r="F1636" s="106">
        <v>165192</v>
      </c>
    </row>
    <row r="1637" spans="1:6" ht="15" customHeight="1" x14ac:dyDescent="0.3">
      <c r="A1637" s="131" t="s">
        <v>108</v>
      </c>
      <c r="B1637" s="93" t="s">
        <v>93</v>
      </c>
      <c r="C1637" s="93" t="s">
        <v>106</v>
      </c>
      <c r="D1637" s="93">
        <v>1.83</v>
      </c>
      <c r="E1637" s="93">
        <v>15</v>
      </c>
      <c r="F1637" s="106">
        <v>177677</v>
      </c>
    </row>
    <row r="1638" spans="1:6" ht="15" customHeight="1" x14ac:dyDescent="0.3">
      <c r="A1638" s="131" t="s">
        <v>108</v>
      </c>
      <c r="B1638" s="93" t="s">
        <v>93</v>
      </c>
      <c r="C1638" s="93" t="s">
        <v>106</v>
      </c>
      <c r="D1638" s="93">
        <v>1.83</v>
      </c>
      <c r="E1638" s="93">
        <v>18</v>
      </c>
      <c r="F1638" s="106">
        <v>197966</v>
      </c>
    </row>
    <row r="1639" spans="1:6" ht="15" customHeight="1" x14ac:dyDescent="0.3">
      <c r="A1639" s="131" t="s">
        <v>108</v>
      </c>
      <c r="B1639" s="93" t="s">
        <v>93</v>
      </c>
      <c r="C1639" s="93" t="s">
        <v>106</v>
      </c>
      <c r="D1639" s="93">
        <v>1.83</v>
      </c>
      <c r="E1639" s="93">
        <v>25</v>
      </c>
      <c r="F1639" s="106">
        <v>267320</v>
      </c>
    </row>
    <row r="1640" spans="1:6" ht="15" customHeight="1" x14ac:dyDescent="0.3">
      <c r="A1640" s="131" t="s">
        <v>108</v>
      </c>
      <c r="B1640" s="93" t="s">
        <v>93</v>
      </c>
      <c r="C1640" s="93" t="s">
        <v>106</v>
      </c>
      <c r="D1640" s="93">
        <v>1.83</v>
      </c>
      <c r="E1640" s="93">
        <v>30</v>
      </c>
      <c r="F1640" s="106">
        <v>297784</v>
      </c>
    </row>
    <row r="1641" spans="1:6" ht="15" customHeight="1" x14ac:dyDescent="0.3">
      <c r="A1641" s="131" t="s">
        <v>108</v>
      </c>
      <c r="B1641" s="93" t="s">
        <v>93</v>
      </c>
      <c r="C1641" s="93" t="s">
        <v>106</v>
      </c>
      <c r="D1641" s="93">
        <v>1.83</v>
      </c>
      <c r="E1641" s="93">
        <v>36</v>
      </c>
      <c r="F1641" s="106">
        <v>298320</v>
      </c>
    </row>
    <row r="1642" spans="1:6" ht="15" customHeight="1" x14ac:dyDescent="0.3">
      <c r="A1642" s="131" t="s">
        <v>109</v>
      </c>
      <c r="B1642" s="93" t="s">
        <v>96</v>
      </c>
      <c r="C1642" s="93" t="s">
        <v>106</v>
      </c>
      <c r="D1642" s="93">
        <v>1.83</v>
      </c>
      <c r="E1642" s="93">
        <v>6</v>
      </c>
      <c r="F1642" s="106">
        <v>158348</v>
      </c>
    </row>
    <row r="1643" spans="1:6" ht="15" customHeight="1" x14ac:dyDescent="0.3">
      <c r="A1643" s="131" t="s">
        <v>109</v>
      </c>
      <c r="B1643" s="93" t="s">
        <v>96</v>
      </c>
      <c r="C1643" s="93" t="s">
        <v>106</v>
      </c>
      <c r="D1643" s="93">
        <v>1.83</v>
      </c>
      <c r="E1643" s="93">
        <v>9</v>
      </c>
      <c r="F1643" s="106">
        <v>170405</v>
      </c>
    </row>
    <row r="1644" spans="1:6" ht="15" customHeight="1" x14ac:dyDescent="0.3">
      <c r="A1644" s="131" t="s">
        <v>109</v>
      </c>
      <c r="B1644" s="93" t="s">
        <v>96</v>
      </c>
      <c r="C1644" s="93" t="s">
        <v>106</v>
      </c>
      <c r="D1644" s="93">
        <v>1.83</v>
      </c>
      <c r="E1644" s="93">
        <v>12</v>
      </c>
      <c r="F1644" s="106">
        <v>176745</v>
      </c>
    </row>
    <row r="1645" spans="1:6" ht="15" customHeight="1" x14ac:dyDescent="0.3">
      <c r="A1645" s="131" t="s">
        <v>109</v>
      </c>
      <c r="B1645" s="93" t="s">
        <v>96</v>
      </c>
      <c r="C1645" s="93" t="s">
        <v>106</v>
      </c>
      <c r="D1645" s="93">
        <v>1.83</v>
      </c>
      <c r="E1645" s="93">
        <v>15</v>
      </c>
      <c r="F1645" s="106">
        <v>206322</v>
      </c>
    </row>
    <row r="1646" spans="1:6" ht="15" customHeight="1" x14ac:dyDescent="0.3">
      <c r="A1646" s="131" t="s">
        <v>109</v>
      </c>
      <c r="B1646" s="93" t="s">
        <v>96</v>
      </c>
      <c r="C1646" s="93" t="s">
        <v>106</v>
      </c>
      <c r="D1646" s="93">
        <v>1.83</v>
      </c>
      <c r="E1646" s="93">
        <v>18</v>
      </c>
      <c r="F1646" s="106">
        <v>229909</v>
      </c>
    </row>
    <row r="1647" spans="1:6" ht="15" customHeight="1" x14ac:dyDescent="0.3">
      <c r="A1647" s="131" t="s">
        <v>109</v>
      </c>
      <c r="B1647" s="93" t="s">
        <v>96</v>
      </c>
      <c r="C1647" s="93" t="s">
        <v>106</v>
      </c>
      <c r="D1647" s="93">
        <v>1.83</v>
      </c>
      <c r="E1647" s="93">
        <v>25</v>
      </c>
      <c r="F1647" s="106">
        <v>310425</v>
      </c>
    </row>
    <row r="1648" spans="1:6" ht="15" customHeight="1" x14ac:dyDescent="0.3">
      <c r="A1648" s="131" t="s">
        <v>109</v>
      </c>
      <c r="B1648" s="93" t="s">
        <v>96</v>
      </c>
      <c r="C1648" s="93" t="s">
        <v>106</v>
      </c>
      <c r="D1648" s="93">
        <v>1.83</v>
      </c>
      <c r="E1648" s="93">
        <v>30</v>
      </c>
      <c r="F1648" s="106">
        <v>345901</v>
      </c>
    </row>
    <row r="1649" spans="1:6" ht="15" customHeight="1" x14ac:dyDescent="0.3">
      <c r="A1649" s="131" t="s">
        <v>109</v>
      </c>
      <c r="B1649" s="93" t="s">
        <v>96</v>
      </c>
      <c r="C1649" s="93" t="s">
        <v>106</v>
      </c>
      <c r="D1649" s="93">
        <v>1.83</v>
      </c>
      <c r="E1649" s="93">
        <v>36</v>
      </c>
      <c r="F1649" s="106">
        <v>346526</v>
      </c>
    </row>
    <row r="1650" spans="1:6" x14ac:dyDescent="0.3">
      <c r="A1650" s="93" t="s">
        <v>110</v>
      </c>
      <c r="B1650" s="93" t="s">
        <v>93</v>
      </c>
      <c r="C1650" s="93" t="s">
        <v>106</v>
      </c>
      <c r="D1650" s="93">
        <v>1.83</v>
      </c>
      <c r="E1650" s="93">
        <v>9</v>
      </c>
      <c r="F1650" s="106">
        <v>115097</v>
      </c>
    </row>
    <row r="1651" spans="1:6" x14ac:dyDescent="0.3">
      <c r="A1651" s="93" t="s">
        <v>110</v>
      </c>
      <c r="B1651" s="93" t="s">
        <v>93</v>
      </c>
      <c r="C1651" s="93" t="s">
        <v>106</v>
      </c>
      <c r="D1651" s="93">
        <v>1.83</v>
      </c>
      <c r="E1651" s="93">
        <v>12</v>
      </c>
      <c r="F1651" s="106">
        <v>153463</v>
      </c>
    </row>
    <row r="1652" spans="1:6" x14ac:dyDescent="0.3">
      <c r="A1652" s="93" t="s">
        <v>110</v>
      </c>
      <c r="B1652" s="93" t="s">
        <v>93</v>
      </c>
      <c r="C1652" s="93" t="s">
        <v>106</v>
      </c>
      <c r="D1652" s="93">
        <v>1.83</v>
      </c>
      <c r="E1652" s="93">
        <v>15</v>
      </c>
      <c r="F1652" s="106">
        <v>191829</v>
      </c>
    </row>
    <row r="1653" spans="1:6" x14ac:dyDescent="0.3">
      <c r="A1653" s="93" t="s">
        <v>110</v>
      </c>
      <c r="B1653" s="93" t="s">
        <v>93</v>
      </c>
      <c r="C1653" s="93" t="s">
        <v>106</v>
      </c>
      <c r="D1653" s="93">
        <v>1.83</v>
      </c>
      <c r="E1653" s="93">
        <v>18</v>
      </c>
      <c r="F1653" s="106">
        <v>230194</v>
      </c>
    </row>
    <row r="1654" spans="1:6" x14ac:dyDescent="0.3">
      <c r="A1654" s="93" t="s">
        <v>110</v>
      </c>
      <c r="B1654" s="93" t="s">
        <v>93</v>
      </c>
      <c r="C1654" s="93" t="s">
        <v>106</v>
      </c>
      <c r="D1654" s="93">
        <v>1.83</v>
      </c>
      <c r="E1654" s="93">
        <v>25</v>
      </c>
      <c r="F1654" s="106">
        <v>319715</v>
      </c>
    </row>
    <row r="1655" spans="1:6" x14ac:dyDescent="0.3">
      <c r="A1655" s="93" t="s">
        <v>110</v>
      </c>
      <c r="B1655" s="93" t="s">
        <v>93</v>
      </c>
      <c r="C1655" s="93" t="s">
        <v>106</v>
      </c>
      <c r="D1655" s="93">
        <v>1.83</v>
      </c>
      <c r="E1655" s="93">
        <v>30</v>
      </c>
      <c r="F1655" s="106">
        <v>383657</v>
      </c>
    </row>
    <row r="1656" spans="1:6" x14ac:dyDescent="0.3">
      <c r="A1656" s="93" t="s">
        <v>110</v>
      </c>
      <c r="B1656" s="93" t="s">
        <v>93</v>
      </c>
      <c r="C1656" s="93" t="s">
        <v>106</v>
      </c>
      <c r="D1656" s="93">
        <v>1.83</v>
      </c>
      <c r="E1656" s="93">
        <v>36</v>
      </c>
      <c r="F1656" s="106">
        <v>460389</v>
      </c>
    </row>
    <row r="1657" spans="1:6" x14ac:dyDescent="0.3">
      <c r="A1657" s="93" t="s">
        <v>111</v>
      </c>
      <c r="B1657" s="93" t="s">
        <v>96</v>
      </c>
      <c r="C1657" s="93" t="s">
        <v>106</v>
      </c>
      <c r="D1657" s="93">
        <v>1.83</v>
      </c>
      <c r="E1657" s="93">
        <v>9</v>
      </c>
      <c r="F1657" s="106">
        <v>125948</v>
      </c>
    </row>
    <row r="1658" spans="1:6" x14ac:dyDescent="0.3">
      <c r="A1658" s="93" t="s">
        <v>111</v>
      </c>
      <c r="B1658" s="93" t="s">
        <v>96</v>
      </c>
      <c r="C1658" s="93" t="s">
        <v>106</v>
      </c>
      <c r="D1658" s="93">
        <v>1.83</v>
      </c>
      <c r="E1658" s="93">
        <v>12</v>
      </c>
      <c r="F1658" s="106">
        <v>167931</v>
      </c>
    </row>
    <row r="1659" spans="1:6" x14ac:dyDescent="0.3">
      <c r="A1659" s="93" t="s">
        <v>111</v>
      </c>
      <c r="B1659" s="93" t="s">
        <v>96</v>
      </c>
      <c r="C1659" s="93" t="s">
        <v>106</v>
      </c>
      <c r="D1659" s="93">
        <v>1.83</v>
      </c>
      <c r="E1659" s="93">
        <v>15</v>
      </c>
      <c r="F1659" s="106">
        <v>209914</v>
      </c>
    </row>
    <row r="1660" spans="1:6" x14ac:dyDescent="0.3">
      <c r="A1660" s="93" t="s">
        <v>111</v>
      </c>
      <c r="B1660" s="93" t="s">
        <v>96</v>
      </c>
      <c r="C1660" s="93" t="s">
        <v>106</v>
      </c>
      <c r="D1660" s="93">
        <v>1.83</v>
      </c>
      <c r="E1660" s="93">
        <v>18</v>
      </c>
      <c r="F1660" s="106">
        <v>251896</v>
      </c>
    </row>
    <row r="1661" spans="1:6" x14ac:dyDescent="0.3">
      <c r="A1661" s="93" t="s">
        <v>111</v>
      </c>
      <c r="B1661" s="93" t="s">
        <v>96</v>
      </c>
      <c r="C1661" s="93" t="s">
        <v>106</v>
      </c>
      <c r="D1661" s="93">
        <v>1.83</v>
      </c>
      <c r="E1661" s="93">
        <v>25</v>
      </c>
      <c r="F1661" s="106">
        <v>349856</v>
      </c>
    </row>
    <row r="1662" spans="1:6" x14ac:dyDescent="0.3">
      <c r="A1662" s="93" t="s">
        <v>111</v>
      </c>
      <c r="B1662" s="93" t="s">
        <v>96</v>
      </c>
      <c r="C1662" s="93" t="s">
        <v>106</v>
      </c>
      <c r="D1662" s="93">
        <v>1.83</v>
      </c>
      <c r="E1662" s="93">
        <v>30</v>
      </c>
      <c r="F1662" s="106">
        <v>419827</v>
      </c>
    </row>
    <row r="1663" spans="1:6" ht="15" customHeight="1" x14ac:dyDescent="0.3">
      <c r="A1663" s="93" t="s">
        <v>111</v>
      </c>
      <c r="B1663" s="93" t="s">
        <v>96</v>
      </c>
      <c r="C1663" s="93" t="s">
        <v>106</v>
      </c>
      <c r="D1663" s="93">
        <v>1.83</v>
      </c>
      <c r="E1663" s="93">
        <v>36</v>
      </c>
      <c r="F1663" s="106">
        <v>503793</v>
      </c>
    </row>
    <row r="1664" spans="1:6" x14ac:dyDescent="0.3">
      <c r="A1664" s="93" t="s">
        <v>111</v>
      </c>
      <c r="B1664" s="93" t="s">
        <v>96</v>
      </c>
      <c r="C1664" s="93" t="s">
        <v>106</v>
      </c>
      <c r="D1664" s="93">
        <v>1.83</v>
      </c>
      <c r="E1664" s="93">
        <v>15</v>
      </c>
      <c r="F1664" s="106">
        <v>259014</v>
      </c>
    </row>
    <row r="1665" spans="1:6" ht="15" customHeight="1" x14ac:dyDescent="0.3">
      <c r="A1665" s="93" t="s">
        <v>111</v>
      </c>
      <c r="B1665" s="93" t="s">
        <v>96</v>
      </c>
      <c r="C1665" s="93" t="s">
        <v>106</v>
      </c>
      <c r="D1665" s="93">
        <v>1.83</v>
      </c>
      <c r="E1665" s="93">
        <v>18</v>
      </c>
      <c r="F1665" s="106">
        <v>270808</v>
      </c>
    </row>
    <row r="1666" spans="1:6" x14ac:dyDescent="0.3">
      <c r="A1666" s="93" t="s">
        <v>111</v>
      </c>
      <c r="B1666" s="93" t="s">
        <v>96</v>
      </c>
      <c r="C1666" s="93" t="s">
        <v>98</v>
      </c>
      <c r="D1666" s="93">
        <v>1.83</v>
      </c>
      <c r="E1666" s="93">
        <v>9</v>
      </c>
      <c r="F1666" s="106">
        <v>83894</v>
      </c>
    </row>
    <row r="1667" spans="1:6" x14ac:dyDescent="0.3">
      <c r="A1667" s="93" t="s">
        <v>111</v>
      </c>
      <c r="B1667" s="93" t="s">
        <v>96</v>
      </c>
      <c r="C1667" s="93" t="s">
        <v>98</v>
      </c>
      <c r="D1667" s="93">
        <v>1.83</v>
      </c>
      <c r="E1667" s="93">
        <v>0</v>
      </c>
      <c r="F1667" s="106">
        <v>109799</v>
      </c>
    </row>
    <row r="1668" spans="1:6" x14ac:dyDescent="0.3">
      <c r="A1668" s="93" t="s">
        <v>111</v>
      </c>
      <c r="B1668" s="93" t="s">
        <v>96</v>
      </c>
      <c r="C1668" s="93" t="s">
        <v>98</v>
      </c>
      <c r="D1668" s="93">
        <v>1.83</v>
      </c>
      <c r="E1668" s="93">
        <v>15</v>
      </c>
      <c r="F1668" s="106">
        <v>122524</v>
      </c>
    </row>
    <row r="1669" spans="1:6" x14ac:dyDescent="0.3">
      <c r="A1669" s="93" t="s">
        <v>111</v>
      </c>
      <c r="B1669" s="93" t="s">
        <v>96</v>
      </c>
      <c r="C1669" s="93" t="s">
        <v>98</v>
      </c>
      <c r="D1669" s="93">
        <v>1.83</v>
      </c>
      <c r="E1669" s="93">
        <v>18</v>
      </c>
      <c r="F1669" s="106">
        <v>153514</v>
      </c>
    </row>
    <row r="1670" spans="1:6" x14ac:dyDescent="0.3">
      <c r="A1670" s="93" t="s">
        <v>111</v>
      </c>
      <c r="B1670" s="93" t="s">
        <v>96</v>
      </c>
      <c r="C1670" s="93" t="s">
        <v>98</v>
      </c>
      <c r="D1670" s="93">
        <v>1.83</v>
      </c>
      <c r="E1670" s="93">
        <v>12</v>
      </c>
      <c r="F1670" s="106">
        <v>109799</v>
      </c>
    </row>
    <row r="1671" spans="1:6" x14ac:dyDescent="0.3">
      <c r="A1671" s="93" t="s">
        <v>111</v>
      </c>
      <c r="B1671" s="93" t="s">
        <v>96</v>
      </c>
      <c r="C1671" s="93" t="s">
        <v>98</v>
      </c>
      <c r="D1671" s="93">
        <v>1.83</v>
      </c>
      <c r="E1671" s="93">
        <v>15</v>
      </c>
      <c r="F1671" s="106">
        <v>122524</v>
      </c>
    </row>
    <row r="1672" spans="1:6" ht="15" customHeight="1" x14ac:dyDescent="0.3">
      <c r="A1672" s="93" t="s">
        <v>111</v>
      </c>
      <c r="B1672" s="93" t="s">
        <v>96</v>
      </c>
      <c r="C1672" s="93" t="s">
        <v>98</v>
      </c>
      <c r="D1672" s="93">
        <v>1.83</v>
      </c>
      <c r="E1672" s="93">
        <v>18</v>
      </c>
      <c r="F1672" s="106">
        <v>153514</v>
      </c>
    </row>
    <row r="1673" spans="1:6" ht="15" customHeight="1" x14ac:dyDescent="0.3">
      <c r="A1673" s="131" t="s">
        <v>112</v>
      </c>
      <c r="B1673" s="93" t="s">
        <v>93</v>
      </c>
      <c r="C1673" s="93" t="s">
        <v>113</v>
      </c>
      <c r="D1673" s="93">
        <v>1.83</v>
      </c>
      <c r="E1673" s="93">
        <v>4</v>
      </c>
      <c r="F1673" s="106">
        <v>60000</v>
      </c>
    </row>
    <row r="1674" spans="1:6" ht="15" customHeight="1" x14ac:dyDescent="0.3">
      <c r="A1674" s="131" t="s">
        <v>114</v>
      </c>
      <c r="B1674" s="93" t="s">
        <v>93</v>
      </c>
      <c r="C1674" s="93" t="s">
        <v>113</v>
      </c>
      <c r="D1674" s="93">
        <v>1.83</v>
      </c>
      <c r="E1674" s="93">
        <v>5.5</v>
      </c>
      <c r="F1674" s="106">
        <v>68000</v>
      </c>
    </row>
    <row r="1675" spans="1:6" ht="15" customHeight="1" x14ac:dyDescent="0.3">
      <c r="A1675" s="131" t="s">
        <v>114</v>
      </c>
      <c r="B1675" s="93" t="s">
        <v>93</v>
      </c>
      <c r="C1675" s="93" t="s">
        <v>113</v>
      </c>
      <c r="D1675" s="93">
        <v>1.83</v>
      </c>
      <c r="E1675" s="93">
        <v>9</v>
      </c>
      <c r="F1675" s="106">
        <v>87000</v>
      </c>
    </row>
    <row r="1676" spans="1:6" ht="15" customHeight="1" x14ac:dyDescent="0.3">
      <c r="A1676" s="131" t="s">
        <v>114</v>
      </c>
      <c r="B1676" s="93" t="s">
        <v>93</v>
      </c>
      <c r="C1676" s="93" t="s">
        <v>113</v>
      </c>
      <c r="D1676" s="93">
        <v>1.83</v>
      </c>
      <c r="E1676" s="93">
        <v>12</v>
      </c>
      <c r="F1676" s="106">
        <v>120000</v>
      </c>
    </row>
    <row r="1677" spans="1:6" ht="15" customHeight="1" x14ac:dyDescent="0.3">
      <c r="A1677" s="131" t="s">
        <v>114</v>
      </c>
      <c r="B1677" s="93" t="s">
        <v>93</v>
      </c>
      <c r="C1677" s="93" t="s">
        <v>113</v>
      </c>
      <c r="D1677" s="93">
        <v>1.83</v>
      </c>
      <c r="E1677" s="93">
        <v>15</v>
      </c>
      <c r="F1677" s="106">
        <v>150000</v>
      </c>
    </row>
    <row r="1678" spans="1:6" ht="15" customHeight="1" x14ac:dyDescent="0.3">
      <c r="A1678" s="131" t="s">
        <v>114</v>
      </c>
      <c r="B1678" s="93" t="s">
        <v>93</v>
      </c>
      <c r="C1678" s="93" t="s">
        <v>113</v>
      </c>
      <c r="D1678" s="93">
        <v>1.83</v>
      </c>
      <c r="E1678" s="93">
        <v>18</v>
      </c>
      <c r="F1678" s="106">
        <v>185000</v>
      </c>
    </row>
    <row r="1679" spans="1:6" ht="15" customHeight="1" x14ac:dyDescent="0.3">
      <c r="A1679" s="131" t="s">
        <v>9</v>
      </c>
      <c r="B1679" s="93" t="s">
        <v>96</v>
      </c>
      <c r="C1679" s="93" t="s">
        <v>113</v>
      </c>
      <c r="D1679" s="93">
        <v>1.83</v>
      </c>
      <c r="E1679" s="93">
        <v>5.5</v>
      </c>
      <c r="F1679" s="106">
        <v>128500</v>
      </c>
    </row>
    <row r="1680" spans="1:6" ht="15" customHeight="1" x14ac:dyDescent="0.3">
      <c r="A1680" s="131" t="s">
        <v>9</v>
      </c>
      <c r="B1680" s="93" t="s">
        <v>96</v>
      </c>
      <c r="C1680" s="93" t="s">
        <v>113</v>
      </c>
      <c r="D1680" s="93">
        <v>1.83</v>
      </c>
      <c r="E1680" s="93">
        <v>9</v>
      </c>
      <c r="F1680" s="106">
        <v>126207</v>
      </c>
    </row>
    <row r="1681" spans="1:6" ht="15" customHeight="1" x14ac:dyDescent="0.3">
      <c r="A1681" s="131" t="s">
        <v>9</v>
      </c>
      <c r="B1681" s="93" t="s">
        <v>96</v>
      </c>
      <c r="C1681" s="93" t="s">
        <v>113</v>
      </c>
      <c r="D1681" s="93">
        <v>1.83</v>
      </c>
      <c r="E1681" s="93">
        <v>12</v>
      </c>
      <c r="F1681" s="106">
        <v>176310</v>
      </c>
    </row>
    <row r="1682" spans="1:6" ht="15" customHeight="1" x14ac:dyDescent="0.3">
      <c r="A1682" s="131" t="s">
        <v>9</v>
      </c>
      <c r="B1682" s="93" t="s">
        <v>96</v>
      </c>
      <c r="C1682" s="93" t="s">
        <v>113</v>
      </c>
      <c r="D1682" s="93">
        <v>1.83</v>
      </c>
      <c r="E1682" s="93">
        <v>15</v>
      </c>
      <c r="F1682" s="106">
        <v>213444</v>
      </c>
    </row>
    <row r="1683" spans="1:6" ht="15" customHeight="1" x14ac:dyDescent="0.3">
      <c r="A1683" s="131" t="s">
        <v>9</v>
      </c>
      <c r="B1683" s="93" t="s">
        <v>96</v>
      </c>
      <c r="C1683" s="93" t="s">
        <v>113</v>
      </c>
      <c r="D1683" s="93">
        <v>1.84</v>
      </c>
      <c r="E1683" s="93">
        <v>18</v>
      </c>
      <c r="F1683" s="106">
        <v>297972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0A412-43CF-476D-BF84-C72C21A0547B}">
  <sheetPr codeName="Hoja3"/>
  <dimension ref="A1:D74"/>
  <sheetViews>
    <sheetView workbookViewId="0">
      <selection activeCell="C12" sqref="C12"/>
    </sheetView>
  </sheetViews>
  <sheetFormatPr baseColWidth="10" defaultColWidth="11.44140625" defaultRowHeight="14.4" x14ac:dyDescent="0.3"/>
  <cols>
    <col min="1" max="1" width="17.88671875" customWidth="1"/>
    <col min="2" max="2" width="25.6640625" customWidth="1"/>
    <col min="3" max="3" width="13.109375" customWidth="1"/>
    <col min="4" max="4" width="31.88671875" customWidth="1"/>
  </cols>
  <sheetData>
    <row r="1" spans="1:4" x14ac:dyDescent="0.3">
      <c r="A1" s="8" t="s">
        <v>89</v>
      </c>
      <c r="B1" s="8" t="s">
        <v>37</v>
      </c>
      <c r="C1" s="8" t="s">
        <v>91</v>
      </c>
      <c r="D1" s="8" t="s">
        <v>92</v>
      </c>
    </row>
    <row r="2" spans="1:4" x14ac:dyDescent="0.3">
      <c r="A2" s="7" t="s">
        <v>10</v>
      </c>
      <c r="B2" s="7" t="s">
        <v>115</v>
      </c>
      <c r="C2" s="2">
        <v>19</v>
      </c>
      <c r="D2" s="9">
        <v>700</v>
      </c>
    </row>
    <row r="3" spans="1:4" x14ac:dyDescent="0.3">
      <c r="A3" s="7" t="s">
        <v>10</v>
      </c>
      <c r="B3" s="7" t="s">
        <v>115</v>
      </c>
      <c r="C3" s="2">
        <v>22</v>
      </c>
      <c r="D3" s="9">
        <v>900</v>
      </c>
    </row>
    <row r="4" spans="1:4" x14ac:dyDescent="0.3">
      <c r="A4" s="7" t="s">
        <v>10</v>
      </c>
      <c r="B4" s="7" t="s">
        <v>115</v>
      </c>
      <c r="C4" s="2">
        <v>29</v>
      </c>
      <c r="D4" s="9">
        <v>723</v>
      </c>
    </row>
    <row r="5" spans="1:4" x14ac:dyDescent="0.3">
      <c r="A5" s="7" t="s">
        <v>10</v>
      </c>
      <c r="B5" s="7" t="s">
        <v>115</v>
      </c>
      <c r="C5" s="2">
        <v>34</v>
      </c>
      <c r="D5" s="9">
        <v>923</v>
      </c>
    </row>
    <row r="6" spans="1:4" x14ac:dyDescent="0.3">
      <c r="A6" s="7" t="s">
        <v>10</v>
      </c>
      <c r="B6" s="7" t="s">
        <v>115</v>
      </c>
      <c r="C6" s="2">
        <v>44</v>
      </c>
      <c r="D6" s="9">
        <v>1700</v>
      </c>
    </row>
    <row r="7" spans="1:4" x14ac:dyDescent="0.3">
      <c r="A7" s="7" t="s">
        <v>10</v>
      </c>
      <c r="B7" s="7" t="s">
        <v>115</v>
      </c>
      <c r="C7" s="2">
        <v>90</v>
      </c>
      <c r="D7" s="9">
        <v>4400</v>
      </c>
    </row>
    <row r="8" spans="1:4" x14ac:dyDescent="0.3">
      <c r="A8" s="7" t="s">
        <v>10</v>
      </c>
      <c r="B8" s="7" t="s">
        <v>115</v>
      </c>
      <c r="C8" s="2">
        <v>200</v>
      </c>
      <c r="D8" s="9">
        <v>6900</v>
      </c>
    </row>
    <row r="9" spans="1:4" x14ac:dyDescent="0.3">
      <c r="A9" s="7" t="s">
        <v>11</v>
      </c>
      <c r="B9" s="7" t="s">
        <v>115</v>
      </c>
      <c r="C9" s="2">
        <v>19</v>
      </c>
      <c r="D9" s="9">
        <v>1400</v>
      </c>
    </row>
    <row r="10" spans="1:4" x14ac:dyDescent="0.3">
      <c r="A10" s="7" t="s">
        <v>11</v>
      </c>
      <c r="B10" s="7" t="s">
        <v>115</v>
      </c>
      <c r="C10" s="2">
        <v>22</v>
      </c>
      <c r="D10" s="9">
        <v>5700</v>
      </c>
    </row>
    <row r="11" spans="1:4" x14ac:dyDescent="0.3">
      <c r="A11" s="7" t="s">
        <v>11</v>
      </c>
      <c r="B11" s="7" t="s">
        <v>115</v>
      </c>
      <c r="C11" s="2">
        <v>23</v>
      </c>
      <c r="D11" s="9">
        <v>6500</v>
      </c>
    </row>
    <row r="12" spans="1:4" x14ac:dyDescent="0.3">
      <c r="A12" s="7" t="s">
        <v>11</v>
      </c>
      <c r="B12" s="7" t="s">
        <v>115</v>
      </c>
      <c r="C12" s="2">
        <v>44</v>
      </c>
      <c r="D12" s="9">
        <v>5111</v>
      </c>
    </row>
    <row r="13" spans="1:4" x14ac:dyDescent="0.3">
      <c r="A13" s="7" t="s">
        <v>11</v>
      </c>
      <c r="B13" s="7" t="s">
        <v>115</v>
      </c>
      <c r="C13" s="2">
        <v>90</v>
      </c>
      <c r="D13" s="9">
        <v>6100</v>
      </c>
    </row>
    <row r="14" spans="1:4" x14ac:dyDescent="0.3">
      <c r="A14" s="7" t="s">
        <v>116</v>
      </c>
      <c r="B14" s="7" t="s">
        <v>115</v>
      </c>
      <c r="C14" s="2">
        <v>19</v>
      </c>
      <c r="D14" s="9">
        <v>2100</v>
      </c>
    </row>
    <row r="15" spans="1:4" x14ac:dyDescent="0.3">
      <c r="A15" s="7" t="s">
        <v>116</v>
      </c>
      <c r="B15" s="7" t="s">
        <v>115</v>
      </c>
      <c r="C15" s="2">
        <v>22</v>
      </c>
      <c r="D15" s="9">
        <v>2500</v>
      </c>
    </row>
    <row r="16" spans="1:4" x14ac:dyDescent="0.3">
      <c r="A16" s="7" t="s">
        <v>116</v>
      </c>
      <c r="B16" s="7" t="s">
        <v>115</v>
      </c>
      <c r="C16" s="2">
        <v>29</v>
      </c>
      <c r="D16" s="9">
        <v>3200</v>
      </c>
    </row>
    <row r="17" spans="1:4" x14ac:dyDescent="0.3">
      <c r="A17" s="7" t="s">
        <v>116</v>
      </c>
      <c r="B17" s="7" t="s">
        <v>115</v>
      </c>
      <c r="C17" s="2">
        <v>33</v>
      </c>
      <c r="D17" s="9">
        <v>3600</v>
      </c>
    </row>
    <row r="18" spans="1:4" x14ac:dyDescent="0.3">
      <c r="A18" s="7" t="s">
        <v>116</v>
      </c>
      <c r="B18" s="7" t="s">
        <v>115</v>
      </c>
      <c r="C18" s="2">
        <v>44</v>
      </c>
      <c r="D18" s="9">
        <v>5700</v>
      </c>
    </row>
    <row r="19" spans="1:4" x14ac:dyDescent="0.3">
      <c r="A19" s="7" t="s">
        <v>117</v>
      </c>
      <c r="B19" s="2" t="s">
        <v>118</v>
      </c>
      <c r="C19" s="2">
        <v>13</v>
      </c>
      <c r="D19" s="12">
        <v>216</v>
      </c>
    </row>
    <row r="20" spans="1:4" x14ac:dyDescent="0.3">
      <c r="A20" s="7" t="s">
        <v>117</v>
      </c>
      <c r="B20" s="2" t="s">
        <v>118</v>
      </c>
      <c r="C20" s="2">
        <v>19</v>
      </c>
      <c r="D20" s="12">
        <v>315</v>
      </c>
    </row>
    <row r="21" spans="1:4" x14ac:dyDescent="0.3">
      <c r="A21" s="7" t="s">
        <v>117</v>
      </c>
      <c r="B21" s="2" t="s">
        <v>118</v>
      </c>
      <c r="C21" s="2">
        <v>22</v>
      </c>
      <c r="D21" s="12">
        <v>365</v>
      </c>
    </row>
    <row r="22" spans="1:4" ht="15" customHeight="1" x14ac:dyDescent="0.3">
      <c r="A22" s="7" t="s">
        <v>117</v>
      </c>
      <c r="B22" s="2" t="s">
        <v>118</v>
      </c>
      <c r="C22" s="2">
        <v>29</v>
      </c>
      <c r="D22" s="12">
        <v>480</v>
      </c>
    </row>
    <row r="23" spans="1:4" x14ac:dyDescent="0.3">
      <c r="A23" s="7" t="s">
        <v>117</v>
      </c>
      <c r="B23" s="2" t="s">
        <v>118</v>
      </c>
      <c r="C23" s="2">
        <v>34</v>
      </c>
      <c r="D23" s="12">
        <v>546</v>
      </c>
    </row>
    <row r="24" spans="1:4" x14ac:dyDescent="0.3">
      <c r="A24" s="7" t="s">
        <v>117</v>
      </c>
      <c r="B24" s="2" t="s">
        <v>118</v>
      </c>
      <c r="C24" s="2">
        <v>40</v>
      </c>
      <c r="D24" s="12">
        <v>662</v>
      </c>
    </row>
    <row r="25" spans="1:4" x14ac:dyDescent="0.3">
      <c r="A25" s="7" t="s">
        <v>117</v>
      </c>
      <c r="B25" s="2" t="s">
        <v>118</v>
      </c>
      <c r="C25" s="2">
        <v>44</v>
      </c>
      <c r="D25" s="12">
        <v>729</v>
      </c>
    </row>
    <row r="26" spans="1:4" x14ac:dyDescent="0.3">
      <c r="A26" s="7" t="s">
        <v>117</v>
      </c>
      <c r="B26" s="2" t="s">
        <v>118</v>
      </c>
      <c r="C26" s="2">
        <v>60</v>
      </c>
      <c r="D26" s="12">
        <v>994</v>
      </c>
    </row>
    <row r="27" spans="1:4" x14ac:dyDescent="0.3">
      <c r="A27" s="7" t="s">
        <v>119</v>
      </c>
      <c r="B27" s="2" t="s">
        <v>118</v>
      </c>
      <c r="C27" s="2">
        <v>13</v>
      </c>
      <c r="D27" s="12">
        <v>430</v>
      </c>
    </row>
    <row r="28" spans="1:4" x14ac:dyDescent="0.3">
      <c r="A28" s="7" t="s">
        <v>119</v>
      </c>
      <c r="B28" s="2" t="s">
        <v>118</v>
      </c>
      <c r="C28" s="2">
        <v>19</v>
      </c>
      <c r="D28" s="12">
        <v>629</v>
      </c>
    </row>
    <row r="29" spans="1:4" x14ac:dyDescent="0.3">
      <c r="A29" s="7" t="s">
        <v>119</v>
      </c>
      <c r="B29" s="2" t="s">
        <v>118</v>
      </c>
      <c r="C29" s="2">
        <v>22</v>
      </c>
      <c r="D29" s="12">
        <v>729</v>
      </c>
    </row>
    <row r="30" spans="1:4" x14ac:dyDescent="0.3">
      <c r="A30" s="7" t="s">
        <v>119</v>
      </c>
      <c r="B30" s="2" t="s">
        <v>118</v>
      </c>
      <c r="C30" s="2">
        <v>29</v>
      </c>
      <c r="D30" s="12">
        <v>960</v>
      </c>
    </row>
    <row r="31" spans="1:4" x14ac:dyDescent="0.3">
      <c r="A31" s="7" t="s">
        <v>119</v>
      </c>
      <c r="B31" s="2" t="s">
        <v>118</v>
      </c>
      <c r="C31" s="2">
        <v>33</v>
      </c>
      <c r="D31" s="12">
        <v>1094</v>
      </c>
    </row>
    <row r="32" spans="1:4" x14ac:dyDescent="0.3">
      <c r="A32" s="7" t="s">
        <v>119</v>
      </c>
      <c r="B32" s="2" t="s">
        <v>118</v>
      </c>
      <c r="C32" s="2">
        <v>40</v>
      </c>
      <c r="D32" s="12">
        <v>1325</v>
      </c>
    </row>
    <row r="33" spans="1:4" x14ac:dyDescent="0.3">
      <c r="A33" s="7" t="s">
        <v>119</v>
      </c>
      <c r="B33" s="2" t="s">
        <v>118</v>
      </c>
      <c r="C33" s="2">
        <v>44</v>
      </c>
      <c r="D33" s="12">
        <v>1457</v>
      </c>
    </row>
    <row r="34" spans="1:4" x14ac:dyDescent="0.3">
      <c r="A34" s="7" t="s">
        <v>119</v>
      </c>
      <c r="B34" s="2" t="s">
        <v>118</v>
      </c>
      <c r="C34" s="2">
        <v>60</v>
      </c>
      <c r="D34" s="12">
        <v>1987</v>
      </c>
    </row>
    <row r="35" spans="1:4" x14ac:dyDescent="0.3">
      <c r="A35" s="7" t="s">
        <v>120</v>
      </c>
      <c r="B35" s="2" t="s">
        <v>118</v>
      </c>
      <c r="C35" s="2">
        <v>19</v>
      </c>
      <c r="D35" s="12">
        <v>1169</v>
      </c>
    </row>
    <row r="36" spans="1:4" x14ac:dyDescent="0.3">
      <c r="A36" s="7" t="s">
        <v>120</v>
      </c>
      <c r="B36" s="2" t="s">
        <v>118</v>
      </c>
      <c r="C36" s="2">
        <v>22</v>
      </c>
      <c r="D36" s="12">
        <v>1353</v>
      </c>
    </row>
    <row r="37" spans="1:4" x14ac:dyDescent="0.3">
      <c r="A37" s="7" t="s">
        <v>120</v>
      </c>
      <c r="B37" s="2" t="s">
        <v>118</v>
      </c>
      <c r="C37" s="2">
        <v>40</v>
      </c>
      <c r="D37" s="12">
        <v>2460</v>
      </c>
    </row>
    <row r="38" spans="1:4" x14ac:dyDescent="0.3">
      <c r="A38" s="7" t="s">
        <v>121</v>
      </c>
      <c r="B38" s="2" t="s">
        <v>122</v>
      </c>
      <c r="C38" s="2">
        <v>13</v>
      </c>
      <c r="D38" s="12">
        <v>343</v>
      </c>
    </row>
    <row r="39" spans="1:4" x14ac:dyDescent="0.3">
      <c r="A39" s="7" t="s">
        <v>121</v>
      </c>
      <c r="B39" s="2" t="s">
        <v>122</v>
      </c>
      <c r="C39" s="2">
        <v>19</v>
      </c>
      <c r="D39" s="12">
        <v>406</v>
      </c>
    </row>
    <row r="40" spans="1:4" x14ac:dyDescent="0.3">
      <c r="A40" s="7" t="s">
        <v>121</v>
      </c>
      <c r="B40" s="2" t="s">
        <v>122</v>
      </c>
      <c r="C40" s="2">
        <v>22</v>
      </c>
      <c r="D40" s="12">
        <v>470</v>
      </c>
    </row>
    <row r="41" spans="1:4" x14ac:dyDescent="0.3">
      <c r="A41" s="7" t="s">
        <v>121</v>
      </c>
      <c r="B41" s="2" t="s">
        <v>122</v>
      </c>
      <c r="C41" s="2">
        <v>29</v>
      </c>
      <c r="D41" s="12">
        <v>620</v>
      </c>
    </row>
    <row r="42" spans="1:4" x14ac:dyDescent="0.3">
      <c r="A42" s="7" t="s">
        <v>121</v>
      </c>
      <c r="B42" s="2" t="s">
        <v>122</v>
      </c>
      <c r="C42" s="2">
        <v>34</v>
      </c>
      <c r="D42" s="12">
        <v>705</v>
      </c>
    </row>
    <row r="43" spans="1:4" x14ac:dyDescent="0.3">
      <c r="A43" s="7" t="s">
        <v>121</v>
      </c>
      <c r="B43" s="2" t="s">
        <v>122</v>
      </c>
      <c r="C43" s="2">
        <v>40</v>
      </c>
      <c r="D43" s="12">
        <v>855</v>
      </c>
    </row>
    <row r="44" spans="1:4" x14ac:dyDescent="0.3">
      <c r="A44" s="7" t="s">
        <v>121</v>
      </c>
      <c r="B44" s="2" t="s">
        <v>122</v>
      </c>
      <c r="C44" s="2">
        <v>44</v>
      </c>
      <c r="D44" s="12">
        <v>940</v>
      </c>
    </row>
    <row r="45" spans="1:4" x14ac:dyDescent="0.3">
      <c r="A45" s="7" t="s">
        <v>121</v>
      </c>
      <c r="B45" s="2" t="s">
        <v>122</v>
      </c>
      <c r="C45" s="2">
        <v>60</v>
      </c>
      <c r="D45" s="12">
        <v>1282</v>
      </c>
    </row>
    <row r="46" spans="1:4" x14ac:dyDescent="0.3">
      <c r="A46" s="7" t="s">
        <v>123</v>
      </c>
      <c r="B46" s="2" t="s">
        <v>122</v>
      </c>
      <c r="C46" s="2">
        <v>35</v>
      </c>
      <c r="D46" s="12">
        <v>1393</v>
      </c>
    </row>
    <row r="47" spans="1:4" x14ac:dyDescent="0.3">
      <c r="A47" s="7" t="s">
        <v>123</v>
      </c>
      <c r="B47" s="2" t="s">
        <v>122</v>
      </c>
      <c r="C47" s="2">
        <v>40</v>
      </c>
      <c r="D47" s="12">
        <v>1612</v>
      </c>
    </row>
    <row r="48" spans="1:4" x14ac:dyDescent="0.3">
      <c r="A48" s="7" t="s">
        <v>123</v>
      </c>
      <c r="B48" s="2" t="s">
        <v>122</v>
      </c>
      <c r="C48" s="2">
        <v>19</v>
      </c>
      <c r="D48" s="12">
        <v>1335</v>
      </c>
    </row>
    <row r="49" spans="1:4" x14ac:dyDescent="0.3">
      <c r="A49" s="7" t="s">
        <v>123</v>
      </c>
      <c r="B49" s="2" t="s">
        <v>122</v>
      </c>
      <c r="C49" s="2">
        <v>22</v>
      </c>
      <c r="D49" s="12">
        <v>1545</v>
      </c>
    </row>
    <row r="50" spans="1:4" x14ac:dyDescent="0.3">
      <c r="A50" s="7" t="s">
        <v>124</v>
      </c>
      <c r="B50" s="2" t="s">
        <v>125</v>
      </c>
      <c r="C50" s="2">
        <v>13</v>
      </c>
      <c r="D50" s="12">
        <v>361</v>
      </c>
    </row>
    <row r="51" spans="1:4" x14ac:dyDescent="0.3">
      <c r="A51" s="7" t="s">
        <v>124</v>
      </c>
      <c r="B51" s="2" t="s">
        <v>125</v>
      </c>
      <c r="C51" s="2">
        <v>19</v>
      </c>
      <c r="D51" s="12">
        <v>512</v>
      </c>
    </row>
    <row r="52" spans="1:4" x14ac:dyDescent="0.3">
      <c r="A52" s="7" t="s">
        <v>124</v>
      </c>
      <c r="B52" s="2" t="s">
        <v>125</v>
      </c>
      <c r="C52" s="2">
        <v>22</v>
      </c>
      <c r="D52" s="12">
        <v>569</v>
      </c>
    </row>
    <row r="53" spans="1:4" x14ac:dyDescent="0.3">
      <c r="A53" s="7" t="s">
        <v>124</v>
      </c>
      <c r="B53" s="2" t="s">
        <v>125</v>
      </c>
      <c r="C53" s="2">
        <v>29</v>
      </c>
      <c r="D53" s="12">
        <v>763</v>
      </c>
    </row>
    <row r="54" spans="1:4" x14ac:dyDescent="0.3">
      <c r="A54" s="7" t="s">
        <v>124</v>
      </c>
      <c r="B54" s="2" t="s">
        <v>125</v>
      </c>
      <c r="C54" s="2">
        <v>34</v>
      </c>
      <c r="D54" s="12">
        <v>866</v>
      </c>
    </row>
    <row r="55" spans="1:4" x14ac:dyDescent="0.3">
      <c r="A55" s="7" t="s">
        <v>124</v>
      </c>
      <c r="B55" s="2" t="s">
        <v>125</v>
      </c>
      <c r="C55" s="2">
        <v>40</v>
      </c>
      <c r="D55" s="12">
        <v>1045</v>
      </c>
    </row>
    <row r="56" spans="1:4" x14ac:dyDescent="0.3">
      <c r="A56" s="7" t="s">
        <v>124</v>
      </c>
      <c r="B56" s="2" t="s">
        <v>125</v>
      </c>
      <c r="C56" s="2">
        <v>44</v>
      </c>
      <c r="D56" s="12">
        <v>1146</v>
      </c>
    </row>
    <row r="57" spans="1:4" x14ac:dyDescent="0.3">
      <c r="A57" s="7" t="s">
        <v>124</v>
      </c>
      <c r="B57" s="2" t="s">
        <v>125</v>
      </c>
      <c r="C57" s="2">
        <v>60</v>
      </c>
      <c r="D57" s="12">
        <v>1530</v>
      </c>
    </row>
    <row r="58" spans="1:4" x14ac:dyDescent="0.3">
      <c r="A58" s="7" t="s">
        <v>12</v>
      </c>
      <c r="B58" s="2" t="s">
        <v>125</v>
      </c>
      <c r="C58" s="2">
        <v>13</v>
      </c>
      <c r="D58" s="12">
        <v>695</v>
      </c>
    </row>
    <row r="59" spans="1:4" x14ac:dyDescent="0.3">
      <c r="A59" s="7" t="s">
        <v>12</v>
      </c>
      <c r="B59" s="2" t="s">
        <v>125</v>
      </c>
      <c r="C59" s="2">
        <v>19</v>
      </c>
      <c r="D59" s="12">
        <v>1017</v>
      </c>
    </row>
    <row r="60" spans="1:4" x14ac:dyDescent="0.3">
      <c r="A60" s="7" t="s">
        <v>12</v>
      </c>
      <c r="B60" s="2" t="s">
        <v>125</v>
      </c>
      <c r="C60" s="2">
        <v>22</v>
      </c>
      <c r="D60" s="12">
        <v>1258</v>
      </c>
    </row>
    <row r="61" spans="1:4" x14ac:dyDescent="0.3">
      <c r="A61" s="7" t="s">
        <v>12</v>
      </c>
      <c r="B61" s="2" t="s">
        <v>125</v>
      </c>
      <c r="C61" s="2">
        <v>29</v>
      </c>
      <c r="D61" s="12">
        <v>1560</v>
      </c>
    </row>
    <row r="62" spans="1:4" x14ac:dyDescent="0.3">
      <c r="A62" s="7" t="s">
        <v>12</v>
      </c>
      <c r="B62" s="2" t="s">
        <v>125</v>
      </c>
      <c r="C62" s="2">
        <v>33</v>
      </c>
      <c r="D62" s="12">
        <v>1882</v>
      </c>
    </row>
    <row r="63" spans="1:4" x14ac:dyDescent="0.3">
      <c r="A63" s="7" t="s">
        <v>12</v>
      </c>
      <c r="B63" s="2" t="s">
        <v>125</v>
      </c>
      <c r="C63" s="2">
        <v>40</v>
      </c>
      <c r="D63" s="12">
        <v>2150</v>
      </c>
    </row>
    <row r="64" spans="1:4" x14ac:dyDescent="0.3">
      <c r="A64" s="7" t="s">
        <v>12</v>
      </c>
      <c r="B64" s="2" t="s">
        <v>125</v>
      </c>
      <c r="C64" s="2">
        <v>44</v>
      </c>
      <c r="D64" s="12">
        <v>2345</v>
      </c>
    </row>
    <row r="65" spans="1:4" x14ac:dyDescent="0.3">
      <c r="A65" s="7" t="s">
        <v>126</v>
      </c>
      <c r="B65" s="2" t="s">
        <v>125</v>
      </c>
      <c r="C65" s="2">
        <v>22</v>
      </c>
      <c r="D65" s="12">
        <v>1833</v>
      </c>
    </row>
    <row r="66" spans="1:4" x14ac:dyDescent="0.3">
      <c r="A66" s="7" t="s">
        <v>126</v>
      </c>
      <c r="B66" s="2" t="s">
        <v>125</v>
      </c>
      <c r="C66" s="2">
        <v>29</v>
      </c>
      <c r="D66" s="12">
        <v>2093</v>
      </c>
    </row>
    <row r="67" spans="1:4" x14ac:dyDescent="0.3">
      <c r="A67" s="7" t="s">
        <v>126</v>
      </c>
      <c r="B67" s="2" t="s">
        <v>125</v>
      </c>
      <c r="C67" s="2">
        <v>35</v>
      </c>
      <c r="D67" s="12">
        <v>3345</v>
      </c>
    </row>
    <row r="68" spans="1:4" x14ac:dyDescent="0.3">
      <c r="A68" s="7" t="s">
        <v>126</v>
      </c>
      <c r="B68" s="2" t="s">
        <v>125</v>
      </c>
      <c r="C68" s="2">
        <v>44</v>
      </c>
      <c r="D68" s="12">
        <v>3808</v>
      </c>
    </row>
    <row r="69" spans="1:4" x14ac:dyDescent="0.3">
      <c r="A69" s="7" t="s">
        <v>127</v>
      </c>
      <c r="B69" s="2" t="s">
        <v>128</v>
      </c>
      <c r="C69" s="2">
        <v>13</v>
      </c>
      <c r="D69" s="12">
        <v>567</v>
      </c>
    </row>
    <row r="70" spans="1:4" x14ac:dyDescent="0.3">
      <c r="A70" s="7" t="s">
        <v>127</v>
      </c>
      <c r="B70" s="2" t="s">
        <v>128</v>
      </c>
      <c r="C70" s="2">
        <v>19</v>
      </c>
      <c r="D70" s="12">
        <v>595</v>
      </c>
    </row>
    <row r="71" spans="1:4" x14ac:dyDescent="0.3">
      <c r="A71" s="7" t="s">
        <v>127</v>
      </c>
      <c r="B71" s="2" t="s">
        <v>128</v>
      </c>
      <c r="C71" s="2">
        <v>40</v>
      </c>
      <c r="D71" s="12">
        <v>1321</v>
      </c>
    </row>
    <row r="72" spans="1:4" x14ac:dyDescent="0.3">
      <c r="A72" s="7" t="s">
        <v>129</v>
      </c>
      <c r="B72" s="2" t="s">
        <v>128</v>
      </c>
      <c r="C72" s="2">
        <v>22</v>
      </c>
      <c r="D72" s="12">
        <v>2184</v>
      </c>
    </row>
    <row r="73" spans="1:4" x14ac:dyDescent="0.3">
      <c r="A73" s="7" t="s">
        <v>129</v>
      </c>
      <c r="B73" s="2" t="s">
        <v>128</v>
      </c>
      <c r="C73" s="2">
        <v>35</v>
      </c>
      <c r="D73" s="12">
        <v>4308</v>
      </c>
    </row>
    <row r="74" spans="1:4" x14ac:dyDescent="0.3">
      <c r="A74" s="7" t="s">
        <v>129</v>
      </c>
      <c r="B74" s="2" t="s">
        <v>128</v>
      </c>
      <c r="C74" s="2">
        <v>44</v>
      </c>
      <c r="D74" s="12">
        <v>4536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B8645-B76E-41A1-AA99-1FE30ACD75E9}">
  <sheetPr codeName="Hoja6"/>
  <dimension ref="A1:C220"/>
  <sheetViews>
    <sheetView topLeftCell="A61" workbookViewId="0">
      <selection activeCell="B35" sqref="B35"/>
    </sheetView>
  </sheetViews>
  <sheetFormatPr baseColWidth="10" defaultColWidth="11.44140625" defaultRowHeight="14.4" x14ac:dyDescent="0.3"/>
  <cols>
    <col min="1" max="1" width="59.6640625" customWidth="1"/>
    <col min="2" max="2" width="26" customWidth="1"/>
    <col min="3" max="3" width="30.5546875" customWidth="1"/>
    <col min="4" max="4" width="18.5546875" customWidth="1"/>
  </cols>
  <sheetData>
    <row r="1" spans="1:3" x14ac:dyDescent="0.3">
      <c r="A1" s="8" t="s">
        <v>88</v>
      </c>
      <c r="B1" s="8" t="s">
        <v>37</v>
      </c>
      <c r="C1" s="8" t="s">
        <v>92</v>
      </c>
    </row>
    <row r="2" spans="1:3" x14ac:dyDescent="0.3">
      <c r="A2" s="2" t="s">
        <v>130</v>
      </c>
      <c r="B2" s="2" t="s">
        <v>131</v>
      </c>
      <c r="C2" s="12">
        <v>659</v>
      </c>
    </row>
    <row r="3" spans="1:3" x14ac:dyDescent="0.3">
      <c r="A3" s="2" t="s">
        <v>39</v>
      </c>
      <c r="B3" s="2" t="s">
        <v>131</v>
      </c>
      <c r="C3" s="12">
        <v>2350</v>
      </c>
    </row>
    <row r="4" spans="1:3" x14ac:dyDescent="0.3">
      <c r="A4" s="2" t="s">
        <v>38</v>
      </c>
      <c r="B4" s="2" t="s">
        <v>131</v>
      </c>
      <c r="C4" s="12">
        <v>530</v>
      </c>
    </row>
    <row r="5" spans="1:3" x14ac:dyDescent="0.3">
      <c r="A5" s="2" t="s">
        <v>132</v>
      </c>
      <c r="B5" s="2" t="s">
        <v>131</v>
      </c>
      <c r="C5" s="12">
        <v>62289</v>
      </c>
    </row>
    <row r="6" spans="1:3" x14ac:dyDescent="0.3">
      <c r="A6" s="2" t="s">
        <v>133</v>
      </c>
      <c r="B6" s="2" t="s">
        <v>131</v>
      </c>
      <c r="C6" s="12">
        <v>195406</v>
      </c>
    </row>
    <row r="7" spans="1:3" x14ac:dyDescent="0.3">
      <c r="A7" s="2" t="s">
        <v>134</v>
      </c>
      <c r="B7" s="2" t="s">
        <v>131</v>
      </c>
      <c r="C7" s="12">
        <v>206608</v>
      </c>
    </row>
    <row r="8" spans="1:3" x14ac:dyDescent="0.3">
      <c r="A8" s="2" t="s">
        <v>135</v>
      </c>
      <c r="B8" s="2" t="s">
        <v>131</v>
      </c>
      <c r="C8" s="12">
        <v>2188</v>
      </c>
    </row>
    <row r="9" spans="1:3" x14ac:dyDescent="0.3">
      <c r="A9" s="2" t="s">
        <v>136</v>
      </c>
      <c r="B9" s="2" t="s">
        <v>131</v>
      </c>
      <c r="C9" s="12">
        <v>1038</v>
      </c>
    </row>
    <row r="10" spans="1:3" x14ac:dyDescent="0.3">
      <c r="A10" s="2" t="s">
        <v>137</v>
      </c>
      <c r="B10" s="2" t="s">
        <v>138</v>
      </c>
      <c r="C10" s="9">
        <v>19970</v>
      </c>
    </row>
    <row r="11" spans="1:3" x14ac:dyDescent="0.3">
      <c r="A11" s="2" t="s">
        <v>139</v>
      </c>
      <c r="B11" s="2" t="s">
        <v>138</v>
      </c>
      <c r="C11" s="9">
        <v>4273</v>
      </c>
    </row>
    <row r="12" spans="1:3" x14ac:dyDescent="0.3">
      <c r="A12" s="2" t="s">
        <v>140</v>
      </c>
      <c r="B12" s="2" t="s">
        <v>138</v>
      </c>
      <c r="C12" s="9">
        <v>17170</v>
      </c>
    </row>
    <row r="13" spans="1:3" x14ac:dyDescent="0.3">
      <c r="A13" s="2" t="s">
        <v>141</v>
      </c>
      <c r="B13" s="2" t="s">
        <v>138</v>
      </c>
      <c r="C13" s="9">
        <v>21773</v>
      </c>
    </row>
    <row r="14" spans="1:3" x14ac:dyDescent="0.3">
      <c r="A14" s="2" t="s">
        <v>142</v>
      </c>
      <c r="B14" s="2" t="s">
        <v>138</v>
      </c>
      <c r="C14" s="9">
        <v>21773</v>
      </c>
    </row>
    <row r="15" spans="1:3" x14ac:dyDescent="0.3">
      <c r="A15" s="2" t="s">
        <v>143</v>
      </c>
      <c r="B15" s="2" t="s">
        <v>138</v>
      </c>
      <c r="C15" s="9">
        <v>7900</v>
      </c>
    </row>
    <row r="16" spans="1:3" x14ac:dyDescent="0.3">
      <c r="A16" s="2" t="s">
        <v>144</v>
      </c>
      <c r="B16" s="2" t="s">
        <v>131</v>
      </c>
      <c r="C16" s="12">
        <v>817</v>
      </c>
    </row>
    <row r="17" spans="1:3" x14ac:dyDescent="0.3">
      <c r="A17" s="2" t="s">
        <v>145</v>
      </c>
      <c r="B17" s="2" t="s">
        <v>131</v>
      </c>
      <c r="C17" s="12">
        <v>1479</v>
      </c>
    </row>
    <row r="18" spans="1:3" x14ac:dyDescent="0.3">
      <c r="A18" s="2" t="s">
        <v>146</v>
      </c>
      <c r="B18" s="2" t="s">
        <v>147</v>
      </c>
      <c r="C18" s="9">
        <v>72900</v>
      </c>
    </row>
    <row r="19" spans="1:3" x14ac:dyDescent="0.3">
      <c r="A19" s="2" t="s">
        <v>148</v>
      </c>
      <c r="B19" s="2" t="s">
        <v>131</v>
      </c>
      <c r="C19" s="12">
        <v>817</v>
      </c>
    </row>
    <row r="20" spans="1:3" x14ac:dyDescent="0.3">
      <c r="A20" s="2" t="s">
        <v>149</v>
      </c>
      <c r="B20" s="2" t="s">
        <v>131</v>
      </c>
      <c r="C20" s="12">
        <v>1465</v>
      </c>
    </row>
    <row r="21" spans="1:3" x14ac:dyDescent="0.3">
      <c r="A21" s="2" t="s">
        <v>150</v>
      </c>
      <c r="B21" s="2" t="s">
        <v>131</v>
      </c>
      <c r="C21" s="12">
        <v>85224</v>
      </c>
    </row>
    <row r="22" spans="1:3" x14ac:dyDescent="0.3">
      <c r="A22" s="10" t="s">
        <v>151</v>
      </c>
      <c r="B22" s="2" t="s">
        <v>131</v>
      </c>
      <c r="C22" s="12">
        <v>204361</v>
      </c>
    </row>
    <row r="23" spans="1:3" x14ac:dyDescent="0.3">
      <c r="A23" s="10" t="s">
        <v>152</v>
      </c>
      <c r="B23" s="2" t="s">
        <v>131</v>
      </c>
      <c r="C23" s="12">
        <v>204361</v>
      </c>
    </row>
    <row r="24" spans="1:3" x14ac:dyDescent="0.3">
      <c r="A24" s="2" t="s">
        <v>153</v>
      </c>
      <c r="B24" s="2" t="s">
        <v>131</v>
      </c>
      <c r="C24" s="12">
        <v>130771</v>
      </c>
    </row>
    <row r="25" spans="1:3" x14ac:dyDescent="0.3">
      <c r="A25" s="10" t="s">
        <v>154</v>
      </c>
      <c r="B25" s="2" t="s">
        <v>131</v>
      </c>
      <c r="C25" s="12">
        <v>163936</v>
      </c>
    </row>
    <row r="26" spans="1:3" x14ac:dyDescent="0.3">
      <c r="A26" s="10" t="s">
        <v>155</v>
      </c>
      <c r="B26" s="2" t="s">
        <v>131</v>
      </c>
      <c r="C26" s="12">
        <v>170230</v>
      </c>
    </row>
    <row r="27" spans="1:3" x14ac:dyDescent="0.3">
      <c r="A27" s="2" t="s">
        <v>156</v>
      </c>
      <c r="B27" s="2" t="s">
        <v>131</v>
      </c>
      <c r="C27" s="12">
        <v>36637</v>
      </c>
    </row>
    <row r="28" spans="1:3" x14ac:dyDescent="0.3">
      <c r="A28" s="2" t="s">
        <v>157</v>
      </c>
      <c r="B28" s="2" t="s">
        <v>131</v>
      </c>
      <c r="C28" s="12">
        <v>36634</v>
      </c>
    </row>
    <row r="29" spans="1:3" x14ac:dyDescent="0.3">
      <c r="A29" s="2" t="s">
        <v>158</v>
      </c>
      <c r="B29" s="2" t="s">
        <v>131</v>
      </c>
      <c r="C29" s="12">
        <v>36637</v>
      </c>
    </row>
    <row r="30" spans="1:3" x14ac:dyDescent="0.3">
      <c r="A30" s="2" t="s">
        <v>159</v>
      </c>
      <c r="B30" s="2" t="s">
        <v>131</v>
      </c>
      <c r="C30" s="12">
        <v>36634</v>
      </c>
    </row>
    <row r="31" spans="1:3" x14ac:dyDescent="0.3">
      <c r="A31" s="11" t="s">
        <v>160</v>
      </c>
      <c r="B31" s="2" t="s">
        <v>131</v>
      </c>
      <c r="C31" s="13">
        <v>2911</v>
      </c>
    </row>
    <row r="32" spans="1:3" x14ac:dyDescent="0.3">
      <c r="A32" s="2" t="s">
        <v>161</v>
      </c>
      <c r="B32" s="2" t="s">
        <v>131</v>
      </c>
      <c r="C32" s="12">
        <v>2911</v>
      </c>
    </row>
    <row r="33" spans="1:3" x14ac:dyDescent="0.3">
      <c r="A33" s="2" t="s">
        <v>162</v>
      </c>
      <c r="B33" s="2" t="s">
        <v>131</v>
      </c>
      <c r="C33" s="12">
        <v>2911</v>
      </c>
    </row>
    <row r="34" spans="1:3" x14ac:dyDescent="0.3">
      <c r="A34" s="2" t="s">
        <v>163</v>
      </c>
      <c r="B34" s="2" t="s">
        <v>131</v>
      </c>
      <c r="C34" s="12">
        <v>2911</v>
      </c>
    </row>
    <row r="35" spans="1:3" x14ac:dyDescent="0.3">
      <c r="A35" s="2" t="s">
        <v>164</v>
      </c>
      <c r="B35" s="2" t="s">
        <v>131</v>
      </c>
      <c r="C35" s="12">
        <v>4069</v>
      </c>
    </row>
    <row r="36" spans="1:3" x14ac:dyDescent="0.3">
      <c r="A36" s="2" t="s">
        <v>165</v>
      </c>
      <c r="B36" s="2" t="s">
        <v>131</v>
      </c>
      <c r="C36" s="12">
        <v>2911</v>
      </c>
    </row>
    <row r="37" spans="1:3" x14ac:dyDescent="0.3">
      <c r="A37" s="2" t="s">
        <v>166</v>
      </c>
      <c r="B37" s="2" t="s">
        <v>131</v>
      </c>
      <c r="C37" s="12">
        <v>2911</v>
      </c>
    </row>
    <row r="38" spans="1:3" x14ac:dyDescent="0.3">
      <c r="A38" s="2" t="s">
        <v>167</v>
      </c>
      <c r="B38" s="2" t="s">
        <v>138</v>
      </c>
      <c r="C38" s="9">
        <v>11881</v>
      </c>
    </row>
    <row r="39" spans="1:3" x14ac:dyDescent="0.3">
      <c r="A39" s="2" t="s">
        <v>168</v>
      </c>
      <c r="B39" s="2" t="s">
        <v>138</v>
      </c>
      <c r="C39" s="9">
        <v>11881</v>
      </c>
    </row>
    <row r="40" spans="1:3" x14ac:dyDescent="0.3">
      <c r="A40" s="2" t="s">
        <v>169</v>
      </c>
      <c r="B40" s="2" t="s">
        <v>138</v>
      </c>
      <c r="C40" s="9">
        <v>11881</v>
      </c>
    </row>
    <row r="41" spans="1:3" x14ac:dyDescent="0.3">
      <c r="A41" s="2" t="s">
        <v>170</v>
      </c>
      <c r="B41" s="2" t="s">
        <v>138</v>
      </c>
      <c r="C41" s="9">
        <v>11881</v>
      </c>
    </row>
    <row r="42" spans="1:3" x14ac:dyDescent="0.3">
      <c r="A42" s="2" t="s">
        <v>171</v>
      </c>
      <c r="B42" s="2" t="s">
        <v>131</v>
      </c>
      <c r="C42" s="12">
        <v>530</v>
      </c>
    </row>
    <row r="43" spans="1:3" x14ac:dyDescent="0.3">
      <c r="A43" s="2" t="s">
        <v>172</v>
      </c>
      <c r="B43" s="2" t="s">
        <v>131</v>
      </c>
      <c r="C43" s="12">
        <v>35381</v>
      </c>
    </row>
    <row r="44" spans="1:3" x14ac:dyDescent="0.3">
      <c r="A44" s="2" t="s">
        <v>173</v>
      </c>
      <c r="B44" s="2" t="s">
        <v>131</v>
      </c>
      <c r="C44" s="12">
        <v>32764</v>
      </c>
    </row>
    <row r="45" spans="1:3" x14ac:dyDescent="0.3">
      <c r="A45" s="2" t="s">
        <v>174</v>
      </c>
      <c r="B45" s="2" t="s">
        <v>131</v>
      </c>
      <c r="C45" s="12">
        <v>87005</v>
      </c>
    </row>
    <row r="46" spans="1:3" x14ac:dyDescent="0.3">
      <c r="A46" s="2" t="s">
        <v>175</v>
      </c>
      <c r="B46" s="2" t="s">
        <v>131</v>
      </c>
      <c r="C46" s="12">
        <v>9650</v>
      </c>
    </row>
    <row r="47" spans="1:3" x14ac:dyDescent="0.3">
      <c r="A47" s="2" t="s">
        <v>176</v>
      </c>
      <c r="B47" s="2" t="s">
        <v>131</v>
      </c>
      <c r="C47" s="12">
        <v>3501</v>
      </c>
    </row>
    <row r="48" spans="1:3" x14ac:dyDescent="0.3">
      <c r="A48" s="2" t="s">
        <v>177</v>
      </c>
      <c r="B48" s="2" t="s">
        <v>131</v>
      </c>
      <c r="C48" s="12">
        <v>3545</v>
      </c>
    </row>
    <row r="49" spans="1:3" x14ac:dyDescent="0.3">
      <c r="A49" s="2" t="s">
        <v>178</v>
      </c>
      <c r="B49" s="2" t="s">
        <v>131</v>
      </c>
      <c r="C49" s="12">
        <v>9650</v>
      </c>
    </row>
    <row r="50" spans="1:3" x14ac:dyDescent="0.3">
      <c r="A50" s="2" t="s">
        <v>179</v>
      </c>
      <c r="B50" s="2" t="s">
        <v>147</v>
      </c>
      <c r="C50" s="9">
        <v>39900</v>
      </c>
    </row>
    <row r="51" spans="1:3" x14ac:dyDescent="0.3">
      <c r="A51" s="2" t="s">
        <v>180</v>
      </c>
      <c r="B51" s="2" t="s">
        <v>131</v>
      </c>
      <c r="C51" s="12">
        <v>28900</v>
      </c>
    </row>
    <row r="52" spans="1:3" x14ac:dyDescent="0.3">
      <c r="A52" s="2" t="s">
        <v>181</v>
      </c>
      <c r="B52" s="2" t="s">
        <v>131</v>
      </c>
      <c r="C52" s="12">
        <v>22806</v>
      </c>
    </row>
    <row r="53" spans="1:3" x14ac:dyDescent="0.3">
      <c r="A53" s="2" t="s">
        <v>182</v>
      </c>
      <c r="B53" s="2" t="s">
        <v>131</v>
      </c>
      <c r="C53" s="12">
        <v>34095</v>
      </c>
    </row>
    <row r="54" spans="1:3" x14ac:dyDescent="0.3">
      <c r="A54" s="2" t="s">
        <v>183</v>
      </c>
      <c r="B54" s="2" t="s">
        <v>131</v>
      </c>
      <c r="C54" s="12">
        <v>40383</v>
      </c>
    </row>
    <row r="55" spans="1:3" x14ac:dyDescent="0.3">
      <c r="A55" s="2" t="s">
        <v>184</v>
      </c>
      <c r="B55" s="2" t="s">
        <v>131</v>
      </c>
      <c r="C55" s="12">
        <v>40830</v>
      </c>
    </row>
    <row r="56" spans="1:3" x14ac:dyDescent="0.3">
      <c r="A56" s="2" t="s">
        <v>185</v>
      </c>
      <c r="B56" s="2" t="s">
        <v>131</v>
      </c>
      <c r="C56" s="12">
        <v>40850</v>
      </c>
    </row>
    <row r="57" spans="1:3" x14ac:dyDescent="0.3">
      <c r="A57" s="2" t="s">
        <v>186</v>
      </c>
      <c r="B57" s="2" t="s">
        <v>131</v>
      </c>
      <c r="C57" s="12">
        <v>4506</v>
      </c>
    </row>
    <row r="58" spans="1:3" x14ac:dyDescent="0.3">
      <c r="A58" s="2" t="s">
        <v>187</v>
      </c>
      <c r="B58" s="2" t="s">
        <v>131</v>
      </c>
      <c r="C58" s="12">
        <v>6901</v>
      </c>
    </row>
    <row r="59" spans="1:3" x14ac:dyDescent="0.3">
      <c r="A59" s="2" t="s">
        <v>188</v>
      </c>
      <c r="B59" s="2" t="s">
        <v>131</v>
      </c>
      <c r="C59" s="12">
        <v>3340</v>
      </c>
    </row>
    <row r="60" spans="1:3" x14ac:dyDescent="0.3">
      <c r="A60" s="2" t="s">
        <v>189</v>
      </c>
      <c r="B60" s="2" t="s">
        <v>131</v>
      </c>
      <c r="C60" s="12">
        <v>6627</v>
      </c>
    </row>
    <row r="61" spans="1:3" x14ac:dyDescent="0.3">
      <c r="A61" s="2" t="s">
        <v>190</v>
      </c>
      <c r="B61" s="2" t="s">
        <v>131</v>
      </c>
      <c r="C61" s="12">
        <v>6289</v>
      </c>
    </row>
    <row r="62" spans="1:3" x14ac:dyDescent="0.3">
      <c r="A62" s="2" t="s">
        <v>190</v>
      </c>
      <c r="B62" s="2" t="s">
        <v>131</v>
      </c>
      <c r="C62" s="12">
        <v>4350</v>
      </c>
    </row>
    <row r="63" spans="1:3" x14ac:dyDescent="0.3">
      <c r="A63" s="2" t="s">
        <v>191</v>
      </c>
      <c r="B63" s="2" t="s">
        <v>131</v>
      </c>
      <c r="C63" s="12">
        <v>7520</v>
      </c>
    </row>
    <row r="64" spans="1:3" x14ac:dyDescent="0.3">
      <c r="A64" s="2" t="s">
        <v>192</v>
      </c>
      <c r="B64" s="2" t="s">
        <v>131</v>
      </c>
      <c r="C64" s="12">
        <v>8911</v>
      </c>
    </row>
    <row r="65" spans="1:3" x14ac:dyDescent="0.3">
      <c r="A65" s="2" t="s">
        <v>193</v>
      </c>
      <c r="B65" s="2" t="s">
        <v>131</v>
      </c>
      <c r="C65" s="12">
        <v>9509</v>
      </c>
    </row>
    <row r="66" spans="1:3" x14ac:dyDescent="0.3">
      <c r="A66" s="2" t="s">
        <v>194</v>
      </c>
      <c r="B66" s="2" t="s">
        <v>131</v>
      </c>
      <c r="C66" s="12">
        <v>4980</v>
      </c>
    </row>
    <row r="67" spans="1:3" x14ac:dyDescent="0.3">
      <c r="A67" s="2" t="s">
        <v>195</v>
      </c>
      <c r="B67" s="2" t="s">
        <v>131</v>
      </c>
      <c r="C67" s="12">
        <v>7650</v>
      </c>
    </row>
    <row r="68" spans="1:3" x14ac:dyDescent="0.3">
      <c r="A68" s="2" t="s">
        <v>196</v>
      </c>
      <c r="B68" s="2" t="s">
        <v>131</v>
      </c>
      <c r="C68" s="12">
        <v>10410</v>
      </c>
    </row>
    <row r="69" spans="1:3" x14ac:dyDescent="0.3">
      <c r="A69" s="2" t="s">
        <v>197</v>
      </c>
      <c r="B69" s="2" t="s">
        <v>131</v>
      </c>
      <c r="C69" s="12">
        <v>5571</v>
      </c>
    </row>
    <row r="70" spans="1:3" x14ac:dyDescent="0.3">
      <c r="A70" s="2" t="s">
        <v>198</v>
      </c>
      <c r="B70" s="2" t="s">
        <v>131</v>
      </c>
      <c r="C70" s="12">
        <v>8847</v>
      </c>
    </row>
    <row r="71" spans="1:3" x14ac:dyDescent="0.3">
      <c r="A71" s="2" t="s">
        <v>199</v>
      </c>
      <c r="B71" s="2" t="s">
        <v>131</v>
      </c>
      <c r="C71" s="12">
        <v>11501</v>
      </c>
    </row>
    <row r="72" spans="1:3" x14ac:dyDescent="0.3">
      <c r="A72" s="2" t="s">
        <v>200</v>
      </c>
      <c r="B72" s="2" t="s">
        <v>131</v>
      </c>
      <c r="C72" s="12">
        <v>9744</v>
      </c>
    </row>
    <row r="73" spans="1:3" x14ac:dyDescent="0.3">
      <c r="A73" s="2" t="s">
        <v>201</v>
      </c>
      <c r="B73" s="2" t="s">
        <v>131</v>
      </c>
      <c r="C73" s="12">
        <v>12500</v>
      </c>
    </row>
    <row r="74" spans="1:3" x14ac:dyDescent="0.3">
      <c r="A74" s="2" t="s">
        <v>202</v>
      </c>
      <c r="B74" s="2" t="s">
        <v>131</v>
      </c>
      <c r="C74" s="12">
        <v>12600</v>
      </c>
    </row>
    <row r="75" spans="1:3" x14ac:dyDescent="0.3">
      <c r="A75" s="2" t="s">
        <v>203</v>
      </c>
      <c r="B75" s="2" t="s">
        <v>131</v>
      </c>
      <c r="C75" s="12">
        <v>16250</v>
      </c>
    </row>
    <row r="76" spans="1:3" x14ac:dyDescent="0.3">
      <c r="A76" s="2" t="s">
        <v>204</v>
      </c>
      <c r="B76" s="2" t="s">
        <v>131</v>
      </c>
      <c r="C76" s="12">
        <v>13962</v>
      </c>
    </row>
    <row r="77" spans="1:3" x14ac:dyDescent="0.3">
      <c r="A77" s="2" t="s">
        <v>205</v>
      </c>
      <c r="B77" s="2" t="s">
        <v>131</v>
      </c>
      <c r="C77" s="12">
        <v>12462</v>
      </c>
    </row>
    <row r="78" spans="1:3" x14ac:dyDescent="0.3">
      <c r="A78" s="2" t="s">
        <v>206</v>
      </c>
      <c r="B78" s="2" t="s">
        <v>131</v>
      </c>
      <c r="C78" s="12">
        <v>12809</v>
      </c>
    </row>
    <row r="79" spans="1:3" x14ac:dyDescent="0.3">
      <c r="A79" s="2" t="s">
        <v>207</v>
      </c>
      <c r="B79" s="2" t="s">
        <v>131</v>
      </c>
      <c r="C79" s="12">
        <v>13794</v>
      </c>
    </row>
    <row r="80" spans="1:3" x14ac:dyDescent="0.3">
      <c r="A80" s="2" t="s">
        <v>208</v>
      </c>
      <c r="B80" s="2" t="s">
        <v>131</v>
      </c>
      <c r="C80" s="12">
        <v>14862</v>
      </c>
    </row>
    <row r="81" spans="1:3" x14ac:dyDescent="0.3">
      <c r="A81" s="2" t="s">
        <v>209</v>
      </c>
      <c r="B81" s="2" t="s">
        <v>131</v>
      </c>
      <c r="C81" s="12">
        <v>16609</v>
      </c>
    </row>
    <row r="82" spans="1:3" x14ac:dyDescent="0.3">
      <c r="A82" s="2" t="s">
        <v>210</v>
      </c>
      <c r="B82" s="2" t="s">
        <v>131</v>
      </c>
      <c r="C82" s="12">
        <v>13000</v>
      </c>
    </row>
    <row r="83" spans="1:3" x14ac:dyDescent="0.3">
      <c r="A83" s="2" t="s">
        <v>211</v>
      </c>
      <c r="B83" s="2" t="s">
        <v>131</v>
      </c>
      <c r="C83" s="12">
        <v>13100</v>
      </c>
    </row>
    <row r="84" spans="1:3" x14ac:dyDescent="0.3">
      <c r="A84" s="2" t="s">
        <v>212</v>
      </c>
      <c r="B84" s="2" t="s">
        <v>131</v>
      </c>
      <c r="C84" s="12">
        <v>15480</v>
      </c>
    </row>
    <row r="85" spans="1:3" x14ac:dyDescent="0.3">
      <c r="A85" s="2" t="s">
        <v>213</v>
      </c>
      <c r="B85" s="2" t="s">
        <v>131</v>
      </c>
      <c r="C85" s="12">
        <v>15225</v>
      </c>
    </row>
    <row r="86" spans="1:3" x14ac:dyDescent="0.3">
      <c r="A86" s="2" t="s">
        <v>214</v>
      </c>
      <c r="B86" s="2" t="s">
        <v>138</v>
      </c>
      <c r="C86" s="9">
        <v>39643</v>
      </c>
    </row>
    <row r="87" spans="1:3" x14ac:dyDescent="0.3">
      <c r="A87" s="2" t="s">
        <v>215</v>
      </c>
      <c r="B87" s="2" t="s">
        <v>138</v>
      </c>
      <c r="C87" s="9">
        <v>41383</v>
      </c>
    </row>
    <row r="88" spans="1:3" x14ac:dyDescent="0.3">
      <c r="A88" s="2" t="s">
        <v>216</v>
      </c>
      <c r="B88" s="2" t="s">
        <v>138</v>
      </c>
      <c r="C88" s="9">
        <v>48524</v>
      </c>
    </row>
    <row r="89" spans="1:3" x14ac:dyDescent="0.3">
      <c r="A89" s="2" t="s">
        <v>217</v>
      </c>
      <c r="B89" s="2" t="s">
        <v>138</v>
      </c>
      <c r="C89" s="9">
        <v>53651</v>
      </c>
    </row>
    <row r="90" spans="1:3" x14ac:dyDescent="0.3">
      <c r="A90" s="2" t="s">
        <v>218</v>
      </c>
      <c r="B90" s="2" t="s">
        <v>138</v>
      </c>
      <c r="C90" s="9">
        <v>59236</v>
      </c>
    </row>
    <row r="91" spans="1:3" x14ac:dyDescent="0.3">
      <c r="A91" s="2" t="s">
        <v>219</v>
      </c>
      <c r="B91" s="2" t="s">
        <v>138</v>
      </c>
      <c r="C91" s="9">
        <v>64454</v>
      </c>
    </row>
    <row r="92" spans="1:3" x14ac:dyDescent="0.3">
      <c r="A92" s="2" t="s">
        <v>220</v>
      </c>
      <c r="B92" s="2" t="s">
        <v>138</v>
      </c>
      <c r="C92" s="9">
        <v>43430</v>
      </c>
    </row>
    <row r="93" spans="1:3" x14ac:dyDescent="0.3">
      <c r="A93" s="2" t="s">
        <v>221</v>
      </c>
      <c r="B93" s="2" t="s">
        <v>138</v>
      </c>
      <c r="C93" s="9">
        <v>47470</v>
      </c>
    </row>
    <row r="94" spans="1:3" x14ac:dyDescent="0.3">
      <c r="A94" s="2" t="s">
        <v>222</v>
      </c>
      <c r="B94" s="2" t="s">
        <v>138</v>
      </c>
      <c r="C94" s="9">
        <v>51510</v>
      </c>
    </row>
    <row r="95" spans="1:3" x14ac:dyDescent="0.3">
      <c r="A95" s="2" t="s">
        <v>223</v>
      </c>
      <c r="B95" s="2" t="s">
        <v>138</v>
      </c>
      <c r="C95" s="9">
        <v>55550</v>
      </c>
    </row>
    <row r="96" spans="1:3" x14ac:dyDescent="0.3">
      <c r="A96" s="2" t="s">
        <v>224</v>
      </c>
      <c r="B96" s="2" t="s">
        <v>138</v>
      </c>
      <c r="C96" s="9">
        <v>59590</v>
      </c>
    </row>
    <row r="97" spans="1:3" x14ac:dyDescent="0.3">
      <c r="A97" s="2" t="s">
        <v>225</v>
      </c>
      <c r="B97" s="2" t="s">
        <v>138</v>
      </c>
      <c r="C97" s="9">
        <v>63630</v>
      </c>
    </row>
    <row r="98" spans="1:3" x14ac:dyDescent="0.3">
      <c r="A98" s="2" t="s">
        <v>226</v>
      </c>
      <c r="B98" s="2" t="s">
        <v>131</v>
      </c>
      <c r="C98" s="12">
        <v>39706</v>
      </c>
    </row>
    <row r="99" spans="1:3" x14ac:dyDescent="0.3">
      <c r="A99" s="2" t="s">
        <v>227</v>
      </c>
      <c r="B99" s="2" t="s">
        <v>131</v>
      </c>
      <c r="C99" s="12">
        <v>43659</v>
      </c>
    </row>
    <row r="100" spans="1:3" x14ac:dyDescent="0.3">
      <c r="A100" s="2" t="s">
        <v>228</v>
      </c>
      <c r="B100" s="2" t="s">
        <v>131</v>
      </c>
      <c r="C100" s="12">
        <v>48889</v>
      </c>
    </row>
    <row r="101" spans="1:3" x14ac:dyDescent="0.3">
      <c r="A101" s="10" t="s">
        <v>229</v>
      </c>
      <c r="B101" s="2" t="s">
        <v>131</v>
      </c>
      <c r="C101" s="12">
        <v>688165</v>
      </c>
    </row>
    <row r="102" spans="1:3" x14ac:dyDescent="0.3">
      <c r="A102" s="10" t="s">
        <v>230</v>
      </c>
      <c r="B102" s="2" t="s">
        <v>131</v>
      </c>
      <c r="C102" s="12">
        <v>642317</v>
      </c>
    </row>
    <row r="103" spans="1:3" x14ac:dyDescent="0.3">
      <c r="A103" s="2" t="s">
        <v>231</v>
      </c>
      <c r="B103" s="2"/>
      <c r="C103" s="9">
        <v>110066</v>
      </c>
    </row>
    <row r="104" spans="1:3" x14ac:dyDescent="0.3">
      <c r="A104" s="2" t="s">
        <v>232</v>
      </c>
      <c r="B104" s="2" t="s">
        <v>233</v>
      </c>
      <c r="C104" s="9">
        <v>91294</v>
      </c>
    </row>
    <row r="105" spans="1:3" x14ac:dyDescent="0.3">
      <c r="A105" s="2" t="s">
        <v>234</v>
      </c>
      <c r="B105" s="2" t="s">
        <v>131</v>
      </c>
      <c r="C105" s="12">
        <v>453661</v>
      </c>
    </row>
    <row r="106" spans="1:3" x14ac:dyDescent="0.3">
      <c r="A106" s="2" t="s">
        <v>235</v>
      </c>
      <c r="B106" s="2" t="s">
        <v>131</v>
      </c>
      <c r="C106" s="12">
        <v>453661</v>
      </c>
    </row>
    <row r="107" spans="1:3" x14ac:dyDescent="0.3">
      <c r="A107" s="2" t="s">
        <v>236</v>
      </c>
      <c r="B107" s="2" t="s">
        <v>237</v>
      </c>
      <c r="C107" s="9">
        <v>20347</v>
      </c>
    </row>
    <row r="108" spans="1:3" x14ac:dyDescent="0.3">
      <c r="A108" s="2" t="s">
        <v>238</v>
      </c>
      <c r="B108" s="2" t="s">
        <v>239</v>
      </c>
      <c r="C108" s="9">
        <v>35000</v>
      </c>
    </row>
    <row r="109" spans="1:3" ht="28.8" x14ac:dyDescent="0.3">
      <c r="A109" s="10" t="s">
        <v>240</v>
      </c>
      <c r="B109" s="2" t="s">
        <v>131</v>
      </c>
      <c r="C109" s="12">
        <v>100757</v>
      </c>
    </row>
    <row r="110" spans="1:3" ht="28.8" x14ac:dyDescent="0.3">
      <c r="A110" s="10" t="s">
        <v>241</v>
      </c>
      <c r="B110" s="2" t="s">
        <v>131</v>
      </c>
      <c r="C110" s="12">
        <v>102551</v>
      </c>
    </row>
    <row r="111" spans="1:3" ht="28.8" x14ac:dyDescent="0.3">
      <c r="A111" s="10" t="s">
        <v>242</v>
      </c>
      <c r="B111" s="2" t="s">
        <v>131</v>
      </c>
      <c r="C111" s="12">
        <v>97017</v>
      </c>
    </row>
    <row r="112" spans="1:3" ht="28.8" x14ac:dyDescent="0.3">
      <c r="A112" s="10" t="s">
        <v>243</v>
      </c>
      <c r="B112" s="2" t="s">
        <v>131</v>
      </c>
      <c r="C112" s="12">
        <v>115820</v>
      </c>
    </row>
    <row r="113" spans="1:3" x14ac:dyDescent="0.3">
      <c r="A113" s="2" t="s">
        <v>244</v>
      </c>
      <c r="B113" s="2" t="s">
        <v>131</v>
      </c>
      <c r="C113" s="12">
        <v>33760</v>
      </c>
    </row>
    <row r="114" spans="1:3" x14ac:dyDescent="0.3">
      <c r="A114" s="2" t="s">
        <v>245</v>
      </c>
      <c r="B114" s="2" t="s">
        <v>131</v>
      </c>
      <c r="C114" s="12">
        <v>69973</v>
      </c>
    </row>
    <row r="115" spans="1:3" x14ac:dyDescent="0.3">
      <c r="A115" s="2" t="s">
        <v>246</v>
      </c>
      <c r="B115" s="2" t="s">
        <v>131</v>
      </c>
      <c r="C115" s="12">
        <v>69943</v>
      </c>
    </row>
    <row r="116" spans="1:3" x14ac:dyDescent="0.3">
      <c r="A116" s="2" t="s">
        <v>247</v>
      </c>
      <c r="B116" s="2" t="s">
        <v>131</v>
      </c>
      <c r="C116" s="12">
        <v>355</v>
      </c>
    </row>
    <row r="117" spans="1:3" x14ac:dyDescent="0.3">
      <c r="A117" s="2" t="s">
        <v>248</v>
      </c>
      <c r="B117" s="2" t="s">
        <v>131</v>
      </c>
      <c r="C117" s="12">
        <v>2724</v>
      </c>
    </row>
    <row r="118" spans="1:3" x14ac:dyDescent="0.3">
      <c r="A118" s="2" t="s">
        <v>249</v>
      </c>
      <c r="B118" s="2" t="s">
        <v>131</v>
      </c>
      <c r="C118" s="12">
        <v>53194</v>
      </c>
    </row>
    <row r="119" spans="1:3" x14ac:dyDescent="0.3">
      <c r="A119" s="2" t="s">
        <v>250</v>
      </c>
      <c r="B119" s="2" t="s">
        <v>131</v>
      </c>
      <c r="C119" s="12">
        <v>62648</v>
      </c>
    </row>
    <row r="120" spans="1:3" x14ac:dyDescent="0.3">
      <c r="A120" s="2" t="s">
        <v>251</v>
      </c>
      <c r="B120" s="2" t="s">
        <v>131</v>
      </c>
      <c r="C120" s="12">
        <v>72538</v>
      </c>
    </row>
    <row r="121" spans="1:3" x14ac:dyDescent="0.3">
      <c r="A121" s="2" t="s">
        <v>252</v>
      </c>
      <c r="B121" s="2" t="s">
        <v>131</v>
      </c>
      <c r="C121" s="12">
        <v>280</v>
      </c>
    </row>
    <row r="122" spans="1:3" x14ac:dyDescent="0.3">
      <c r="A122" s="2" t="s">
        <v>253</v>
      </c>
      <c r="B122" s="2" t="s">
        <v>147</v>
      </c>
      <c r="C122" s="9">
        <v>24900</v>
      </c>
    </row>
    <row r="123" spans="1:3" x14ac:dyDescent="0.3">
      <c r="A123" s="2" t="s">
        <v>254</v>
      </c>
      <c r="B123" s="2" t="s">
        <v>131</v>
      </c>
      <c r="C123" s="12">
        <v>72317</v>
      </c>
    </row>
    <row r="124" spans="1:3" x14ac:dyDescent="0.3">
      <c r="A124" s="2" t="s">
        <v>255</v>
      </c>
      <c r="B124" s="2" t="s">
        <v>131</v>
      </c>
      <c r="C124" s="12">
        <v>79052</v>
      </c>
    </row>
    <row r="125" spans="1:3" x14ac:dyDescent="0.3">
      <c r="A125" s="2" t="s">
        <v>256</v>
      </c>
      <c r="B125" s="2" t="s">
        <v>131</v>
      </c>
      <c r="C125" s="12">
        <v>83829</v>
      </c>
    </row>
    <row r="126" spans="1:3" x14ac:dyDescent="0.3">
      <c r="A126" s="2" t="s">
        <v>257</v>
      </c>
      <c r="B126" s="2" t="s">
        <v>131</v>
      </c>
      <c r="C126" s="12">
        <v>86327</v>
      </c>
    </row>
    <row r="127" spans="1:3" x14ac:dyDescent="0.3">
      <c r="A127" s="2" t="s">
        <v>258</v>
      </c>
      <c r="B127" s="2" t="s">
        <v>131</v>
      </c>
      <c r="C127" s="12">
        <v>87399</v>
      </c>
    </row>
    <row r="128" spans="1:3" x14ac:dyDescent="0.3">
      <c r="A128" s="2" t="s">
        <v>259</v>
      </c>
      <c r="B128" s="2" t="s">
        <v>131</v>
      </c>
      <c r="C128" s="12">
        <v>33311</v>
      </c>
    </row>
    <row r="129" spans="1:3" x14ac:dyDescent="0.3">
      <c r="A129" s="2" t="s">
        <v>260</v>
      </c>
      <c r="B129" s="2" t="s">
        <v>131</v>
      </c>
      <c r="C129" s="12">
        <v>65264</v>
      </c>
    </row>
    <row r="130" spans="1:3" x14ac:dyDescent="0.3">
      <c r="A130" s="2" t="s">
        <v>261</v>
      </c>
      <c r="B130" s="2" t="s">
        <v>131</v>
      </c>
      <c r="C130" s="12">
        <v>69638</v>
      </c>
    </row>
    <row r="131" spans="1:3" x14ac:dyDescent="0.3">
      <c r="A131" s="2" t="s">
        <v>262</v>
      </c>
      <c r="B131" s="2" t="s">
        <v>131</v>
      </c>
      <c r="C131" s="12">
        <v>75961</v>
      </c>
    </row>
    <row r="132" spans="1:3" x14ac:dyDescent="0.3">
      <c r="A132" s="2" t="s">
        <v>263</v>
      </c>
      <c r="B132" s="2" t="s">
        <v>131</v>
      </c>
      <c r="C132" s="12">
        <v>75961</v>
      </c>
    </row>
    <row r="133" spans="1:3" x14ac:dyDescent="0.3">
      <c r="A133" s="2" t="s">
        <v>264</v>
      </c>
      <c r="B133" s="2" t="s">
        <v>131</v>
      </c>
      <c r="C133" s="12">
        <v>35981</v>
      </c>
    </row>
    <row r="134" spans="1:3" x14ac:dyDescent="0.3">
      <c r="A134" s="2" t="s">
        <v>265</v>
      </c>
      <c r="B134" s="2" t="s">
        <v>131</v>
      </c>
      <c r="C134" s="12">
        <v>31292</v>
      </c>
    </row>
    <row r="135" spans="1:3" x14ac:dyDescent="0.3">
      <c r="A135" s="2" t="s">
        <v>266</v>
      </c>
      <c r="B135" s="2" t="s">
        <v>131</v>
      </c>
      <c r="C135" s="12">
        <v>22819</v>
      </c>
    </row>
    <row r="136" spans="1:3" x14ac:dyDescent="0.3">
      <c r="A136" s="2" t="s">
        <v>267</v>
      </c>
      <c r="B136" s="2" t="s">
        <v>131</v>
      </c>
      <c r="C136" s="12">
        <v>37123</v>
      </c>
    </row>
    <row r="137" spans="1:3" x14ac:dyDescent="0.3">
      <c r="A137" s="2" t="s">
        <v>268</v>
      </c>
      <c r="B137" s="2" t="s">
        <v>131</v>
      </c>
      <c r="C137" s="12">
        <v>34048</v>
      </c>
    </row>
    <row r="138" spans="1:3" x14ac:dyDescent="0.3">
      <c r="A138" s="2" t="s">
        <v>269</v>
      </c>
      <c r="B138" s="2" t="s">
        <v>131</v>
      </c>
      <c r="C138" s="12">
        <v>14969</v>
      </c>
    </row>
    <row r="139" spans="1:3" x14ac:dyDescent="0.3">
      <c r="A139" s="2" t="s">
        <v>270</v>
      </c>
      <c r="B139" s="2" t="s">
        <v>131</v>
      </c>
      <c r="C139" s="12">
        <v>16123</v>
      </c>
    </row>
    <row r="140" spans="1:3" x14ac:dyDescent="0.3">
      <c r="A140" s="2" t="s">
        <v>271</v>
      </c>
      <c r="B140" s="2" t="s">
        <v>131</v>
      </c>
      <c r="C140" s="12">
        <v>29365</v>
      </c>
    </row>
    <row r="141" spans="1:3" x14ac:dyDescent="0.3">
      <c r="A141" s="2" t="s">
        <v>272</v>
      </c>
      <c r="B141" s="2" t="s">
        <v>131</v>
      </c>
      <c r="C141" s="12">
        <v>32880</v>
      </c>
    </row>
    <row r="142" spans="1:3" x14ac:dyDescent="0.3">
      <c r="A142" s="2" t="s">
        <v>273</v>
      </c>
      <c r="B142" s="2" t="s">
        <v>131</v>
      </c>
      <c r="C142" s="12">
        <v>15983</v>
      </c>
    </row>
    <row r="143" spans="1:3" x14ac:dyDescent="0.3">
      <c r="A143" s="2" t="s">
        <v>274</v>
      </c>
      <c r="B143" s="2" t="s">
        <v>131</v>
      </c>
      <c r="C143" s="12">
        <v>22386</v>
      </c>
    </row>
    <row r="144" spans="1:3" x14ac:dyDescent="0.3">
      <c r="A144" s="2" t="s">
        <v>275</v>
      </c>
      <c r="B144" s="2" t="s">
        <v>131</v>
      </c>
      <c r="C144" s="12">
        <v>24119</v>
      </c>
    </row>
    <row r="145" spans="1:3" x14ac:dyDescent="0.3">
      <c r="A145" s="2" t="s">
        <v>276</v>
      </c>
      <c r="B145" s="2" t="s">
        <v>131</v>
      </c>
      <c r="C145" s="12">
        <v>23059</v>
      </c>
    </row>
    <row r="146" spans="1:3" x14ac:dyDescent="0.3">
      <c r="A146" s="2" t="s">
        <v>277</v>
      </c>
      <c r="B146" s="2" t="s">
        <v>138</v>
      </c>
      <c r="C146" s="9">
        <v>49403</v>
      </c>
    </row>
    <row r="147" spans="1:3" x14ac:dyDescent="0.3">
      <c r="A147" s="2" t="s">
        <v>278</v>
      </c>
      <c r="B147" s="2" t="s">
        <v>131</v>
      </c>
      <c r="C147" s="12">
        <v>15289</v>
      </c>
    </row>
    <row r="148" spans="1:3" x14ac:dyDescent="0.3">
      <c r="A148" s="2" t="s">
        <v>279</v>
      </c>
      <c r="B148" s="2" t="s">
        <v>131</v>
      </c>
      <c r="C148" s="12">
        <v>39452</v>
      </c>
    </row>
    <row r="149" spans="1:3" x14ac:dyDescent="0.3">
      <c r="A149" s="2" t="s">
        <v>280</v>
      </c>
      <c r="B149" s="2" t="s">
        <v>131</v>
      </c>
      <c r="C149" s="12">
        <v>65664</v>
      </c>
    </row>
    <row r="150" spans="1:3" x14ac:dyDescent="0.3">
      <c r="A150" s="2" t="s">
        <v>281</v>
      </c>
      <c r="B150" s="2" t="s">
        <v>131</v>
      </c>
      <c r="C150" s="12">
        <v>48045</v>
      </c>
    </row>
    <row r="151" spans="1:3" x14ac:dyDescent="0.3">
      <c r="A151" s="2" t="s">
        <v>282</v>
      </c>
      <c r="B151" s="2" t="s">
        <v>131</v>
      </c>
      <c r="C151" s="12">
        <v>34048</v>
      </c>
    </row>
    <row r="152" spans="1:3" x14ac:dyDescent="0.3">
      <c r="A152" s="2" t="s">
        <v>283</v>
      </c>
      <c r="B152" s="2" t="s">
        <v>131</v>
      </c>
      <c r="C152" s="12">
        <v>48063</v>
      </c>
    </row>
    <row r="153" spans="1:3" x14ac:dyDescent="0.3">
      <c r="A153" s="2" t="s">
        <v>284</v>
      </c>
      <c r="B153" s="2" t="s">
        <v>131</v>
      </c>
      <c r="C153" s="12">
        <v>43186</v>
      </c>
    </row>
    <row r="154" spans="1:3" x14ac:dyDescent="0.3">
      <c r="A154" s="2" t="s">
        <v>285</v>
      </c>
      <c r="B154" s="2" t="s">
        <v>131</v>
      </c>
      <c r="C154" s="12">
        <v>28996</v>
      </c>
    </row>
    <row r="155" spans="1:3" x14ac:dyDescent="0.3">
      <c r="A155" s="2" t="s">
        <v>286</v>
      </c>
      <c r="B155" s="2" t="s">
        <v>131</v>
      </c>
      <c r="C155" s="12">
        <v>36346</v>
      </c>
    </row>
    <row r="156" spans="1:3" x14ac:dyDescent="0.3">
      <c r="A156" s="2" t="s">
        <v>287</v>
      </c>
      <c r="B156" s="2" t="s">
        <v>131</v>
      </c>
      <c r="C156" s="12">
        <v>24021</v>
      </c>
    </row>
    <row r="157" spans="1:3" x14ac:dyDescent="0.3">
      <c r="A157" s="2" t="s">
        <v>288</v>
      </c>
      <c r="B157" s="2" t="s">
        <v>131</v>
      </c>
      <c r="C157" s="12">
        <v>19539</v>
      </c>
    </row>
    <row r="158" spans="1:3" x14ac:dyDescent="0.3">
      <c r="A158" s="2" t="s">
        <v>289</v>
      </c>
      <c r="B158" s="2" t="s">
        <v>131</v>
      </c>
      <c r="C158" s="12">
        <v>19738</v>
      </c>
    </row>
    <row r="159" spans="1:3" x14ac:dyDescent="0.3">
      <c r="A159" s="2" t="s">
        <v>290</v>
      </c>
      <c r="B159" s="2" t="s">
        <v>131</v>
      </c>
      <c r="C159" s="12">
        <v>19738</v>
      </c>
    </row>
    <row r="160" spans="1:3" x14ac:dyDescent="0.3">
      <c r="A160" s="2" t="s">
        <v>291</v>
      </c>
      <c r="B160" s="2" t="s">
        <v>131</v>
      </c>
      <c r="C160" s="12">
        <v>69756</v>
      </c>
    </row>
    <row r="161" spans="1:3" x14ac:dyDescent="0.3">
      <c r="A161" s="2" t="s">
        <v>292</v>
      </c>
      <c r="B161" s="2" t="s">
        <v>131</v>
      </c>
      <c r="C161" s="12">
        <v>87797</v>
      </c>
    </row>
    <row r="162" spans="1:3" x14ac:dyDescent="0.3">
      <c r="A162" s="2" t="s">
        <v>293</v>
      </c>
      <c r="B162" s="2" t="s">
        <v>131</v>
      </c>
      <c r="C162" s="12">
        <v>32868</v>
      </c>
    </row>
    <row r="163" spans="1:3" x14ac:dyDescent="0.3">
      <c r="A163" s="2" t="s">
        <v>294</v>
      </c>
      <c r="B163" s="2" t="s">
        <v>131</v>
      </c>
      <c r="C163" s="12">
        <v>21137</v>
      </c>
    </row>
    <row r="164" spans="1:3" x14ac:dyDescent="0.3">
      <c r="A164" s="2" t="s">
        <v>295</v>
      </c>
      <c r="B164" s="2" t="s">
        <v>131</v>
      </c>
      <c r="C164" s="12">
        <v>26333</v>
      </c>
    </row>
    <row r="165" spans="1:3" x14ac:dyDescent="0.3">
      <c r="A165" s="2" t="s">
        <v>296</v>
      </c>
      <c r="B165" s="2" t="s">
        <v>131</v>
      </c>
      <c r="C165" s="12">
        <v>47082</v>
      </c>
    </row>
    <row r="166" spans="1:3" x14ac:dyDescent="0.3">
      <c r="A166" s="2" t="s">
        <v>297</v>
      </c>
      <c r="B166" s="2" t="s">
        <v>131</v>
      </c>
      <c r="C166" s="12">
        <v>47082</v>
      </c>
    </row>
    <row r="167" spans="1:3" x14ac:dyDescent="0.3">
      <c r="A167" s="2" t="s">
        <v>298</v>
      </c>
      <c r="B167" s="2" t="s">
        <v>131</v>
      </c>
      <c r="C167" s="12">
        <v>48829</v>
      </c>
    </row>
    <row r="168" spans="1:3" x14ac:dyDescent="0.3">
      <c r="A168" s="2" t="s">
        <v>299</v>
      </c>
      <c r="B168" s="2" t="s">
        <v>131</v>
      </c>
      <c r="C168" s="12">
        <v>45975</v>
      </c>
    </row>
    <row r="169" spans="1:3" x14ac:dyDescent="0.3">
      <c r="A169" s="2" t="s">
        <v>300</v>
      </c>
      <c r="B169" s="2" t="s">
        <v>131</v>
      </c>
      <c r="C169" s="12">
        <v>45975</v>
      </c>
    </row>
    <row r="170" spans="1:3" x14ac:dyDescent="0.3">
      <c r="A170" s="2" t="s">
        <v>301</v>
      </c>
      <c r="B170" s="2" t="s">
        <v>131</v>
      </c>
      <c r="C170" s="12">
        <v>3274</v>
      </c>
    </row>
    <row r="171" spans="1:3" x14ac:dyDescent="0.3">
      <c r="A171" s="2" t="s">
        <v>302</v>
      </c>
      <c r="B171" s="2" t="s">
        <v>131</v>
      </c>
      <c r="C171" s="12">
        <v>3274</v>
      </c>
    </row>
    <row r="172" spans="1:3" x14ac:dyDescent="0.3">
      <c r="A172" s="2" t="s">
        <v>303</v>
      </c>
      <c r="B172" s="2" t="s">
        <v>131</v>
      </c>
      <c r="C172" s="12">
        <v>1575</v>
      </c>
    </row>
    <row r="173" spans="1:3" x14ac:dyDescent="0.3">
      <c r="A173" s="2" t="s">
        <v>304</v>
      </c>
      <c r="B173" s="2" t="s">
        <v>131</v>
      </c>
      <c r="C173" s="12">
        <v>1334</v>
      </c>
    </row>
    <row r="174" spans="1:3" x14ac:dyDescent="0.3">
      <c r="A174" s="2" t="s">
        <v>305</v>
      </c>
      <c r="B174" s="2" t="s">
        <v>131</v>
      </c>
      <c r="C174" s="12">
        <v>1977</v>
      </c>
    </row>
    <row r="175" spans="1:3" x14ac:dyDescent="0.3">
      <c r="A175" s="2" t="s">
        <v>306</v>
      </c>
      <c r="B175" s="2" t="s">
        <v>131</v>
      </c>
      <c r="C175" s="12">
        <v>1977</v>
      </c>
    </row>
    <row r="176" spans="1:3" x14ac:dyDescent="0.3">
      <c r="A176" s="2" t="s">
        <v>307</v>
      </c>
      <c r="B176" s="2" t="s">
        <v>131</v>
      </c>
      <c r="C176" s="12">
        <v>1974</v>
      </c>
    </row>
    <row r="177" spans="1:3" x14ac:dyDescent="0.3">
      <c r="A177" s="2" t="s">
        <v>308</v>
      </c>
      <c r="B177" s="2" t="s">
        <v>131</v>
      </c>
      <c r="C177" s="12">
        <v>2021</v>
      </c>
    </row>
    <row r="178" spans="1:3" x14ac:dyDescent="0.3">
      <c r="A178" s="2" t="s">
        <v>309</v>
      </c>
      <c r="B178" s="2" t="s">
        <v>131</v>
      </c>
      <c r="C178" s="12">
        <v>3954</v>
      </c>
    </row>
    <row r="179" spans="1:3" x14ac:dyDescent="0.3">
      <c r="A179" s="2" t="s">
        <v>310</v>
      </c>
      <c r="B179" s="2" t="s">
        <v>131</v>
      </c>
      <c r="C179" s="12">
        <v>3373</v>
      </c>
    </row>
    <row r="180" spans="1:3" x14ac:dyDescent="0.3">
      <c r="A180" s="2" t="s">
        <v>311</v>
      </c>
      <c r="B180" s="2" t="s">
        <v>131</v>
      </c>
      <c r="C180" s="12">
        <v>4140</v>
      </c>
    </row>
    <row r="181" spans="1:3" x14ac:dyDescent="0.3">
      <c r="A181" s="2" t="s">
        <v>312</v>
      </c>
      <c r="B181" s="2" t="s">
        <v>131</v>
      </c>
      <c r="C181" s="12">
        <v>1977</v>
      </c>
    </row>
    <row r="182" spans="1:3" x14ac:dyDescent="0.3">
      <c r="A182" s="2" t="s">
        <v>313</v>
      </c>
      <c r="B182" s="2" t="s">
        <v>131</v>
      </c>
      <c r="C182" s="12">
        <v>1977</v>
      </c>
    </row>
    <row r="183" spans="1:3" x14ac:dyDescent="0.3">
      <c r="A183" s="2" t="s">
        <v>314</v>
      </c>
      <c r="B183" s="2" t="s">
        <v>131</v>
      </c>
      <c r="C183" s="12">
        <v>963</v>
      </c>
    </row>
    <row r="184" spans="1:3" x14ac:dyDescent="0.3">
      <c r="A184" s="2" t="s">
        <v>315</v>
      </c>
      <c r="B184" s="2" t="s">
        <v>131</v>
      </c>
      <c r="C184" s="12">
        <v>4200</v>
      </c>
    </row>
    <row r="185" spans="1:3" x14ac:dyDescent="0.3">
      <c r="A185" s="2" t="s">
        <v>316</v>
      </c>
      <c r="B185" s="2" t="s">
        <v>131</v>
      </c>
      <c r="C185" s="12">
        <v>2631</v>
      </c>
    </row>
    <row r="186" spans="1:3" x14ac:dyDescent="0.3">
      <c r="A186" s="2" t="s">
        <v>317</v>
      </c>
      <c r="B186" s="2" t="s">
        <v>131</v>
      </c>
      <c r="C186" s="12">
        <v>2857</v>
      </c>
    </row>
    <row r="187" spans="1:3" x14ac:dyDescent="0.3">
      <c r="A187" s="2" t="s">
        <v>318</v>
      </c>
      <c r="B187" s="2" t="s">
        <v>131</v>
      </c>
      <c r="C187" s="12">
        <v>1977</v>
      </c>
    </row>
    <row r="188" spans="1:3" x14ac:dyDescent="0.3">
      <c r="A188" s="2" t="s">
        <v>319</v>
      </c>
      <c r="B188" s="2" t="s">
        <v>131</v>
      </c>
      <c r="C188" s="12">
        <v>1977</v>
      </c>
    </row>
    <row r="189" spans="1:3" x14ac:dyDescent="0.3">
      <c r="A189" s="2" t="s">
        <v>320</v>
      </c>
      <c r="B189" s="2" t="s">
        <v>131</v>
      </c>
      <c r="C189" s="12">
        <v>1829</v>
      </c>
    </row>
    <row r="190" spans="1:3" x14ac:dyDescent="0.3">
      <c r="A190" s="2" t="s">
        <v>321</v>
      </c>
      <c r="B190" s="2" t="s">
        <v>131</v>
      </c>
      <c r="C190" s="12">
        <v>21000</v>
      </c>
    </row>
    <row r="191" spans="1:3" x14ac:dyDescent="0.3">
      <c r="A191" s="2" t="s">
        <v>322</v>
      </c>
      <c r="B191" s="2" t="s">
        <v>131</v>
      </c>
      <c r="C191" s="12">
        <v>21000</v>
      </c>
    </row>
    <row r="192" spans="1:3" x14ac:dyDescent="0.3">
      <c r="A192" s="2" t="s">
        <v>323</v>
      </c>
      <c r="B192" s="2" t="s">
        <v>131</v>
      </c>
      <c r="C192" s="12">
        <v>7000</v>
      </c>
    </row>
    <row r="193" spans="1:3" x14ac:dyDescent="0.3">
      <c r="A193" s="2" t="s">
        <v>324</v>
      </c>
      <c r="B193" s="2" t="s">
        <v>131</v>
      </c>
      <c r="C193" s="12">
        <v>11159</v>
      </c>
    </row>
    <row r="194" spans="1:3" x14ac:dyDescent="0.3">
      <c r="A194" s="2" t="s">
        <v>325</v>
      </c>
      <c r="B194" s="2" t="s">
        <v>131</v>
      </c>
      <c r="C194" s="12">
        <v>19493</v>
      </c>
    </row>
    <row r="195" spans="1:3" x14ac:dyDescent="0.3">
      <c r="A195" s="2" t="s">
        <v>326</v>
      </c>
      <c r="B195" s="2" t="s">
        <v>131</v>
      </c>
      <c r="C195" s="12">
        <v>15615</v>
      </c>
    </row>
    <row r="196" spans="1:3" x14ac:dyDescent="0.3">
      <c r="A196" s="2" t="s">
        <v>327</v>
      </c>
      <c r="B196" s="2" t="s">
        <v>131</v>
      </c>
      <c r="C196" s="12">
        <v>19427</v>
      </c>
    </row>
    <row r="197" spans="1:3" x14ac:dyDescent="0.3">
      <c r="A197" s="2" t="s">
        <v>328</v>
      </c>
      <c r="B197" s="2" t="s">
        <v>131</v>
      </c>
      <c r="C197" s="12">
        <v>72192</v>
      </c>
    </row>
    <row r="198" spans="1:3" x14ac:dyDescent="0.3">
      <c r="A198" s="2" t="s">
        <v>329</v>
      </c>
      <c r="B198" s="2" t="s">
        <v>131</v>
      </c>
      <c r="C198" s="12">
        <v>72192</v>
      </c>
    </row>
    <row r="199" spans="1:3" x14ac:dyDescent="0.3">
      <c r="A199" s="2" t="s">
        <v>330</v>
      </c>
      <c r="B199" s="2" t="s">
        <v>131</v>
      </c>
      <c r="C199" s="12">
        <v>75912</v>
      </c>
    </row>
    <row r="200" spans="1:3" x14ac:dyDescent="0.3">
      <c r="A200" s="2" t="s">
        <v>331</v>
      </c>
      <c r="B200" s="2" t="s">
        <v>131</v>
      </c>
      <c r="C200" s="12">
        <v>75912</v>
      </c>
    </row>
    <row r="201" spans="1:3" x14ac:dyDescent="0.3">
      <c r="A201" s="2" t="s">
        <v>332</v>
      </c>
      <c r="B201" s="2" t="s">
        <v>131</v>
      </c>
      <c r="C201" s="12">
        <v>77011</v>
      </c>
    </row>
    <row r="202" spans="1:3" x14ac:dyDescent="0.3">
      <c r="A202" s="2" t="s">
        <v>333</v>
      </c>
      <c r="B202" s="2" t="s">
        <v>131</v>
      </c>
      <c r="C202" s="12">
        <v>3466</v>
      </c>
    </row>
    <row r="203" spans="1:3" x14ac:dyDescent="0.3">
      <c r="A203" s="2" t="s">
        <v>334</v>
      </c>
      <c r="B203" s="2" t="s">
        <v>131</v>
      </c>
      <c r="C203" s="12">
        <v>3033</v>
      </c>
    </row>
    <row r="204" spans="1:3" x14ac:dyDescent="0.3">
      <c r="A204" s="2" t="s">
        <v>335</v>
      </c>
      <c r="B204" s="2" t="s">
        <v>131</v>
      </c>
      <c r="C204" s="12">
        <v>4718</v>
      </c>
    </row>
    <row r="205" spans="1:3" x14ac:dyDescent="0.3">
      <c r="A205" s="10" t="s">
        <v>336</v>
      </c>
      <c r="B205" s="2" t="s">
        <v>131</v>
      </c>
      <c r="C205" s="12">
        <v>343</v>
      </c>
    </row>
    <row r="206" spans="1:3" x14ac:dyDescent="0.3">
      <c r="A206" s="2" t="s">
        <v>337</v>
      </c>
      <c r="B206" s="2" t="s">
        <v>131</v>
      </c>
      <c r="C206" s="12">
        <v>500</v>
      </c>
    </row>
    <row r="207" spans="1:3" x14ac:dyDescent="0.3">
      <c r="A207" s="2" t="s">
        <v>338</v>
      </c>
      <c r="B207" s="2" t="s">
        <v>131</v>
      </c>
      <c r="C207" s="12">
        <v>35</v>
      </c>
    </row>
    <row r="208" spans="1:3" x14ac:dyDescent="0.3">
      <c r="A208" s="2" t="s">
        <v>339</v>
      </c>
      <c r="B208" s="2" t="s">
        <v>131</v>
      </c>
      <c r="C208" s="12">
        <v>43</v>
      </c>
    </row>
    <row r="209" spans="1:3" x14ac:dyDescent="0.3">
      <c r="A209" s="2" t="s">
        <v>340</v>
      </c>
      <c r="B209" s="2" t="s">
        <v>131</v>
      </c>
      <c r="C209" s="12">
        <v>35</v>
      </c>
    </row>
    <row r="210" spans="1:3" x14ac:dyDescent="0.3">
      <c r="A210" s="2" t="s">
        <v>341</v>
      </c>
      <c r="B210" s="2" t="s">
        <v>131</v>
      </c>
      <c r="C210" s="12">
        <v>36800</v>
      </c>
    </row>
    <row r="211" spans="1:3" x14ac:dyDescent="0.3">
      <c r="A211" s="2" t="s">
        <v>342</v>
      </c>
      <c r="B211" s="2" t="s">
        <v>131</v>
      </c>
      <c r="C211" s="12">
        <v>8691</v>
      </c>
    </row>
    <row r="212" spans="1:3" x14ac:dyDescent="0.3">
      <c r="A212" s="2" t="s">
        <v>343</v>
      </c>
      <c r="B212" s="2" t="s">
        <v>131</v>
      </c>
      <c r="C212" s="12">
        <v>1877</v>
      </c>
    </row>
    <row r="213" spans="1:3" x14ac:dyDescent="0.3">
      <c r="A213" s="2" t="s">
        <v>344</v>
      </c>
      <c r="B213" s="2" t="s">
        <v>131</v>
      </c>
      <c r="C213" s="12">
        <v>1877</v>
      </c>
    </row>
    <row r="214" spans="1:3" x14ac:dyDescent="0.3">
      <c r="A214" s="2" t="s">
        <v>345</v>
      </c>
      <c r="B214" s="2" t="s">
        <v>131</v>
      </c>
      <c r="C214" s="12">
        <v>1877</v>
      </c>
    </row>
    <row r="215" spans="1:3" x14ac:dyDescent="0.3">
      <c r="A215" s="2" t="s">
        <v>346</v>
      </c>
      <c r="B215" s="2" t="s">
        <v>131</v>
      </c>
      <c r="C215" s="12">
        <v>15658</v>
      </c>
    </row>
    <row r="216" spans="1:3" x14ac:dyDescent="0.3">
      <c r="A216" s="2" t="s">
        <v>347</v>
      </c>
      <c r="B216" s="2" t="s">
        <v>131</v>
      </c>
      <c r="C216" s="12">
        <v>3501</v>
      </c>
    </row>
    <row r="217" spans="1:3" x14ac:dyDescent="0.3">
      <c r="A217" s="2" t="s">
        <v>348</v>
      </c>
      <c r="B217" s="2" t="s">
        <v>131</v>
      </c>
      <c r="C217" s="12">
        <v>12558</v>
      </c>
    </row>
    <row r="218" spans="1:3" x14ac:dyDescent="0.3">
      <c r="A218" s="2" t="s">
        <v>349</v>
      </c>
      <c r="B218" s="2" t="s">
        <v>131</v>
      </c>
      <c r="C218" s="12">
        <v>12923</v>
      </c>
    </row>
    <row r="219" spans="1:3" x14ac:dyDescent="0.3">
      <c r="A219" s="2" t="s">
        <v>350</v>
      </c>
      <c r="B219" s="2" t="s">
        <v>131</v>
      </c>
      <c r="C219" s="12">
        <v>42250</v>
      </c>
    </row>
    <row r="220" spans="1:3" x14ac:dyDescent="0.3">
      <c r="A220" s="2" t="s">
        <v>351</v>
      </c>
      <c r="B220" s="2" t="s">
        <v>131</v>
      </c>
      <c r="C220" s="12">
        <v>42250</v>
      </c>
    </row>
  </sheetData>
  <autoFilter ref="A1:C1" xr:uid="{7E7B8645-B76E-41A1-AA99-1FE30ACD75E9}"/>
  <sortState xmlns:xlrd2="http://schemas.microsoft.com/office/spreadsheetml/2017/richdata2" ref="A2:C220">
    <sortCondition ref="A1:A220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3DEA1-BAB3-4F15-A34D-9A8BD79A0EB2}">
  <sheetPr codeName="Hoja7"/>
  <dimension ref="A1:K28"/>
  <sheetViews>
    <sheetView workbookViewId="0">
      <selection activeCell="B19" sqref="B19"/>
    </sheetView>
  </sheetViews>
  <sheetFormatPr baseColWidth="10" defaultColWidth="11.44140625" defaultRowHeight="14.4" x14ac:dyDescent="0.3"/>
  <cols>
    <col min="1" max="1" width="19.88671875" customWidth="1"/>
    <col min="2" max="2" width="12" bestFit="1" customWidth="1"/>
    <col min="3" max="3" width="16.109375" customWidth="1"/>
    <col min="4" max="4" width="16.5546875" customWidth="1"/>
  </cols>
  <sheetData>
    <row r="1" spans="1:11" x14ac:dyDescent="0.3">
      <c r="A1" t="s">
        <v>352</v>
      </c>
      <c r="B1">
        <v>4</v>
      </c>
      <c r="C1" s="19">
        <f t="shared" ref="C1:C10" si="0">$A$3/K1</f>
        <v>223.9541341933172</v>
      </c>
      <c r="D1" s="18">
        <f>$B$14/C1</f>
        <v>1317.2340000000002</v>
      </c>
      <c r="G1">
        <v>4</v>
      </c>
      <c r="H1">
        <v>1.83</v>
      </c>
      <c r="I1">
        <v>2.44</v>
      </c>
      <c r="J1">
        <f>G1/1000</f>
        <v>4.0000000000000001E-3</v>
      </c>
      <c r="K1">
        <f>I1*J1*H1</f>
        <v>1.78608E-2</v>
      </c>
    </row>
    <row r="2" spans="1:11" x14ac:dyDescent="0.3">
      <c r="A2" t="s">
        <v>353</v>
      </c>
      <c r="B2">
        <v>5.5</v>
      </c>
      <c r="C2" s="19">
        <f t="shared" si="0"/>
        <v>162.87573395877615</v>
      </c>
      <c r="D2" s="18">
        <f>$B$14/C2</f>
        <v>1811.1967500000001</v>
      </c>
      <c r="G2">
        <v>5.5</v>
      </c>
      <c r="H2">
        <v>1.83</v>
      </c>
      <c r="I2">
        <v>2.44</v>
      </c>
      <c r="J2">
        <f>G2/1000</f>
        <v>5.4999999999999997E-3</v>
      </c>
      <c r="K2">
        <f>I2*J2*H2</f>
        <v>2.45586E-2</v>
      </c>
    </row>
    <row r="3" spans="1:11" x14ac:dyDescent="0.3">
      <c r="A3">
        <v>4</v>
      </c>
      <c r="B3">
        <v>6</v>
      </c>
      <c r="C3" s="19">
        <f t="shared" si="0"/>
        <v>149.30275612887814</v>
      </c>
      <c r="D3" s="18">
        <f t="shared" ref="D3:D9" si="1">$B$14/C3</f>
        <v>1975.8509999999999</v>
      </c>
      <c r="G3">
        <v>6</v>
      </c>
      <c r="H3">
        <v>1.83</v>
      </c>
      <c r="I3">
        <v>2.44</v>
      </c>
      <c r="J3">
        <f>G3/1000</f>
        <v>6.0000000000000001E-3</v>
      </c>
      <c r="K3">
        <f t="shared" ref="K3:K10" si="2">I3*J3*H3</f>
        <v>2.6791200000000001E-2</v>
      </c>
    </row>
    <row r="4" spans="1:11" x14ac:dyDescent="0.3">
      <c r="B4">
        <v>9</v>
      </c>
      <c r="C4" s="19">
        <f t="shared" si="0"/>
        <v>99.535170752585444</v>
      </c>
      <c r="D4" s="18">
        <f t="shared" si="1"/>
        <v>2963.7764999999995</v>
      </c>
      <c r="G4">
        <v>9</v>
      </c>
      <c r="H4">
        <v>1.83</v>
      </c>
      <c r="I4">
        <v>2.44</v>
      </c>
      <c r="J4">
        <f t="shared" ref="J4:J10" si="3">G4/1000</f>
        <v>8.9999999999999993E-3</v>
      </c>
      <c r="K4">
        <f t="shared" si="2"/>
        <v>4.0186799999999995E-2</v>
      </c>
    </row>
    <row r="5" spans="1:11" x14ac:dyDescent="0.3">
      <c r="B5">
        <v>12</v>
      </c>
      <c r="C5" s="19">
        <f t="shared" si="0"/>
        <v>74.651378064439072</v>
      </c>
      <c r="D5" s="18">
        <f t="shared" si="1"/>
        <v>3951.7019999999998</v>
      </c>
      <c r="G5">
        <v>12</v>
      </c>
      <c r="H5">
        <v>1.83</v>
      </c>
      <c r="I5">
        <v>2.44</v>
      </c>
      <c r="J5">
        <f t="shared" si="3"/>
        <v>1.2E-2</v>
      </c>
      <c r="K5">
        <f t="shared" si="2"/>
        <v>5.3582400000000002E-2</v>
      </c>
    </row>
    <row r="6" spans="1:11" x14ac:dyDescent="0.3">
      <c r="B6">
        <v>15</v>
      </c>
      <c r="C6" s="19">
        <f t="shared" si="0"/>
        <v>59.721102451551246</v>
      </c>
      <c r="D6" s="18">
        <f t="shared" si="1"/>
        <v>4939.6275000000005</v>
      </c>
      <c r="G6">
        <v>15</v>
      </c>
      <c r="H6">
        <v>1.83</v>
      </c>
      <c r="I6">
        <v>2.44</v>
      </c>
      <c r="J6">
        <f t="shared" si="3"/>
        <v>1.4999999999999999E-2</v>
      </c>
      <c r="K6">
        <f t="shared" si="2"/>
        <v>6.697800000000001E-2</v>
      </c>
    </row>
    <row r="7" spans="1:11" x14ac:dyDescent="0.3">
      <c r="B7">
        <v>18</v>
      </c>
      <c r="C7" s="19">
        <f t="shared" si="0"/>
        <v>49.767585376292722</v>
      </c>
      <c r="D7" s="18">
        <f t="shared" si="1"/>
        <v>5927.552999999999</v>
      </c>
      <c r="G7">
        <v>18</v>
      </c>
      <c r="H7">
        <v>1.83</v>
      </c>
      <c r="I7">
        <v>2.44</v>
      </c>
      <c r="J7">
        <f t="shared" si="3"/>
        <v>1.7999999999999999E-2</v>
      </c>
      <c r="K7">
        <f t="shared" si="2"/>
        <v>8.0373599999999989E-2</v>
      </c>
    </row>
    <row r="8" spans="1:11" x14ac:dyDescent="0.3">
      <c r="B8">
        <v>25</v>
      </c>
      <c r="C8" s="19">
        <f t="shared" si="0"/>
        <v>35.832661470930752</v>
      </c>
      <c r="D8" s="18">
        <f t="shared" si="1"/>
        <v>8232.7124999999996</v>
      </c>
      <c r="G8">
        <v>25</v>
      </c>
      <c r="H8">
        <v>1.83</v>
      </c>
      <c r="I8">
        <v>2.44</v>
      </c>
      <c r="J8">
        <f t="shared" si="3"/>
        <v>2.5000000000000001E-2</v>
      </c>
      <c r="K8">
        <f t="shared" si="2"/>
        <v>0.11163000000000001</v>
      </c>
    </row>
    <row r="9" spans="1:11" x14ac:dyDescent="0.3">
      <c r="B9">
        <v>30</v>
      </c>
      <c r="C9" s="19">
        <f t="shared" si="0"/>
        <v>29.860551225775623</v>
      </c>
      <c r="D9" s="18">
        <f t="shared" si="1"/>
        <v>9879.255000000001</v>
      </c>
      <c r="G9">
        <v>30</v>
      </c>
      <c r="H9">
        <v>1.83</v>
      </c>
      <c r="I9">
        <v>2.44</v>
      </c>
      <c r="J9">
        <f t="shared" si="3"/>
        <v>0.03</v>
      </c>
      <c r="K9">
        <f t="shared" si="2"/>
        <v>0.13395600000000002</v>
      </c>
    </row>
    <row r="10" spans="1:11" x14ac:dyDescent="0.3">
      <c r="B10">
        <v>36</v>
      </c>
      <c r="C10" s="19">
        <f t="shared" si="0"/>
        <v>24.883792688146361</v>
      </c>
      <c r="D10" s="18">
        <f>$B$14/C10</f>
        <v>11855.105999999998</v>
      </c>
      <c r="G10">
        <v>36</v>
      </c>
      <c r="H10">
        <v>1.83</v>
      </c>
      <c r="I10">
        <v>2.44</v>
      </c>
      <c r="J10">
        <f t="shared" si="3"/>
        <v>3.5999999999999997E-2</v>
      </c>
      <c r="K10">
        <f t="shared" si="2"/>
        <v>0.16074719999999998</v>
      </c>
    </row>
    <row r="12" spans="1:11" x14ac:dyDescent="0.3">
      <c r="A12" t="s">
        <v>354</v>
      </c>
      <c r="B12" s="20">
        <v>175000</v>
      </c>
    </row>
    <row r="13" spans="1:11" x14ac:dyDescent="0.3">
      <c r="A13" t="s">
        <v>77</v>
      </c>
      <c r="B13" s="20">
        <v>120000</v>
      </c>
    </row>
    <row r="14" spans="1:11" x14ac:dyDescent="0.3">
      <c r="A14" t="s">
        <v>355</v>
      </c>
      <c r="B14" s="21">
        <f>SUM(B12:B13)</f>
        <v>295000</v>
      </c>
    </row>
    <row r="17" spans="1:4" x14ac:dyDescent="0.3">
      <c r="A17" s="120" t="s">
        <v>81</v>
      </c>
      <c r="B17" s="121"/>
      <c r="C17" s="121"/>
      <c r="D17" s="122"/>
    </row>
    <row r="18" spans="1:4" x14ac:dyDescent="0.3">
      <c r="A18" s="3" t="s">
        <v>91</v>
      </c>
      <c r="B18" s="3" t="s">
        <v>2</v>
      </c>
      <c r="C18" s="3" t="s">
        <v>356</v>
      </c>
      <c r="D18" s="2" t="s">
        <v>357</v>
      </c>
    </row>
    <row r="19" spans="1:4" x14ac:dyDescent="0.3">
      <c r="A19" s="2" cm="1">
        <f t="array" ref="A19:A20">_xlfn._xlws.FILTER(_xlfn.UNIQUE(cotizador!C6:C15), _xlfn.UNIQUE(cotizador!C6:C15)&lt;&gt;0)</f>
        <v>36</v>
      </c>
      <c r="B19" s="2">
        <f>IF(SUMIF(cotizador!C6:C15,  A19, cotizador!D6:D15)=0,"",SUMIF(cotizador!C6:C15,  A19, cotizador!D6:D15))</f>
        <v>2</v>
      </c>
      <c r="C19" s="12">
        <f t="shared" ref="C19:C27" si="4">IF(SUMIF($B$1:$B$10,  A19, $D$1:$D$10)=0,"",SUMIF($B$1:$B$10,  A19, $D$1:$D$10))</f>
        <v>11855.105999999998</v>
      </c>
      <c r="D19" s="17">
        <f>IFERROR(B19*C19,"")</f>
        <v>23710.211999999996</v>
      </c>
    </row>
    <row r="20" spans="1:4" x14ac:dyDescent="0.3">
      <c r="A20" s="2">
        <v>15</v>
      </c>
      <c r="B20" s="2">
        <f>IF(SUMIF(cotizador!C7:C16,  A20, cotizador!D7:D16)=0,"",SUMIF(cotizador!C7:C16,  A20, cotizador!D7:D16))</f>
        <v>2</v>
      </c>
      <c r="C20" s="12">
        <f t="shared" si="4"/>
        <v>4939.6275000000005</v>
      </c>
      <c r="D20" s="17">
        <f t="shared" ref="D20:D27" si="5">IFERROR(B20*C20,"")</f>
        <v>9879.255000000001</v>
      </c>
    </row>
    <row r="21" spans="1:4" x14ac:dyDescent="0.3">
      <c r="A21" s="2"/>
      <c r="B21" s="2" t="str">
        <f>IF(SUMIF(cotizador!C8:C17,  A21, cotizador!D8:D17)=0,"",SUMIF(cotizador!C8:C17,  A21, cotizador!D8:D17))</f>
        <v/>
      </c>
      <c r="C21" s="12" t="str">
        <f t="shared" si="4"/>
        <v/>
      </c>
      <c r="D21" s="17" t="str">
        <f t="shared" si="5"/>
        <v/>
      </c>
    </row>
    <row r="22" spans="1:4" x14ac:dyDescent="0.3">
      <c r="A22" s="2"/>
      <c r="B22" s="2" t="str">
        <f>IF(SUMIF(cotizador!C9:C18,  A22, cotizador!D9:D18)=0,"",SUMIF(cotizador!C9:C18,  A22, cotizador!D9:D18))</f>
        <v/>
      </c>
      <c r="C22" s="12" t="str">
        <f t="shared" si="4"/>
        <v/>
      </c>
      <c r="D22" s="17" t="str">
        <f t="shared" si="5"/>
        <v/>
      </c>
    </row>
    <row r="23" spans="1:4" x14ac:dyDescent="0.3">
      <c r="A23" s="2"/>
      <c r="B23" s="2" t="str">
        <f>IF(SUMIF(cotizador!C10:C19,  A23, cotizador!D10:D19)=0,"",SUMIF(cotizador!C10:C19,  A23, cotizador!D10:D19))</f>
        <v/>
      </c>
      <c r="C23" s="12" t="str">
        <f t="shared" si="4"/>
        <v/>
      </c>
      <c r="D23" s="17" t="str">
        <f t="shared" si="5"/>
        <v/>
      </c>
    </row>
    <row r="24" spans="1:4" x14ac:dyDescent="0.3">
      <c r="A24" s="2"/>
      <c r="B24" s="2" t="str">
        <f>IF(SUMIF(cotizador!C11:C20,  A24, cotizador!D11:D20)=0,"",SUMIF(cotizador!C11:C20,  A24, cotizador!D11:D20))</f>
        <v/>
      </c>
      <c r="C24" s="12" t="str">
        <f t="shared" si="4"/>
        <v/>
      </c>
      <c r="D24" s="17" t="str">
        <f t="shared" si="5"/>
        <v/>
      </c>
    </row>
    <row r="25" spans="1:4" x14ac:dyDescent="0.3">
      <c r="A25" s="2"/>
      <c r="B25" s="2" t="str">
        <f>IF(SUMIF(cotizador!C12:C21,  A25, cotizador!D12:D21)=0,"",SUMIF(cotizador!C12:C21,  A25, cotizador!D12:D21))</f>
        <v/>
      </c>
      <c r="C25" s="12" t="str">
        <f t="shared" si="4"/>
        <v/>
      </c>
      <c r="D25" s="17" t="str">
        <f t="shared" si="5"/>
        <v/>
      </c>
    </row>
    <row r="26" spans="1:4" x14ac:dyDescent="0.3">
      <c r="A26" s="2"/>
      <c r="B26" s="2" t="str">
        <f>IF(SUMIF(cotizador!C13:C22,  A26, cotizador!D13:D22)=0,"",SUMIF(cotizador!C13:C22,  A26, cotizador!D13:D22))</f>
        <v/>
      </c>
      <c r="C26" s="12" t="str">
        <f t="shared" si="4"/>
        <v/>
      </c>
      <c r="D26" s="17" t="str">
        <f t="shared" si="5"/>
        <v/>
      </c>
    </row>
    <row r="27" spans="1:4" x14ac:dyDescent="0.3">
      <c r="A27" s="2"/>
      <c r="B27" s="2" t="str">
        <f>IF(SUMIF(cotizador!C14:C23,  A27, cotizador!D14:D23)=0,"",SUMIF(cotizador!C14:C23,  A27, cotizador!D14:D23))</f>
        <v/>
      </c>
      <c r="C27" s="12" t="str">
        <f t="shared" si="4"/>
        <v/>
      </c>
      <c r="D27" s="17" t="str">
        <f t="shared" si="5"/>
        <v/>
      </c>
    </row>
    <row r="28" spans="1:4" x14ac:dyDescent="0.3">
      <c r="A28" s="2"/>
      <c r="B28" s="2" t="str">
        <f>IF(SUMIF(cotizador!D15:D24,  A28, cotizador!E15:E24)=0,"",SUMIF(cotizador!D15:D24,  A28, cotizador!E15:E24))</f>
        <v/>
      </c>
      <c r="C28" s="2" t="s">
        <v>29</v>
      </c>
      <c r="D28" s="17">
        <f>SUM(D19:D27)</f>
        <v>33589.466999999997</v>
      </c>
    </row>
  </sheetData>
  <mergeCells count="1">
    <mergeCell ref="A17:D1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39EA-3985-4024-9B8F-C552DA20BC25}">
  <sheetPr codeName="Hoja8"/>
  <dimension ref="A1:B11"/>
  <sheetViews>
    <sheetView workbookViewId="0">
      <selection activeCell="A12" sqref="A12"/>
    </sheetView>
  </sheetViews>
  <sheetFormatPr baseColWidth="10" defaultColWidth="11.44140625" defaultRowHeight="14.4" x14ac:dyDescent="0.3"/>
  <cols>
    <col min="1" max="1" width="23" customWidth="1"/>
    <col min="2" max="2" width="13" bestFit="1" customWidth="1"/>
  </cols>
  <sheetData>
    <row r="1" spans="1:2" x14ac:dyDescent="0.3">
      <c r="A1" t="s">
        <v>352</v>
      </c>
    </row>
    <row r="2" spans="1:2" x14ac:dyDescent="0.3">
      <c r="A2" t="s">
        <v>358</v>
      </c>
    </row>
    <row r="3" spans="1:2" x14ac:dyDescent="0.3">
      <c r="A3">
        <v>1600</v>
      </c>
    </row>
    <row r="5" spans="1:2" x14ac:dyDescent="0.3">
      <c r="A5" t="s">
        <v>359</v>
      </c>
      <c r="B5" s="22">
        <v>175000</v>
      </c>
    </row>
    <row r="6" spans="1:2" x14ac:dyDescent="0.3">
      <c r="A6" t="s">
        <v>77</v>
      </c>
      <c r="B6" s="20">
        <v>120000</v>
      </c>
    </row>
    <row r="7" spans="1:2" x14ac:dyDescent="0.3">
      <c r="A7" t="s">
        <v>355</v>
      </c>
      <c r="B7" s="21">
        <f>SUM(B5:B6)</f>
        <v>295000</v>
      </c>
    </row>
    <row r="9" spans="1:2" x14ac:dyDescent="0.3">
      <c r="A9" s="124" t="s">
        <v>81</v>
      </c>
      <c r="B9" s="124"/>
    </row>
    <row r="10" spans="1:2" x14ac:dyDescent="0.3">
      <c r="A10" s="3" t="s">
        <v>2</v>
      </c>
      <c r="B10" s="2" t="s">
        <v>357</v>
      </c>
    </row>
    <row r="11" spans="1:2" x14ac:dyDescent="0.3">
      <c r="A11" s="2">
        <f>SUM(cotizador!E18:E27)</f>
        <v>18840</v>
      </c>
      <c r="B11" s="17">
        <f>(B7/A3)*A11</f>
        <v>3473625</v>
      </c>
    </row>
  </sheetData>
  <mergeCells count="1">
    <mergeCell ref="A9:B9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B443C-A4B2-406B-A242-2AADEF0668E9}">
  <sheetPr codeName="Hoja9"/>
  <dimension ref="A1:N86"/>
  <sheetViews>
    <sheetView topLeftCell="A60" workbookViewId="0">
      <selection activeCell="A19" sqref="A19"/>
    </sheetView>
  </sheetViews>
  <sheetFormatPr baseColWidth="10" defaultColWidth="11.44140625" defaultRowHeight="14.4" x14ac:dyDescent="0.3"/>
  <cols>
    <col min="1" max="1" width="24.33203125" customWidth="1"/>
    <col min="2" max="2" width="15" customWidth="1"/>
    <col min="9" max="9" width="18.88671875" customWidth="1"/>
    <col min="13" max="13" width="15.33203125" customWidth="1"/>
    <col min="14" max="14" width="15" customWidth="1"/>
  </cols>
  <sheetData>
    <row r="1" spans="1:14" ht="15" thickBot="1" x14ac:dyDescent="0.35">
      <c r="A1" s="44" t="s">
        <v>360</v>
      </c>
      <c r="B1" s="45"/>
      <c r="C1" s="45"/>
      <c r="D1" s="46">
        <v>100</v>
      </c>
      <c r="E1" s="46">
        <v>560</v>
      </c>
      <c r="F1" s="46">
        <v>280</v>
      </c>
      <c r="G1" s="46">
        <v>325</v>
      </c>
      <c r="H1" s="47">
        <v>325</v>
      </c>
      <c r="I1" s="2"/>
      <c r="K1" s="120" t="s">
        <v>81</v>
      </c>
      <c r="L1" s="121"/>
      <c r="M1" s="121"/>
      <c r="N1" s="122"/>
    </row>
    <row r="2" spans="1:14" ht="27.6" x14ac:dyDescent="0.3">
      <c r="A2" s="23" t="s">
        <v>361</v>
      </c>
      <c r="B2" s="24" t="s">
        <v>362</v>
      </c>
      <c r="C2" s="24" t="s">
        <v>32</v>
      </c>
      <c r="D2" s="25" t="s">
        <v>363</v>
      </c>
      <c r="E2" s="25" t="s">
        <v>364</v>
      </c>
      <c r="F2" s="25" t="s">
        <v>365</v>
      </c>
      <c r="G2" s="24" t="s">
        <v>366</v>
      </c>
      <c r="H2" s="48" t="s">
        <v>367</v>
      </c>
      <c r="I2" s="54" t="s">
        <v>368</v>
      </c>
      <c r="K2" s="93" t="s">
        <v>83</v>
      </c>
      <c r="L2" s="2" t="s">
        <v>2</v>
      </c>
      <c r="M2" s="2" t="s">
        <v>84</v>
      </c>
      <c r="N2" s="2" t="s">
        <v>85</v>
      </c>
    </row>
    <row r="3" spans="1:14" x14ac:dyDescent="0.3">
      <c r="A3" s="26" t="s">
        <v>6</v>
      </c>
      <c r="B3" s="27">
        <v>1</v>
      </c>
      <c r="C3" s="27">
        <v>0</v>
      </c>
      <c r="D3" s="27">
        <v>0</v>
      </c>
      <c r="E3" s="27">
        <v>0</v>
      </c>
      <c r="F3" s="27">
        <v>0</v>
      </c>
      <c r="G3" s="27">
        <v>0</v>
      </c>
      <c r="H3" s="49">
        <v>0</v>
      </c>
      <c r="I3" s="55">
        <f>($D$1*D3)+(E3*$E$1)+(F3*$F$1)+(G3*$G$1)+(H3*$H$1)</f>
        <v>0</v>
      </c>
      <c r="K3" s="2" t="str" cm="1">
        <f t="array" ref="K3">_xlfn.UNIQUE(_xlfn._xlws.FILTER(Despiece!B:B,COUNTIF(Mecanizado!A:A,Despiece!B:B)&gt;0,""))</f>
        <v/>
      </c>
      <c r="L3" s="2" t="str">
        <f>IF(SUMIF(Despiece!B:B,  Mecanizado!K3,Despiece!C:C)=0,"",SUMIF(Despiece!B:B,  Mecanizado!K3,Despiece!C:C))</f>
        <v/>
      </c>
      <c r="M3" s="12" t="str">
        <f t="shared" ref="M3:M33" si="0">IF(SUMIF(A3:A86,  K3, I3:I86)=0,"",SUMIF(A3:A86,  K3, I3:I86))</f>
        <v/>
      </c>
      <c r="N3" s="12" t="str">
        <f t="shared" ref="N3:N33" si="1">IFERROR(L3*M3,"")</f>
        <v/>
      </c>
    </row>
    <row r="4" spans="1:14" x14ac:dyDescent="0.3">
      <c r="A4" s="26" t="s">
        <v>8</v>
      </c>
      <c r="B4" s="27">
        <v>1</v>
      </c>
      <c r="C4" s="27">
        <v>2</v>
      </c>
      <c r="D4" s="28">
        <v>4</v>
      </c>
      <c r="E4" s="28">
        <v>0</v>
      </c>
      <c r="F4" s="28">
        <v>0</v>
      </c>
      <c r="G4" s="29">
        <v>0</v>
      </c>
      <c r="H4" s="49">
        <v>0</v>
      </c>
      <c r="I4" s="55">
        <f t="shared" ref="I4:I67" si="2">($D$1*D4)+(E4*$E$1)+(F4*$F$1)+(G4*$G$1)+(H4*$H$1)</f>
        <v>400</v>
      </c>
      <c r="K4" s="2"/>
      <c r="L4" s="2" t="str">
        <f>IF(SUMIF(Despiece!B:B,  Mecanizado!K4,Despiece!C:C)=0,"",SUMIF(Despiece!B:B,  Mecanizado!K4,Despiece!C:C))</f>
        <v/>
      </c>
      <c r="M4" s="12" t="str">
        <f>IF(SUMIF(A4:A87,  K4, I4:I87)=0,"",SUMIF(A4:A87,  K4, I4:I87))</f>
        <v/>
      </c>
      <c r="N4" s="12" t="str">
        <f t="shared" si="1"/>
        <v/>
      </c>
    </row>
    <row r="5" spans="1:14" x14ac:dyDescent="0.3">
      <c r="A5" s="26" t="s">
        <v>369</v>
      </c>
      <c r="B5" s="27">
        <v>1</v>
      </c>
      <c r="C5" s="27">
        <v>0</v>
      </c>
      <c r="D5" s="28">
        <v>4</v>
      </c>
      <c r="E5" s="28">
        <v>0</v>
      </c>
      <c r="F5" s="28">
        <v>0</v>
      </c>
      <c r="G5" s="27">
        <v>0</v>
      </c>
      <c r="H5" s="49">
        <v>0</v>
      </c>
      <c r="I5" s="55">
        <f t="shared" si="2"/>
        <v>400</v>
      </c>
      <c r="K5" s="2"/>
      <c r="L5" s="2" t="str">
        <f>IF(SUMIF(Despiece!B:B,  Mecanizado!K5,Despiece!C:C)=0,"",SUMIF(Despiece!B:B,  Mecanizado!K5,Despiece!C:C))</f>
        <v/>
      </c>
      <c r="M5" s="12" t="str">
        <f t="shared" si="0"/>
        <v/>
      </c>
      <c r="N5" s="12" t="str">
        <f t="shared" si="1"/>
        <v/>
      </c>
    </row>
    <row r="6" spans="1:14" x14ac:dyDescent="0.3">
      <c r="A6" s="30" t="s">
        <v>370</v>
      </c>
      <c r="B6" s="29">
        <v>1</v>
      </c>
      <c r="C6" s="29">
        <v>0</v>
      </c>
      <c r="D6" s="28">
        <v>2</v>
      </c>
      <c r="E6" s="28">
        <v>0</v>
      </c>
      <c r="F6" s="28">
        <v>0</v>
      </c>
      <c r="G6" s="27">
        <v>0</v>
      </c>
      <c r="H6" s="49">
        <v>0</v>
      </c>
      <c r="I6" s="55">
        <f t="shared" si="2"/>
        <v>200</v>
      </c>
      <c r="K6" s="2"/>
      <c r="L6" s="2" t="str">
        <f>IF(SUMIF(Despiece!B:B,  Mecanizado!K6,Despiece!C:C)=0,"",SUMIF(Despiece!B:B,  Mecanizado!K6,Despiece!C:C))</f>
        <v/>
      </c>
      <c r="M6" s="12" t="str">
        <f t="shared" si="0"/>
        <v/>
      </c>
      <c r="N6" s="12" t="str">
        <f t="shared" si="1"/>
        <v/>
      </c>
    </row>
    <row r="7" spans="1:14" x14ac:dyDescent="0.3">
      <c r="A7" s="30" t="s">
        <v>371</v>
      </c>
      <c r="B7" s="29">
        <v>1</v>
      </c>
      <c r="C7" s="29">
        <v>0</v>
      </c>
      <c r="D7" s="28">
        <v>3</v>
      </c>
      <c r="E7" s="28">
        <v>1</v>
      </c>
      <c r="F7" s="28">
        <v>0</v>
      </c>
      <c r="G7" s="27">
        <v>0</v>
      </c>
      <c r="H7" s="49">
        <v>0</v>
      </c>
      <c r="I7" s="55">
        <f t="shared" si="2"/>
        <v>860</v>
      </c>
      <c r="K7" s="2"/>
      <c r="L7" s="2" t="str">
        <f>IF(SUMIF(Despiece!B:B,  Mecanizado!K7,Despiece!C:C)=0,"",SUMIF(Despiece!B:B,  Mecanizado!K7,Despiece!C:C))</f>
        <v/>
      </c>
      <c r="M7" s="12" t="str">
        <f t="shared" si="0"/>
        <v/>
      </c>
      <c r="N7" s="12" t="str">
        <f t="shared" si="1"/>
        <v/>
      </c>
    </row>
    <row r="8" spans="1:14" x14ac:dyDescent="0.3">
      <c r="A8" s="30" t="s">
        <v>372</v>
      </c>
      <c r="B8" s="29">
        <v>2</v>
      </c>
      <c r="C8" s="29">
        <v>0</v>
      </c>
      <c r="D8" s="29">
        <v>2</v>
      </c>
      <c r="E8" s="29">
        <v>0</v>
      </c>
      <c r="F8" s="29">
        <v>0</v>
      </c>
      <c r="G8" s="29">
        <v>0</v>
      </c>
      <c r="H8" s="49">
        <v>0</v>
      </c>
      <c r="I8" s="55">
        <f t="shared" si="2"/>
        <v>200</v>
      </c>
      <c r="K8" s="2"/>
      <c r="L8" s="2" t="str">
        <f>IF(SUMIF(Despiece!B:B,  Mecanizado!K8,Despiece!C:C)=0,"",SUMIF(Despiece!B:B,  Mecanizado!K8,Despiece!C:C))</f>
        <v/>
      </c>
      <c r="M8" s="12" t="str">
        <f t="shared" si="0"/>
        <v/>
      </c>
      <c r="N8" s="12" t="str">
        <f t="shared" si="1"/>
        <v/>
      </c>
    </row>
    <row r="9" spans="1:14" x14ac:dyDescent="0.3">
      <c r="A9" s="31" t="s">
        <v>373</v>
      </c>
      <c r="B9" s="27">
        <v>1</v>
      </c>
      <c r="C9" s="27">
        <v>2</v>
      </c>
      <c r="D9" s="27">
        <v>10</v>
      </c>
      <c r="E9" s="27">
        <v>2</v>
      </c>
      <c r="F9" s="27">
        <v>1</v>
      </c>
      <c r="G9" s="27">
        <v>0</v>
      </c>
      <c r="H9" s="49">
        <v>0</v>
      </c>
      <c r="I9" s="55">
        <f t="shared" si="2"/>
        <v>2400</v>
      </c>
      <c r="K9" s="2"/>
      <c r="L9" s="2" t="str">
        <f>IF(SUMIF(Despiece!B:B,  Mecanizado!K9,Despiece!C:C)=0,"",SUMIF(Despiece!B:B,  Mecanizado!K9,Despiece!C:C))</f>
        <v/>
      </c>
      <c r="M9" s="12" t="str">
        <f t="shared" si="0"/>
        <v/>
      </c>
      <c r="N9" s="12" t="str">
        <f t="shared" si="1"/>
        <v/>
      </c>
    </row>
    <row r="10" spans="1:14" x14ac:dyDescent="0.3">
      <c r="A10" s="31" t="s">
        <v>374</v>
      </c>
      <c r="B10" s="27">
        <v>1</v>
      </c>
      <c r="C10" s="27">
        <v>2</v>
      </c>
      <c r="D10" s="27">
        <v>10</v>
      </c>
      <c r="E10" s="27">
        <v>2</v>
      </c>
      <c r="F10" s="27">
        <v>0</v>
      </c>
      <c r="G10" s="27">
        <v>0</v>
      </c>
      <c r="H10" s="49">
        <v>0</v>
      </c>
      <c r="I10" s="55">
        <f t="shared" si="2"/>
        <v>2120</v>
      </c>
      <c r="K10" s="2"/>
      <c r="L10" s="2" t="str">
        <f>IF(SUMIF(Despiece!B:B,  Mecanizado!K10,Despiece!C:C)=0,"",SUMIF(Despiece!B:B,  Mecanizado!K10,Despiece!C:C))</f>
        <v/>
      </c>
      <c r="M10" s="12" t="str">
        <f t="shared" si="0"/>
        <v/>
      </c>
      <c r="N10" s="12" t="str">
        <f t="shared" si="1"/>
        <v/>
      </c>
    </row>
    <row r="11" spans="1:14" x14ac:dyDescent="0.3">
      <c r="A11" s="30" t="s">
        <v>375</v>
      </c>
      <c r="B11" s="29">
        <v>1</v>
      </c>
      <c r="C11" s="29">
        <v>2</v>
      </c>
      <c r="D11" s="29">
        <v>6</v>
      </c>
      <c r="E11" s="29">
        <v>0</v>
      </c>
      <c r="F11" s="29">
        <v>1</v>
      </c>
      <c r="G11" s="29">
        <v>0</v>
      </c>
      <c r="H11" s="50">
        <v>0</v>
      </c>
      <c r="I11" s="55">
        <f t="shared" si="2"/>
        <v>880</v>
      </c>
      <c r="K11" s="2"/>
      <c r="L11" s="2" t="str">
        <f>IF(SUMIF(Despiece!B:B,  Mecanizado!K11,Despiece!C:C)=0,"",SUMIF(Despiece!B:B,  Mecanizado!K11,Despiece!C:C))</f>
        <v/>
      </c>
      <c r="M11" s="12" t="str">
        <f t="shared" si="0"/>
        <v/>
      </c>
      <c r="N11" s="12" t="str">
        <f t="shared" si="1"/>
        <v/>
      </c>
    </row>
    <row r="12" spans="1:14" x14ac:dyDescent="0.3">
      <c r="A12" s="30" t="s">
        <v>376</v>
      </c>
      <c r="B12" s="29">
        <v>1</v>
      </c>
      <c r="C12" s="29">
        <v>2</v>
      </c>
      <c r="D12" s="29">
        <v>6</v>
      </c>
      <c r="E12" s="29">
        <v>0</v>
      </c>
      <c r="F12" s="29">
        <v>0</v>
      </c>
      <c r="G12" s="29">
        <v>0</v>
      </c>
      <c r="H12" s="50">
        <v>0</v>
      </c>
      <c r="I12" s="55">
        <f t="shared" si="2"/>
        <v>600</v>
      </c>
      <c r="K12" s="2"/>
      <c r="L12" s="2" t="str">
        <f>IF(SUMIF(Despiece!B:B,  Mecanizado!K12,Despiece!C:C)=0,"",SUMIF(Despiece!B:B,  Mecanizado!K12,Despiece!C:C))</f>
        <v/>
      </c>
      <c r="M12" s="12" t="str">
        <f t="shared" si="0"/>
        <v/>
      </c>
      <c r="N12" s="12" t="str">
        <f t="shared" si="1"/>
        <v/>
      </c>
    </row>
    <row r="13" spans="1:14" x14ac:dyDescent="0.3">
      <c r="A13" s="26" t="s">
        <v>377</v>
      </c>
      <c r="B13" s="27">
        <v>1</v>
      </c>
      <c r="C13" s="27">
        <v>2</v>
      </c>
      <c r="D13" s="27">
        <v>8</v>
      </c>
      <c r="E13" s="27">
        <v>2</v>
      </c>
      <c r="F13" s="27">
        <v>0</v>
      </c>
      <c r="G13" s="27">
        <v>0</v>
      </c>
      <c r="H13" s="49">
        <v>0</v>
      </c>
      <c r="I13" s="55">
        <f t="shared" si="2"/>
        <v>1920</v>
      </c>
      <c r="K13" s="2"/>
      <c r="L13" s="2" t="str">
        <f>IF(SUMIF(Despiece!B:B,  Mecanizado!K13,Despiece!C:C)=0,"",SUMIF(Despiece!B:B,  Mecanizado!K13,Despiece!C:C))</f>
        <v/>
      </c>
      <c r="M13" s="12" t="str">
        <f t="shared" si="0"/>
        <v/>
      </c>
      <c r="N13" s="12" t="str">
        <f t="shared" si="1"/>
        <v/>
      </c>
    </row>
    <row r="14" spans="1:14" x14ac:dyDescent="0.3">
      <c r="A14" s="26" t="s">
        <v>378</v>
      </c>
      <c r="B14" s="27">
        <v>1</v>
      </c>
      <c r="C14" s="27">
        <v>2</v>
      </c>
      <c r="D14" s="27">
        <v>8</v>
      </c>
      <c r="E14" s="27">
        <v>0</v>
      </c>
      <c r="F14" s="27">
        <v>0</v>
      </c>
      <c r="G14" s="27">
        <v>0</v>
      </c>
      <c r="H14" s="49">
        <v>0</v>
      </c>
      <c r="I14" s="55">
        <f t="shared" si="2"/>
        <v>800</v>
      </c>
      <c r="K14" s="2"/>
      <c r="L14" s="2" t="str">
        <f>IF(SUMIF(Despiece!B:B,  Mecanizado!K14,Despiece!C:C)=0,"",SUMIF(Despiece!B:B,  Mecanizado!K14,Despiece!C:C))</f>
        <v/>
      </c>
      <c r="M14" s="12" t="str">
        <f t="shared" si="0"/>
        <v/>
      </c>
      <c r="N14" s="12" t="str">
        <f t="shared" si="1"/>
        <v/>
      </c>
    </row>
    <row r="15" spans="1:14" x14ac:dyDescent="0.3">
      <c r="A15" s="26" t="s">
        <v>379</v>
      </c>
      <c r="B15" s="27">
        <v>2</v>
      </c>
      <c r="C15" s="27">
        <v>0</v>
      </c>
      <c r="D15" s="27">
        <v>0</v>
      </c>
      <c r="E15" s="27">
        <v>0</v>
      </c>
      <c r="F15" s="27">
        <v>0</v>
      </c>
      <c r="G15" s="27">
        <v>0</v>
      </c>
      <c r="H15" s="49">
        <v>0</v>
      </c>
      <c r="I15" s="55">
        <f t="shared" si="2"/>
        <v>0</v>
      </c>
      <c r="K15" s="2"/>
      <c r="L15" s="2" t="str">
        <f>IF(SUMIF(Despiece!B:B,  Mecanizado!K15,Despiece!C:C)=0,"",SUMIF(Despiece!B:B,  Mecanizado!K15,Despiece!C:C))</f>
        <v/>
      </c>
      <c r="M15" s="12" t="str">
        <f t="shared" si="0"/>
        <v/>
      </c>
      <c r="N15" s="12" t="str">
        <f t="shared" si="1"/>
        <v/>
      </c>
    </row>
    <row r="16" spans="1:14" x14ac:dyDescent="0.3">
      <c r="A16" s="26" t="s">
        <v>380</v>
      </c>
      <c r="B16" s="27">
        <v>0</v>
      </c>
      <c r="C16" s="27">
        <v>0</v>
      </c>
      <c r="D16" s="27">
        <v>0</v>
      </c>
      <c r="E16" s="27">
        <v>0</v>
      </c>
      <c r="F16" s="27">
        <v>0</v>
      </c>
      <c r="G16" s="27">
        <v>0</v>
      </c>
      <c r="H16" s="49">
        <v>0</v>
      </c>
      <c r="I16" s="55">
        <f t="shared" si="2"/>
        <v>0</v>
      </c>
      <c r="K16" s="2"/>
      <c r="L16" s="2" t="str">
        <f>IF(SUMIF(Despiece!B:B,  Mecanizado!K16,Despiece!C:C)=0,"",SUMIF(Despiece!B:B,  Mecanizado!K16,Despiece!C:C))</f>
        <v/>
      </c>
      <c r="M16" s="12" t="str">
        <f t="shared" si="0"/>
        <v/>
      </c>
      <c r="N16" s="12" t="str">
        <f t="shared" si="1"/>
        <v/>
      </c>
    </row>
    <row r="17" spans="1:14" x14ac:dyDescent="0.3">
      <c r="A17" s="32" t="s">
        <v>381</v>
      </c>
      <c r="B17" s="27">
        <v>1</v>
      </c>
      <c r="C17" s="27">
        <v>0</v>
      </c>
      <c r="D17" s="27">
        <v>0</v>
      </c>
      <c r="E17" s="27">
        <v>0</v>
      </c>
      <c r="F17" s="27">
        <v>0</v>
      </c>
      <c r="G17" s="27">
        <v>0</v>
      </c>
      <c r="H17" s="49">
        <v>0</v>
      </c>
      <c r="I17" s="55">
        <f t="shared" si="2"/>
        <v>0</v>
      </c>
      <c r="K17" s="2"/>
      <c r="L17" s="2" t="str">
        <f>IF(SUMIF(Despiece!B:B,  Mecanizado!K17,Despiece!C:C)=0,"",SUMIF(Despiece!B:B,  Mecanizado!K17,Despiece!C:C))</f>
        <v/>
      </c>
      <c r="M17" s="12" t="str">
        <f t="shared" si="0"/>
        <v/>
      </c>
      <c r="N17" s="12" t="str">
        <f t="shared" si="1"/>
        <v/>
      </c>
    </row>
    <row r="18" spans="1:14" x14ac:dyDescent="0.3">
      <c r="A18" s="30" t="s">
        <v>382</v>
      </c>
      <c r="B18" s="29">
        <v>1</v>
      </c>
      <c r="C18" s="29">
        <v>0</v>
      </c>
      <c r="D18" s="29">
        <v>11</v>
      </c>
      <c r="E18" s="33">
        <v>2</v>
      </c>
      <c r="F18" s="29">
        <v>0</v>
      </c>
      <c r="G18" s="29">
        <v>0</v>
      </c>
      <c r="H18" s="49">
        <v>0</v>
      </c>
      <c r="I18" s="55">
        <f t="shared" si="2"/>
        <v>2220</v>
      </c>
      <c r="K18" s="2"/>
      <c r="L18" s="2" t="str">
        <f>IF(SUMIF(Despiece!B:B,  Mecanizado!K18,Despiece!C:C)=0,"",SUMIF(Despiece!B:B,  Mecanizado!K18,Despiece!C:C))</f>
        <v/>
      </c>
      <c r="M18" s="12" t="str">
        <f t="shared" si="0"/>
        <v/>
      </c>
      <c r="N18" s="12" t="str">
        <f t="shared" si="1"/>
        <v/>
      </c>
    </row>
    <row r="19" spans="1:14" x14ac:dyDescent="0.3">
      <c r="A19" s="30" t="s">
        <v>383</v>
      </c>
      <c r="B19" s="29">
        <v>2</v>
      </c>
      <c r="C19" s="29">
        <v>0</v>
      </c>
      <c r="D19" s="29">
        <v>11</v>
      </c>
      <c r="E19" s="29">
        <v>2</v>
      </c>
      <c r="F19" s="28">
        <v>0</v>
      </c>
      <c r="G19" s="27">
        <v>0</v>
      </c>
      <c r="H19" s="49">
        <v>0</v>
      </c>
      <c r="I19" s="55">
        <f t="shared" si="2"/>
        <v>2220</v>
      </c>
      <c r="K19" s="2"/>
      <c r="L19" s="2" t="str">
        <f>IF(SUMIF(Despiece!B:B,  Mecanizado!K19,Despiece!C:C)=0,"",SUMIF(Despiece!B:B,  Mecanizado!K19,Despiece!C:C))</f>
        <v/>
      </c>
      <c r="M19" s="12" t="str">
        <f t="shared" si="0"/>
        <v/>
      </c>
      <c r="N19" s="12" t="str">
        <f t="shared" si="1"/>
        <v/>
      </c>
    </row>
    <row r="20" spans="1:14" x14ac:dyDescent="0.3">
      <c r="A20" s="30" t="s">
        <v>384</v>
      </c>
      <c r="B20" s="29">
        <v>1</v>
      </c>
      <c r="C20" s="29">
        <v>0</v>
      </c>
      <c r="D20" s="28">
        <v>0</v>
      </c>
      <c r="E20" s="28">
        <v>0</v>
      </c>
      <c r="F20" s="28">
        <v>0</v>
      </c>
      <c r="G20" s="27">
        <v>0</v>
      </c>
      <c r="H20" s="49">
        <v>0</v>
      </c>
      <c r="I20" s="55">
        <f t="shared" si="2"/>
        <v>0</v>
      </c>
      <c r="K20" s="2"/>
      <c r="L20" s="2" t="str">
        <f>IF(SUMIF(Despiece!B:B,  Mecanizado!K20,Despiece!C:C)=0,"",SUMIF(Despiece!B:B,  Mecanizado!K20,Despiece!C:C))</f>
        <v/>
      </c>
      <c r="M20" s="12" t="str">
        <f t="shared" si="0"/>
        <v/>
      </c>
      <c r="N20" s="12" t="str">
        <f t="shared" si="1"/>
        <v/>
      </c>
    </row>
    <row r="21" spans="1:14" x14ac:dyDescent="0.3">
      <c r="A21" s="30" t="s">
        <v>385</v>
      </c>
      <c r="B21" s="29">
        <v>1</v>
      </c>
      <c r="C21" s="29">
        <v>0</v>
      </c>
      <c r="D21" s="29">
        <v>12</v>
      </c>
      <c r="E21" s="29">
        <v>0</v>
      </c>
      <c r="F21" s="29">
        <v>1</v>
      </c>
      <c r="G21" s="29">
        <v>0</v>
      </c>
      <c r="H21" s="50">
        <v>0</v>
      </c>
      <c r="I21" s="55">
        <f t="shared" si="2"/>
        <v>1480</v>
      </c>
      <c r="K21" s="2"/>
      <c r="L21" s="2" t="str">
        <f>IF(SUMIF(Despiece!B:B,  Mecanizado!K21,Despiece!C:C)=0,"",SUMIF(Despiece!B:B,  Mecanizado!K21,Despiece!C:C))</f>
        <v/>
      </c>
      <c r="M21" s="12" t="str">
        <f t="shared" si="0"/>
        <v/>
      </c>
      <c r="N21" s="12" t="str">
        <f t="shared" si="1"/>
        <v/>
      </c>
    </row>
    <row r="22" spans="1:14" x14ac:dyDescent="0.3">
      <c r="A22" s="30" t="s">
        <v>386</v>
      </c>
      <c r="B22" s="29">
        <v>1</v>
      </c>
      <c r="C22" s="29">
        <v>0</v>
      </c>
      <c r="D22" s="29">
        <v>12</v>
      </c>
      <c r="E22" s="29">
        <v>0</v>
      </c>
      <c r="F22" s="29">
        <v>0</v>
      </c>
      <c r="G22" s="29">
        <v>0</v>
      </c>
      <c r="H22" s="50">
        <v>0</v>
      </c>
      <c r="I22" s="55">
        <f t="shared" si="2"/>
        <v>1200</v>
      </c>
      <c r="K22" s="2"/>
      <c r="L22" s="2" t="str">
        <f>IF(SUMIF(Despiece!B:B,  Mecanizado!K22,Despiece!C:C)=0,"",SUMIF(Despiece!B:B,  Mecanizado!K22,Despiece!C:C))</f>
        <v/>
      </c>
      <c r="M22" s="12" t="str">
        <f t="shared" si="0"/>
        <v/>
      </c>
      <c r="N22" s="12" t="str">
        <f t="shared" si="1"/>
        <v/>
      </c>
    </row>
    <row r="23" spans="1:14" x14ac:dyDescent="0.3">
      <c r="A23" s="26" t="s">
        <v>387</v>
      </c>
      <c r="B23" s="27">
        <v>1</v>
      </c>
      <c r="C23" s="27">
        <v>0</v>
      </c>
      <c r="D23" s="27">
        <v>3</v>
      </c>
      <c r="E23" s="27">
        <v>0</v>
      </c>
      <c r="F23" s="27">
        <v>0</v>
      </c>
      <c r="G23" s="27">
        <v>0</v>
      </c>
      <c r="H23" s="49">
        <v>0</v>
      </c>
      <c r="I23" s="55">
        <f t="shared" si="2"/>
        <v>300</v>
      </c>
      <c r="K23" s="2"/>
      <c r="L23" s="2" t="str">
        <f>IF(SUMIF(Despiece!B:B,  Mecanizado!K23,Despiece!C:C)=0,"",SUMIF(Despiece!B:B,  Mecanizado!K23,Despiece!C:C))</f>
        <v/>
      </c>
      <c r="M23" s="12" t="str">
        <f t="shared" si="0"/>
        <v/>
      </c>
      <c r="N23" s="12" t="str">
        <f t="shared" si="1"/>
        <v/>
      </c>
    </row>
    <row r="24" spans="1:14" x14ac:dyDescent="0.3">
      <c r="A24" s="31" t="s">
        <v>388</v>
      </c>
      <c r="B24" s="27">
        <v>1</v>
      </c>
      <c r="C24" s="27">
        <v>0</v>
      </c>
      <c r="D24" s="27">
        <v>6</v>
      </c>
      <c r="E24" s="27">
        <v>0</v>
      </c>
      <c r="F24" s="27">
        <v>0</v>
      </c>
      <c r="G24" s="27">
        <v>0</v>
      </c>
      <c r="H24" s="49">
        <v>0</v>
      </c>
      <c r="I24" s="55">
        <f t="shared" si="2"/>
        <v>600</v>
      </c>
      <c r="K24" s="2"/>
      <c r="L24" s="2" t="str">
        <f>IF(SUMIF(Despiece!B:B,  Mecanizado!K24,Despiece!C:C)=0,"",SUMIF(Despiece!B:B,  Mecanizado!K24,Despiece!C:C))</f>
        <v/>
      </c>
      <c r="M24" s="12" t="str">
        <f t="shared" si="0"/>
        <v/>
      </c>
      <c r="N24" s="12" t="str">
        <f t="shared" si="1"/>
        <v/>
      </c>
    </row>
    <row r="25" spans="1:14" x14ac:dyDescent="0.3">
      <c r="A25" s="34" t="s">
        <v>389</v>
      </c>
      <c r="B25" s="35">
        <v>1</v>
      </c>
      <c r="C25" s="35">
        <v>0</v>
      </c>
      <c r="D25" s="35">
        <v>6</v>
      </c>
      <c r="E25" s="35">
        <v>0</v>
      </c>
      <c r="F25" s="35">
        <v>0</v>
      </c>
      <c r="G25" s="35">
        <v>0</v>
      </c>
      <c r="H25" s="51">
        <v>1</v>
      </c>
      <c r="I25" s="55">
        <f t="shared" si="2"/>
        <v>925</v>
      </c>
      <c r="K25" s="2"/>
      <c r="L25" s="2" t="str">
        <f>IF(SUMIF(Despiece!B:B,  Mecanizado!K25,Despiece!C:C)=0,"",SUMIF(Despiece!B:B,  Mecanizado!K25,Despiece!C:C))</f>
        <v/>
      </c>
      <c r="M25" s="12" t="str">
        <f t="shared" si="0"/>
        <v/>
      </c>
      <c r="N25" s="12" t="str">
        <f t="shared" si="1"/>
        <v/>
      </c>
    </row>
    <row r="26" spans="1:14" x14ac:dyDescent="0.3">
      <c r="A26" s="26" t="s">
        <v>390</v>
      </c>
      <c r="B26" s="27">
        <v>0</v>
      </c>
      <c r="C26" s="27">
        <v>0</v>
      </c>
      <c r="D26" s="27">
        <v>0</v>
      </c>
      <c r="E26" s="27">
        <v>0</v>
      </c>
      <c r="F26" s="27">
        <v>0</v>
      </c>
      <c r="G26" s="27">
        <v>0</v>
      </c>
      <c r="H26" s="49">
        <v>0</v>
      </c>
      <c r="I26" s="55">
        <f t="shared" si="2"/>
        <v>0</v>
      </c>
      <c r="K26" s="2"/>
      <c r="L26" s="2" t="str">
        <f>IF(SUMIF(Despiece!B:B,  Mecanizado!K26,Despiece!C:C)=0,"",SUMIF(Despiece!B:B,  Mecanizado!K26,Despiece!C:C))</f>
        <v/>
      </c>
      <c r="M26" s="12" t="str">
        <f t="shared" si="0"/>
        <v/>
      </c>
      <c r="N26" s="12" t="str">
        <f t="shared" si="1"/>
        <v/>
      </c>
    </row>
    <row r="27" spans="1:14" x14ac:dyDescent="0.3">
      <c r="A27" s="26" t="s">
        <v>391</v>
      </c>
      <c r="B27" s="27">
        <v>1</v>
      </c>
      <c r="C27" s="27">
        <v>0</v>
      </c>
      <c r="D27" s="27">
        <v>0</v>
      </c>
      <c r="E27" s="27">
        <v>0</v>
      </c>
      <c r="F27" s="27">
        <v>0</v>
      </c>
      <c r="G27" s="27">
        <v>0</v>
      </c>
      <c r="H27" s="49">
        <v>0</v>
      </c>
      <c r="I27" s="55">
        <f t="shared" si="2"/>
        <v>0</v>
      </c>
      <c r="K27" s="2"/>
      <c r="L27" s="2" t="str">
        <f>IF(SUMIF(Despiece!B:B,  Mecanizado!K27,Despiece!C:C)=0,"",SUMIF(Despiece!B:B,  Mecanizado!K27,Despiece!C:C))</f>
        <v/>
      </c>
      <c r="M27" s="12" t="str">
        <f t="shared" si="0"/>
        <v/>
      </c>
      <c r="N27" s="12" t="str">
        <f t="shared" si="1"/>
        <v/>
      </c>
    </row>
    <row r="28" spans="1:14" x14ac:dyDescent="0.3">
      <c r="A28" s="26" t="s">
        <v>392</v>
      </c>
      <c r="B28" s="27">
        <v>2</v>
      </c>
      <c r="C28" s="27">
        <v>0</v>
      </c>
      <c r="D28" s="27">
        <v>0</v>
      </c>
      <c r="E28" s="27">
        <v>0</v>
      </c>
      <c r="F28" s="27">
        <v>0</v>
      </c>
      <c r="G28" s="27">
        <v>0</v>
      </c>
      <c r="H28" s="49">
        <v>0</v>
      </c>
      <c r="I28" s="55">
        <f t="shared" si="2"/>
        <v>0</v>
      </c>
      <c r="K28" s="2"/>
      <c r="L28" s="2" t="str">
        <f>IF(SUMIF(Despiece!B:B,  Mecanizado!K28,Despiece!C:C)=0,"",SUMIF(Despiece!B:B,  Mecanizado!K28,Despiece!C:C))</f>
        <v/>
      </c>
      <c r="M28" s="12" t="str">
        <f t="shared" si="0"/>
        <v/>
      </c>
      <c r="N28" s="12" t="str">
        <f t="shared" si="1"/>
        <v/>
      </c>
    </row>
    <row r="29" spans="1:14" x14ac:dyDescent="0.3">
      <c r="A29" s="36" t="s">
        <v>393</v>
      </c>
      <c r="B29" s="29">
        <v>1</v>
      </c>
      <c r="C29" s="29">
        <v>0</v>
      </c>
      <c r="D29" s="27">
        <v>0</v>
      </c>
      <c r="E29" s="27">
        <v>0</v>
      </c>
      <c r="F29" s="27">
        <v>0</v>
      </c>
      <c r="G29" s="27">
        <v>0</v>
      </c>
      <c r="H29" s="49">
        <v>0</v>
      </c>
      <c r="I29" s="55">
        <f t="shared" si="2"/>
        <v>0</v>
      </c>
      <c r="K29" s="2"/>
      <c r="L29" s="2" t="str">
        <f>IF(SUMIF(Despiece!B:B,  Mecanizado!K29,Despiece!C:C)=0,"",SUMIF(Despiece!B:B,  Mecanizado!K29,Despiece!C:C))</f>
        <v/>
      </c>
      <c r="M29" s="12" t="str">
        <f t="shared" si="0"/>
        <v/>
      </c>
      <c r="N29" s="12" t="str">
        <f t="shared" si="1"/>
        <v/>
      </c>
    </row>
    <row r="30" spans="1:14" x14ac:dyDescent="0.3">
      <c r="A30" s="30" t="s">
        <v>394</v>
      </c>
      <c r="B30" s="29">
        <v>1</v>
      </c>
      <c r="C30" s="29">
        <v>0</v>
      </c>
      <c r="D30" s="37">
        <v>0</v>
      </c>
      <c r="E30" s="37">
        <v>0</v>
      </c>
      <c r="F30" s="37">
        <v>0</v>
      </c>
      <c r="G30" s="29">
        <v>0</v>
      </c>
      <c r="H30" s="50">
        <v>0</v>
      </c>
      <c r="I30" s="55">
        <f t="shared" si="2"/>
        <v>0</v>
      </c>
      <c r="K30" s="2"/>
      <c r="L30" s="2" t="str">
        <f>IF(SUMIF(Despiece!B:B,  Mecanizado!K30,Despiece!C:C)=0,"",SUMIF(Despiece!B:B,  Mecanizado!K30,Despiece!C:C))</f>
        <v/>
      </c>
      <c r="M30" s="12" t="str">
        <f t="shared" si="0"/>
        <v/>
      </c>
      <c r="N30" s="12" t="str">
        <f t="shared" si="1"/>
        <v/>
      </c>
    </row>
    <row r="31" spans="1:14" x14ac:dyDescent="0.3">
      <c r="A31" s="30" t="s">
        <v>395</v>
      </c>
      <c r="B31" s="29">
        <v>1</v>
      </c>
      <c r="C31" s="29">
        <v>0</v>
      </c>
      <c r="D31" s="29">
        <v>15</v>
      </c>
      <c r="E31" s="29">
        <v>0</v>
      </c>
      <c r="F31" s="29">
        <v>1</v>
      </c>
      <c r="G31" s="29">
        <v>0</v>
      </c>
      <c r="H31" s="50">
        <v>0</v>
      </c>
      <c r="I31" s="55">
        <f t="shared" si="2"/>
        <v>1780</v>
      </c>
      <c r="K31" s="2"/>
      <c r="L31" s="2" t="str">
        <f>IF(SUMIF(Despiece!B:B,  Mecanizado!K31,Despiece!C:C)=0,"",SUMIF(Despiece!B:B,  Mecanizado!K31,Despiece!C:C))</f>
        <v/>
      </c>
      <c r="M31" s="12" t="str">
        <f t="shared" si="0"/>
        <v/>
      </c>
      <c r="N31" s="12" t="str">
        <f t="shared" si="1"/>
        <v/>
      </c>
    </row>
    <row r="32" spans="1:14" x14ac:dyDescent="0.3">
      <c r="A32" s="31" t="s">
        <v>396</v>
      </c>
      <c r="B32" s="27">
        <v>1</v>
      </c>
      <c r="C32" s="27">
        <v>0</v>
      </c>
      <c r="D32" s="27">
        <v>15</v>
      </c>
      <c r="E32" s="27">
        <v>0</v>
      </c>
      <c r="F32" s="27">
        <v>0</v>
      </c>
      <c r="G32" s="27">
        <v>0</v>
      </c>
      <c r="H32" s="49">
        <v>0</v>
      </c>
      <c r="I32" s="55">
        <f t="shared" si="2"/>
        <v>1500</v>
      </c>
      <c r="K32" s="2"/>
      <c r="L32" s="2" t="str">
        <f>IF(SUMIF(Despiece!B:B,  Mecanizado!K32,Despiece!C:C)=0,"",SUMIF(Despiece!B:B,  Mecanizado!K32,Despiece!C:C))</f>
        <v/>
      </c>
      <c r="M32" s="12" t="str">
        <f t="shared" si="0"/>
        <v/>
      </c>
      <c r="N32" s="12" t="str">
        <f t="shared" si="1"/>
        <v/>
      </c>
    </row>
    <row r="33" spans="1:14" x14ac:dyDescent="0.3">
      <c r="A33" s="26" t="s">
        <v>397</v>
      </c>
      <c r="B33" s="27">
        <v>1</v>
      </c>
      <c r="C33" s="27">
        <v>0</v>
      </c>
      <c r="D33" s="27">
        <v>3</v>
      </c>
      <c r="E33" s="27">
        <v>1</v>
      </c>
      <c r="F33" s="27">
        <v>0</v>
      </c>
      <c r="G33" s="27">
        <v>0</v>
      </c>
      <c r="H33" s="49">
        <v>0</v>
      </c>
      <c r="I33" s="55">
        <f t="shared" si="2"/>
        <v>860</v>
      </c>
      <c r="K33" s="2"/>
      <c r="L33" s="2" t="str">
        <f>IF(SUMIF(Despiece!B:B,  Mecanizado!K33,Despiece!C:C)=0,"",SUMIF(Despiece!B:B,  Mecanizado!K33,Despiece!C:C))</f>
        <v/>
      </c>
      <c r="M33" s="12" t="str">
        <f t="shared" si="0"/>
        <v/>
      </c>
      <c r="N33" s="12" t="str">
        <f t="shared" si="1"/>
        <v/>
      </c>
    </row>
    <row r="34" spans="1:14" x14ac:dyDescent="0.3">
      <c r="A34" s="31" t="s">
        <v>398</v>
      </c>
      <c r="B34" s="27">
        <v>1</v>
      </c>
      <c r="C34" s="27">
        <v>0</v>
      </c>
      <c r="D34" s="27">
        <v>6</v>
      </c>
      <c r="E34" s="27">
        <v>1</v>
      </c>
      <c r="F34" s="27">
        <v>0</v>
      </c>
      <c r="G34" s="27">
        <v>0</v>
      </c>
      <c r="H34" s="49">
        <v>0</v>
      </c>
      <c r="I34" s="55">
        <f t="shared" si="2"/>
        <v>1160</v>
      </c>
      <c r="K34" s="127" t="s">
        <v>29</v>
      </c>
      <c r="L34" s="128"/>
      <c r="M34" s="129"/>
      <c r="N34" s="12">
        <f>SUM(N3:N33)</f>
        <v>0</v>
      </c>
    </row>
    <row r="35" spans="1:14" x14ac:dyDescent="0.3">
      <c r="A35" s="26" t="s">
        <v>399</v>
      </c>
      <c r="B35" s="29">
        <v>2</v>
      </c>
      <c r="C35" s="29">
        <v>0</v>
      </c>
      <c r="D35" s="29">
        <v>4</v>
      </c>
      <c r="E35" s="29">
        <v>0</v>
      </c>
      <c r="F35" s="29">
        <v>0</v>
      </c>
      <c r="G35" s="29">
        <v>0</v>
      </c>
      <c r="H35" s="49">
        <v>0</v>
      </c>
      <c r="I35" s="55">
        <f t="shared" si="2"/>
        <v>400</v>
      </c>
    </row>
    <row r="36" spans="1:14" x14ac:dyDescent="0.3">
      <c r="A36" s="36" t="s">
        <v>400</v>
      </c>
      <c r="B36" s="29">
        <v>2</v>
      </c>
      <c r="C36" s="29">
        <v>0</v>
      </c>
      <c r="D36" s="29">
        <v>0</v>
      </c>
      <c r="E36" s="29">
        <v>1</v>
      </c>
      <c r="F36" s="29">
        <v>0</v>
      </c>
      <c r="G36" s="29">
        <v>0</v>
      </c>
      <c r="H36" s="50">
        <v>0</v>
      </c>
      <c r="I36" s="55">
        <f t="shared" si="2"/>
        <v>560</v>
      </c>
    </row>
    <row r="37" spans="1:14" x14ac:dyDescent="0.3">
      <c r="A37" s="31" t="s">
        <v>401</v>
      </c>
      <c r="B37" s="29">
        <v>2</v>
      </c>
      <c r="C37" s="29">
        <v>0</v>
      </c>
      <c r="D37" s="29">
        <v>2</v>
      </c>
      <c r="E37" s="29">
        <v>0</v>
      </c>
      <c r="F37" s="29">
        <v>0</v>
      </c>
      <c r="G37" s="29">
        <v>0</v>
      </c>
      <c r="H37" s="50">
        <v>0</v>
      </c>
      <c r="I37" s="55">
        <f t="shared" si="2"/>
        <v>200</v>
      </c>
    </row>
    <row r="38" spans="1:14" x14ac:dyDescent="0.3">
      <c r="A38" s="31" t="s">
        <v>402</v>
      </c>
      <c r="B38" s="27">
        <v>2</v>
      </c>
      <c r="C38" s="27">
        <v>0</v>
      </c>
      <c r="D38" s="27">
        <v>2</v>
      </c>
      <c r="E38" s="27">
        <v>0</v>
      </c>
      <c r="F38" s="27">
        <v>0</v>
      </c>
      <c r="G38" s="27">
        <v>0</v>
      </c>
      <c r="H38" s="49">
        <v>0</v>
      </c>
      <c r="I38" s="55">
        <f t="shared" si="2"/>
        <v>200</v>
      </c>
    </row>
    <row r="39" spans="1:14" x14ac:dyDescent="0.3">
      <c r="A39" s="32" t="s">
        <v>403</v>
      </c>
      <c r="B39" s="29">
        <v>1</v>
      </c>
      <c r="C39" s="29">
        <v>0</v>
      </c>
      <c r="D39" s="29">
        <v>0</v>
      </c>
      <c r="E39" s="29">
        <v>0</v>
      </c>
      <c r="F39" s="29">
        <v>2</v>
      </c>
      <c r="G39" s="29">
        <v>0</v>
      </c>
      <c r="H39" s="49">
        <v>0</v>
      </c>
      <c r="I39" s="55">
        <f t="shared" si="2"/>
        <v>560</v>
      </c>
    </row>
    <row r="40" spans="1:14" x14ac:dyDescent="0.3">
      <c r="A40" s="32" t="s">
        <v>404</v>
      </c>
      <c r="B40" s="29">
        <v>1</v>
      </c>
      <c r="C40" s="29">
        <v>2</v>
      </c>
      <c r="D40" s="29">
        <v>4</v>
      </c>
      <c r="E40" s="29">
        <v>0</v>
      </c>
      <c r="F40" s="29">
        <v>0</v>
      </c>
      <c r="G40" s="29">
        <v>0</v>
      </c>
      <c r="H40" s="49">
        <v>0</v>
      </c>
      <c r="I40" s="55">
        <f t="shared" si="2"/>
        <v>400</v>
      </c>
    </row>
    <row r="41" spans="1:14" x14ac:dyDescent="0.3">
      <c r="A41" s="32" t="s">
        <v>405</v>
      </c>
      <c r="B41" s="27">
        <v>1</v>
      </c>
      <c r="C41" s="27">
        <v>2</v>
      </c>
      <c r="D41" s="27">
        <v>0</v>
      </c>
      <c r="E41" s="27">
        <v>0</v>
      </c>
      <c r="F41" s="27">
        <v>2</v>
      </c>
      <c r="G41" s="27">
        <v>0</v>
      </c>
      <c r="H41" s="49">
        <v>0</v>
      </c>
      <c r="I41" s="55">
        <f t="shared" si="2"/>
        <v>560</v>
      </c>
    </row>
    <row r="42" spans="1:14" x14ac:dyDescent="0.3">
      <c r="A42" s="32" t="s">
        <v>406</v>
      </c>
      <c r="B42" s="27">
        <v>2</v>
      </c>
      <c r="C42" s="27">
        <v>0</v>
      </c>
      <c r="D42" s="27">
        <v>0</v>
      </c>
      <c r="E42" s="27">
        <v>0</v>
      </c>
      <c r="F42" s="27">
        <v>1</v>
      </c>
      <c r="G42" s="27">
        <v>0</v>
      </c>
      <c r="H42" s="49">
        <v>0</v>
      </c>
      <c r="I42" s="55">
        <f t="shared" si="2"/>
        <v>280</v>
      </c>
    </row>
    <row r="43" spans="1:14" x14ac:dyDescent="0.3">
      <c r="A43" s="31" t="s">
        <v>407</v>
      </c>
      <c r="B43" s="27">
        <v>1</v>
      </c>
      <c r="C43" s="27">
        <v>0</v>
      </c>
      <c r="D43" s="27">
        <v>10</v>
      </c>
      <c r="E43" s="27">
        <v>0</v>
      </c>
      <c r="F43" s="27">
        <v>0</v>
      </c>
      <c r="G43" s="27">
        <v>0</v>
      </c>
      <c r="H43" s="49">
        <v>0</v>
      </c>
      <c r="I43" s="55">
        <f t="shared" si="2"/>
        <v>1000</v>
      </c>
    </row>
    <row r="44" spans="1:14" x14ac:dyDescent="0.3">
      <c r="A44" s="32" t="s">
        <v>408</v>
      </c>
      <c r="B44" s="29">
        <v>1</v>
      </c>
      <c r="C44" s="29">
        <v>2</v>
      </c>
      <c r="D44" s="29">
        <v>0</v>
      </c>
      <c r="E44" s="29">
        <v>0</v>
      </c>
      <c r="F44" s="29">
        <v>0</v>
      </c>
      <c r="G44" s="29">
        <v>0</v>
      </c>
      <c r="H44" s="49">
        <v>0</v>
      </c>
      <c r="I44" s="55">
        <f t="shared" si="2"/>
        <v>0</v>
      </c>
    </row>
    <row r="45" spans="1:14" x14ac:dyDescent="0.3">
      <c r="A45" s="32" t="s">
        <v>409</v>
      </c>
      <c r="B45" s="29">
        <v>1</v>
      </c>
      <c r="C45" s="29">
        <v>0</v>
      </c>
      <c r="D45" s="29">
        <v>0</v>
      </c>
      <c r="E45" s="29">
        <v>0</v>
      </c>
      <c r="F45" s="29">
        <v>0</v>
      </c>
      <c r="G45" s="29">
        <v>0</v>
      </c>
      <c r="H45" s="49">
        <v>0</v>
      </c>
      <c r="I45" s="55">
        <f t="shared" si="2"/>
        <v>0</v>
      </c>
    </row>
    <row r="46" spans="1:14" x14ac:dyDescent="0.3">
      <c r="A46" s="32" t="s">
        <v>410</v>
      </c>
      <c r="B46" s="27">
        <v>1</v>
      </c>
      <c r="C46" s="27">
        <v>0</v>
      </c>
      <c r="D46" s="27">
        <v>0</v>
      </c>
      <c r="E46" s="27">
        <v>0</v>
      </c>
      <c r="F46" s="27">
        <v>2</v>
      </c>
      <c r="G46" s="27">
        <v>0</v>
      </c>
      <c r="H46" s="49">
        <v>0</v>
      </c>
      <c r="I46" s="55">
        <f t="shared" si="2"/>
        <v>560</v>
      </c>
    </row>
    <row r="47" spans="1:14" x14ac:dyDescent="0.3">
      <c r="A47" s="26" t="s">
        <v>411</v>
      </c>
      <c r="B47" s="27">
        <v>0</v>
      </c>
      <c r="C47" s="27">
        <v>0</v>
      </c>
      <c r="D47" s="27">
        <v>0</v>
      </c>
      <c r="E47" s="27">
        <v>0</v>
      </c>
      <c r="F47" s="27">
        <v>2</v>
      </c>
      <c r="G47" s="27">
        <v>0</v>
      </c>
      <c r="H47" s="49">
        <v>0</v>
      </c>
      <c r="I47" s="55">
        <f t="shared" si="2"/>
        <v>560</v>
      </c>
    </row>
    <row r="48" spans="1:14" x14ac:dyDescent="0.3">
      <c r="A48" s="26" t="s">
        <v>412</v>
      </c>
      <c r="B48" s="27">
        <v>2</v>
      </c>
      <c r="C48" s="27">
        <v>2</v>
      </c>
      <c r="D48" s="27">
        <v>12</v>
      </c>
      <c r="E48" s="27">
        <v>0</v>
      </c>
      <c r="F48" s="27">
        <v>0</v>
      </c>
      <c r="G48" s="27">
        <v>0</v>
      </c>
      <c r="H48" s="49">
        <v>0</v>
      </c>
      <c r="I48" s="55">
        <f t="shared" si="2"/>
        <v>1200</v>
      </c>
    </row>
    <row r="49" spans="1:9" x14ac:dyDescent="0.3">
      <c r="A49" s="26" t="s">
        <v>413</v>
      </c>
      <c r="B49" s="27">
        <v>0</v>
      </c>
      <c r="C49" s="27">
        <v>0</v>
      </c>
      <c r="D49" s="27">
        <v>0</v>
      </c>
      <c r="E49" s="27">
        <v>0</v>
      </c>
      <c r="F49" s="27">
        <v>0</v>
      </c>
      <c r="G49" s="27">
        <v>0</v>
      </c>
      <c r="H49" s="49">
        <v>0</v>
      </c>
      <c r="I49" s="55">
        <f t="shared" si="2"/>
        <v>0</v>
      </c>
    </row>
    <row r="50" spans="1:9" x14ac:dyDescent="0.3">
      <c r="A50" s="26" t="s">
        <v>414</v>
      </c>
      <c r="B50" s="27">
        <v>2</v>
      </c>
      <c r="C50" s="27">
        <v>2</v>
      </c>
      <c r="D50" s="27">
        <v>0</v>
      </c>
      <c r="E50" s="27">
        <v>0</v>
      </c>
      <c r="F50" s="27">
        <v>0</v>
      </c>
      <c r="G50" s="27">
        <v>0</v>
      </c>
      <c r="H50" s="49">
        <v>0</v>
      </c>
      <c r="I50" s="55">
        <f t="shared" si="2"/>
        <v>0</v>
      </c>
    </row>
    <row r="51" spans="1:9" x14ac:dyDescent="0.3">
      <c r="A51" s="26" t="s">
        <v>415</v>
      </c>
      <c r="B51" s="27">
        <v>2</v>
      </c>
      <c r="C51" s="27">
        <v>2</v>
      </c>
      <c r="D51" s="27">
        <v>0</v>
      </c>
      <c r="E51" s="27">
        <v>1</v>
      </c>
      <c r="F51" s="27">
        <v>0</v>
      </c>
      <c r="G51" s="27">
        <v>0</v>
      </c>
      <c r="H51" s="49">
        <v>0</v>
      </c>
      <c r="I51" s="55">
        <f t="shared" si="2"/>
        <v>560</v>
      </c>
    </row>
    <row r="52" spans="1:9" x14ac:dyDescent="0.3">
      <c r="A52" s="26" t="s">
        <v>416</v>
      </c>
      <c r="B52" s="27">
        <v>2</v>
      </c>
      <c r="C52" s="27">
        <v>2</v>
      </c>
      <c r="D52" s="27">
        <v>0</v>
      </c>
      <c r="E52" s="27">
        <v>0</v>
      </c>
      <c r="F52" s="27">
        <v>0</v>
      </c>
      <c r="G52" s="27">
        <v>0</v>
      </c>
      <c r="H52" s="49">
        <v>0</v>
      </c>
      <c r="I52" s="55">
        <f t="shared" si="2"/>
        <v>0</v>
      </c>
    </row>
    <row r="53" spans="1:9" x14ac:dyDescent="0.3">
      <c r="A53" s="26" t="s">
        <v>417</v>
      </c>
      <c r="B53" s="27">
        <v>2</v>
      </c>
      <c r="C53" s="27">
        <v>2</v>
      </c>
      <c r="D53" s="27">
        <v>0</v>
      </c>
      <c r="E53" s="27">
        <v>0</v>
      </c>
      <c r="F53" s="27">
        <v>0</v>
      </c>
      <c r="G53" s="27">
        <v>0</v>
      </c>
      <c r="H53" s="49">
        <v>0</v>
      </c>
      <c r="I53" s="55">
        <f t="shared" si="2"/>
        <v>0</v>
      </c>
    </row>
    <row r="54" spans="1:9" x14ac:dyDescent="0.3">
      <c r="A54" s="32" t="s">
        <v>418</v>
      </c>
      <c r="B54" s="27">
        <v>1</v>
      </c>
      <c r="C54" s="27">
        <v>0</v>
      </c>
      <c r="D54" s="27">
        <v>0</v>
      </c>
      <c r="E54" s="27">
        <v>0</v>
      </c>
      <c r="F54" s="27">
        <v>0</v>
      </c>
      <c r="G54" s="27">
        <v>0</v>
      </c>
      <c r="H54" s="49">
        <v>0</v>
      </c>
      <c r="I54" s="55">
        <f t="shared" si="2"/>
        <v>0</v>
      </c>
    </row>
    <row r="55" spans="1:9" x14ac:dyDescent="0.3">
      <c r="A55" s="26" t="s">
        <v>419</v>
      </c>
      <c r="B55" s="27">
        <v>1</v>
      </c>
      <c r="C55" s="27">
        <v>0</v>
      </c>
      <c r="D55" s="27">
        <v>0</v>
      </c>
      <c r="E55" s="27">
        <v>0</v>
      </c>
      <c r="F55" s="27">
        <v>0</v>
      </c>
      <c r="G55" s="27">
        <v>0</v>
      </c>
      <c r="H55" s="49">
        <v>0</v>
      </c>
      <c r="I55" s="55">
        <f t="shared" si="2"/>
        <v>0</v>
      </c>
    </row>
    <row r="56" spans="1:9" x14ac:dyDescent="0.3">
      <c r="A56" s="26" t="s">
        <v>420</v>
      </c>
      <c r="B56" s="27">
        <v>2</v>
      </c>
      <c r="C56" s="27">
        <v>0</v>
      </c>
      <c r="D56" s="27">
        <v>0</v>
      </c>
      <c r="E56" s="27">
        <v>0</v>
      </c>
      <c r="F56" s="27">
        <v>0</v>
      </c>
      <c r="G56" s="27">
        <v>0</v>
      </c>
      <c r="H56" s="49">
        <v>0</v>
      </c>
      <c r="I56" s="55">
        <f t="shared" si="2"/>
        <v>0</v>
      </c>
    </row>
    <row r="57" spans="1:9" x14ac:dyDescent="0.3">
      <c r="A57" s="26" t="s">
        <v>421</v>
      </c>
      <c r="B57" s="27">
        <v>2</v>
      </c>
      <c r="C57" s="27">
        <v>0</v>
      </c>
      <c r="D57" s="27">
        <v>0</v>
      </c>
      <c r="E57" s="27">
        <v>0</v>
      </c>
      <c r="F57" s="27">
        <v>0</v>
      </c>
      <c r="G57" s="27">
        <v>0</v>
      </c>
      <c r="H57" s="49">
        <v>0</v>
      </c>
      <c r="I57" s="55">
        <f t="shared" si="2"/>
        <v>0</v>
      </c>
    </row>
    <row r="58" spans="1:9" x14ac:dyDescent="0.3">
      <c r="A58" s="38" t="s">
        <v>422</v>
      </c>
      <c r="B58" s="29">
        <v>1</v>
      </c>
      <c r="C58" s="29">
        <v>0</v>
      </c>
      <c r="D58" s="29">
        <v>0</v>
      </c>
      <c r="E58" s="29">
        <v>0</v>
      </c>
      <c r="F58" s="29">
        <v>2</v>
      </c>
      <c r="G58" s="29">
        <v>0</v>
      </c>
      <c r="H58" s="49">
        <v>0</v>
      </c>
      <c r="I58" s="55">
        <f t="shared" si="2"/>
        <v>560</v>
      </c>
    </row>
    <row r="59" spans="1:9" x14ac:dyDescent="0.3">
      <c r="A59" s="38" t="s">
        <v>423</v>
      </c>
      <c r="B59" s="29">
        <v>1</v>
      </c>
      <c r="C59" s="29">
        <v>0</v>
      </c>
      <c r="D59" s="29">
        <v>0</v>
      </c>
      <c r="E59" s="29">
        <v>0</v>
      </c>
      <c r="F59" s="29">
        <v>0</v>
      </c>
      <c r="G59" s="29">
        <v>0</v>
      </c>
      <c r="H59" s="49">
        <v>0</v>
      </c>
      <c r="I59" s="55">
        <f t="shared" si="2"/>
        <v>0</v>
      </c>
    </row>
    <row r="60" spans="1:9" x14ac:dyDescent="0.3">
      <c r="A60" s="38" t="s">
        <v>424</v>
      </c>
      <c r="B60" s="27">
        <v>1</v>
      </c>
      <c r="C60" s="27">
        <v>0</v>
      </c>
      <c r="D60" s="27">
        <v>0</v>
      </c>
      <c r="E60" s="27">
        <v>0</v>
      </c>
      <c r="F60" s="27">
        <v>2</v>
      </c>
      <c r="G60" s="27">
        <v>0</v>
      </c>
      <c r="H60" s="49">
        <v>0</v>
      </c>
      <c r="I60" s="55">
        <f t="shared" si="2"/>
        <v>560</v>
      </c>
    </row>
    <row r="61" spans="1:9" x14ac:dyDescent="0.3">
      <c r="A61" s="31" t="s">
        <v>425</v>
      </c>
      <c r="B61" s="27">
        <v>1</v>
      </c>
      <c r="C61" s="27">
        <v>0</v>
      </c>
      <c r="D61" s="27">
        <v>2</v>
      </c>
      <c r="E61" s="27">
        <v>0</v>
      </c>
      <c r="F61" s="27">
        <v>0</v>
      </c>
      <c r="G61" s="27">
        <v>0</v>
      </c>
      <c r="H61" s="49">
        <v>0</v>
      </c>
      <c r="I61" s="55">
        <f t="shared" si="2"/>
        <v>200</v>
      </c>
    </row>
    <row r="62" spans="1:9" x14ac:dyDescent="0.3">
      <c r="A62" s="31" t="s">
        <v>426</v>
      </c>
      <c r="B62" s="27">
        <v>2</v>
      </c>
      <c r="C62" s="27">
        <v>2</v>
      </c>
      <c r="D62" s="27">
        <v>0</v>
      </c>
      <c r="E62" s="27">
        <v>0</v>
      </c>
      <c r="F62" s="27">
        <v>0</v>
      </c>
      <c r="G62" s="27">
        <v>2</v>
      </c>
      <c r="H62" s="49">
        <v>0</v>
      </c>
      <c r="I62" s="55">
        <f t="shared" si="2"/>
        <v>650</v>
      </c>
    </row>
    <row r="63" spans="1:9" x14ac:dyDescent="0.3">
      <c r="A63" s="30" t="s">
        <v>427</v>
      </c>
      <c r="B63" s="29">
        <v>2</v>
      </c>
      <c r="C63" s="29">
        <v>2</v>
      </c>
      <c r="D63" s="29">
        <v>0</v>
      </c>
      <c r="E63" s="29">
        <v>1</v>
      </c>
      <c r="F63" s="29">
        <v>0</v>
      </c>
      <c r="G63" s="29">
        <v>2</v>
      </c>
      <c r="H63" s="50">
        <v>0</v>
      </c>
      <c r="I63" s="55">
        <f t="shared" si="2"/>
        <v>1210</v>
      </c>
    </row>
    <row r="64" spans="1:9" x14ac:dyDescent="0.3">
      <c r="A64" s="30" t="s">
        <v>428</v>
      </c>
      <c r="B64" s="29">
        <v>2</v>
      </c>
      <c r="C64" s="29">
        <v>2</v>
      </c>
      <c r="D64" s="29">
        <v>0</v>
      </c>
      <c r="E64" s="29">
        <v>1</v>
      </c>
      <c r="F64" s="29">
        <v>0</v>
      </c>
      <c r="G64" s="29">
        <v>0</v>
      </c>
      <c r="H64" s="50">
        <v>0</v>
      </c>
      <c r="I64" s="55">
        <f t="shared" si="2"/>
        <v>560</v>
      </c>
    </row>
    <row r="65" spans="1:9" x14ac:dyDescent="0.3">
      <c r="A65" s="30" t="s">
        <v>429</v>
      </c>
      <c r="B65" s="29">
        <v>2</v>
      </c>
      <c r="C65" s="29">
        <v>2</v>
      </c>
      <c r="D65" s="29">
        <v>0</v>
      </c>
      <c r="E65" s="29">
        <v>1</v>
      </c>
      <c r="F65" s="29">
        <v>0</v>
      </c>
      <c r="G65" s="29">
        <v>0</v>
      </c>
      <c r="H65" s="50">
        <v>1</v>
      </c>
      <c r="I65" s="55">
        <f t="shared" si="2"/>
        <v>885</v>
      </c>
    </row>
    <row r="66" spans="1:9" x14ac:dyDescent="0.3">
      <c r="A66" s="30" t="s">
        <v>430</v>
      </c>
      <c r="B66" s="29">
        <v>2</v>
      </c>
      <c r="C66" s="29">
        <v>2</v>
      </c>
      <c r="D66" s="29">
        <v>0</v>
      </c>
      <c r="E66" s="29">
        <v>1</v>
      </c>
      <c r="F66" s="29">
        <v>0</v>
      </c>
      <c r="G66" s="29">
        <v>0</v>
      </c>
      <c r="H66" s="50">
        <v>2</v>
      </c>
      <c r="I66" s="55">
        <f t="shared" si="2"/>
        <v>1210</v>
      </c>
    </row>
    <row r="67" spans="1:9" x14ac:dyDescent="0.3">
      <c r="A67" s="30" t="s">
        <v>431</v>
      </c>
      <c r="B67" s="29">
        <v>2</v>
      </c>
      <c r="C67" s="29">
        <v>2</v>
      </c>
      <c r="D67" s="29">
        <v>0</v>
      </c>
      <c r="E67" s="29">
        <v>1</v>
      </c>
      <c r="F67" s="29">
        <v>0</v>
      </c>
      <c r="G67" s="29">
        <v>0</v>
      </c>
      <c r="H67" s="50">
        <v>2</v>
      </c>
      <c r="I67" s="55">
        <f t="shared" si="2"/>
        <v>1210</v>
      </c>
    </row>
    <row r="68" spans="1:9" x14ac:dyDescent="0.3">
      <c r="A68" s="30" t="s">
        <v>432</v>
      </c>
      <c r="B68" s="29">
        <v>2</v>
      </c>
      <c r="C68" s="29">
        <v>2</v>
      </c>
      <c r="D68" s="29">
        <v>0</v>
      </c>
      <c r="E68" s="29">
        <v>1</v>
      </c>
      <c r="F68" s="29">
        <v>0</v>
      </c>
      <c r="G68" s="29">
        <v>0</v>
      </c>
      <c r="H68" s="50">
        <v>3</v>
      </c>
      <c r="I68" s="55">
        <f t="shared" ref="I68:I86" si="3">($D$1*D68)+(E68*$E$1)+(F68*$F$1)+(G68*$G$1)+(H68*$H$1)</f>
        <v>1535</v>
      </c>
    </row>
    <row r="69" spans="1:9" x14ac:dyDescent="0.3">
      <c r="A69" s="31" t="s">
        <v>433</v>
      </c>
      <c r="B69" s="27">
        <v>2</v>
      </c>
      <c r="C69" s="27">
        <v>2</v>
      </c>
      <c r="D69" s="27">
        <v>0</v>
      </c>
      <c r="E69" s="27">
        <v>1</v>
      </c>
      <c r="F69" s="27">
        <v>0</v>
      </c>
      <c r="G69" s="27">
        <v>0</v>
      </c>
      <c r="H69" s="49">
        <v>4</v>
      </c>
      <c r="I69" s="55">
        <f t="shared" si="3"/>
        <v>1860</v>
      </c>
    </row>
    <row r="70" spans="1:9" x14ac:dyDescent="0.3">
      <c r="A70" s="26" t="s">
        <v>434</v>
      </c>
      <c r="B70" s="27">
        <v>2</v>
      </c>
      <c r="C70" s="27">
        <v>2</v>
      </c>
      <c r="D70" s="27">
        <v>0</v>
      </c>
      <c r="E70" s="27">
        <v>0</v>
      </c>
      <c r="F70" s="27">
        <v>0</v>
      </c>
      <c r="G70" s="27">
        <v>4</v>
      </c>
      <c r="H70" s="49">
        <v>0</v>
      </c>
      <c r="I70" s="55">
        <f t="shared" si="3"/>
        <v>1300</v>
      </c>
    </row>
    <row r="71" spans="1:9" x14ac:dyDescent="0.3">
      <c r="A71" s="31" t="s">
        <v>435</v>
      </c>
      <c r="B71" s="27">
        <v>2</v>
      </c>
      <c r="C71" s="27">
        <v>2</v>
      </c>
      <c r="D71" s="27">
        <v>0</v>
      </c>
      <c r="E71" s="27">
        <v>0</v>
      </c>
      <c r="F71" s="27">
        <v>0</v>
      </c>
      <c r="G71" s="27">
        <v>4</v>
      </c>
      <c r="H71" s="49">
        <v>1</v>
      </c>
      <c r="I71" s="55">
        <f t="shared" si="3"/>
        <v>1625</v>
      </c>
    </row>
    <row r="72" spans="1:9" x14ac:dyDescent="0.3">
      <c r="A72" s="26" t="s">
        <v>436</v>
      </c>
      <c r="B72" s="27">
        <v>2</v>
      </c>
      <c r="C72" s="27">
        <v>2</v>
      </c>
      <c r="D72" s="27">
        <v>0</v>
      </c>
      <c r="E72" s="27">
        <v>0</v>
      </c>
      <c r="F72" s="27">
        <v>0</v>
      </c>
      <c r="G72" s="27">
        <v>4</v>
      </c>
      <c r="H72" s="50">
        <v>2</v>
      </c>
      <c r="I72" s="55">
        <f t="shared" si="3"/>
        <v>1950</v>
      </c>
    </row>
    <row r="73" spans="1:9" x14ac:dyDescent="0.3">
      <c r="A73" s="31" t="s">
        <v>437</v>
      </c>
      <c r="B73" s="27">
        <v>2</v>
      </c>
      <c r="C73" s="27">
        <v>2</v>
      </c>
      <c r="D73" s="27">
        <v>0</v>
      </c>
      <c r="E73" s="27">
        <v>0</v>
      </c>
      <c r="F73" s="27">
        <v>0</v>
      </c>
      <c r="G73" s="27">
        <v>4</v>
      </c>
      <c r="H73" s="49">
        <v>2</v>
      </c>
      <c r="I73" s="55">
        <f t="shared" si="3"/>
        <v>1950</v>
      </c>
    </row>
    <row r="74" spans="1:9" x14ac:dyDescent="0.3">
      <c r="A74" s="26" t="s">
        <v>438</v>
      </c>
      <c r="B74" s="27">
        <v>2</v>
      </c>
      <c r="C74" s="27">
        <v>2</v>
      </c>
      <c r="D74" s="27">
        <v>0</v>
      </c>
      <c r="E74" s="27">
        <v>0</v>
      </c>
      <c r="F74" s="27">
        <v>0</v>
      </c>
      <c r="G74" s="27">
        <v>4</v>
      </c>
      <c r="H74" s="50">
        <v>3</v>
      </c>
      <c r="I74" s="55">
        <f t="shared" si="3"/>
        <v>2275</v>
      </c>
    </row>
    <row r="75" spans="1:9" x14ac:dyDescent="0.3">
      <c r="A75" s="26" t="s">
        <v>439</v>
      </c>
      <c r="B75" s="27">
        <v>2</v>
      </c>
      <c r="C75" s="27">
        <v>2</v>
      </c>
      <c r="D75" s="27">
        <v>0</v>
      </c>
      <c r="E75" s="27">
        <v>0</v>
      </c>
      <c r="F75" s="27">
        <v>0</v>
      </c>
      <c r="G75" s="27">
        <v>4</v>
      </c>
      <c r="H75" s="50">
        <v>4</v>
      </c>
      <c r="I75" s="55">
        <f t="shared" si="3"/>
        <v>2600</v>
      </c>
    </row>
    <row r="76" spans="1:9" x14ac:dyDescent="0.3">
      <c r="A76" s="26" t="s">
        <v>440</v>
      </c>
      <c r="B76" s="27">
        <v>1</v>
      </c>
      <c r="C76" s="27">
        <v>0</v>
      </c>
      <c r="D76" s="27">
        <v>0</v>
      </c>
      <c r="E76" s="27">
        <v>0</v>
      </c>
      <c r="F76" s="27">
        <v>0</v>
      </c>
      <c r="G76" s="27">
        <v>0</v>
      </c>
      <c r="H76" s="49">
        <v>0</v>
      </c>
      <c r="I76" s="55">
        <f t="shared" si="3"/>
        <v>0</v>
      </c>
    </row>
    <row r="77" spans="1:9" x14ac:dyDescent="0.3">
      <c r="A77" s="26" t="s">
        <v>441</v>
      </c>
      <c r="B77" s="27">
        <v>1</v>
      </c>
      <c r="C77" s="27">
        <v>0</v>
      </c>
      <c r="D77" s="27">
        <v>6</v>
      </c>
      <c r="E77" s="27">
        <v>1</v>
      </c>
      <c r="F77" s="27">
        <v>0</v>
      </c>
      <c r="G77" s="27">
        <v>0</v>
      </c>
      <c r="H77" s="49">
        <v>0</v>
      </c>
      <c r="I77" s="55">
        <f t="shared" si="3"/>
        <v>1160</v>
      </c>
    </row>
    <row r="78" spans="1:9" x14ac:dyDescent="0.3">
      <c r="A78" s="26" t="s">
        <v>442</v>
      </c>
      <c r="B78" s="27">
        <v>0</v>
      </c>
      <c r="C78" s="27">
        <v>0</v>
      </c>
      <c r="D78" s="27">
        <v>0</v>
      </c>
      <c r="E78" s="27">
        <v>0</v>
      </c>
      <c r="F78" s="27">
        <v>0</v>
      </c>
      <c r="G78" s="27">
        <v>0</v>
      </c>
      <c r="H78" s="49">
        <v>0</v>
      </c>
      <c r="I78" s="55">
        <f t="shared" si="3"/>
        <v>0</v>
      </c>
    </row>
    <row r="79" spans="1:9" x14ac:dyDescent="0.3">
      <c r="A79" s="31" t="s">
        <v>443</v>
      </c>
      <c r="B79" s="27">
        <v>1</v>
      </c>
      <c r="C79" s="27">
        <v>2</v>
      </c>
      <c r="D79" s="27">
        <v>8</v>
      </c>
      <c r="E79" s="27">
        <v>0</v>
      </c>
      <c r="F79" s="27">
        <v>0</v>
      </c>
      <c r="G79" s="27">
        <v>0</v>
      </c>
      <c r="H79" s="49">
        <v>0</v>
      </c>
      <c r="I79" s="55">
        <f t="shared" si="3"/>
        <v>800</v>
      </c>
    </row>
    <row r="80" spans="1:9" x14ac:dyDescent="0.3">
      <c r="A80" s="31" t="s">
        <v>444</v>
      </c>
      <c r="B80" s="27">
        <v>1</v>
      </c>
      <c r="C80" s="27">
        <v>2</v>
      </c>
      <c r="D80" s="27">
        <v>6</v>
      </c>
      <c r="E80" s="27">
        <v>0</v>
      </c>
      <c r="F80" s="27">
        <v>0</v>
      </c>
      <c r="G80" s="27">
        <v>0</v>
      </c>
      <c r="H80" s="49">
        <v>0</v>
      </c>
      <c r="I80" s="55">
        <f t="shared" si="3"/>
        <v>600</v>
      </c>
    </row>
    <row r="81" spans="1:9" x14ac:dyDescent="0.3">
      <c r="A81" s="30" t="s">
        <v>445</v>
      </c>
      <c r="B81" s="29">
        <v>1</v>
      </c>
      <c r="C81" s="29">
        <v>2</v>
      </c>
      <c r="D81" s="29">
        <v>4</v>
      </c>
      <c r="E81" s="29">
        <v>0</v>
      </c>
      <c r="F81" s="29">
        <v>1</v>
      </c>
      <c r="G81" s="29">
        <v>0</v>
      </c>
      <c r="H81" s="49">
        <v>0</v>
      </c>
      <c r="I81" s="55">
        <f t="shared" si="3"/>
        <v>680</v>
      </c>
    </row>
    <row r="82" spans="1:9" x14ac:dyDescent="0.3">
      <c r="A82" s="30" t="s">
        <v>446</v>
      </c>
      <c r="B82" s="29">
        <v>1</v>
      </c>
      <c r="C82" s="29">
        <v>2</v>
      </c>
      <c r="D82" s="29">
        <v>4</v>
      </c>
      <c r="E82" s="29">
        <v>0</v>
      </c>
      <c r="F82" s="29">
        <v>0</v>
      </c>
      <c r="G82" s="29">
        <v>0</v>
      </c>
      <c r="H82" s="50">
        <v>0</v>
      </c>
      <c r="I82" s="55">
        <f t="shared" si="3"/>
        <v>400</v>
      </c>
    </row>
    <row r="83" spans="1:9" x14ac:dyDescent="0.3">
      <c r="A83" s="36" t="s">
        <v>447</v>
      </c>
      <c r="B83" s="29">
        <v>1</v>
      </c>
      <c r="C83" s="29">
        <v>0</v>
      </c>
      <c r="D83" s="29">
        <v>0</v>
      </c>
      <c r="E83" s="29">
        <v>0</v>
      </c>
      <c r="F83" s="29">
        <v>0</v>
      </c>
      <c r="G83" s="29">
        <v>0</v>
      </c>
      <c r="H83" s="50">
        <v>0</v>
      </c>
      <c r="I83" s="55">
        <f t="shared" si="3"/>
        <v>0</v>
      </c>
    </row>
    <row r="84" spans="1:9" x14ac:dyDescent="0.3">
      <c r="A84" s="32" t="s">
        <v>448</v>
      </c>
      <c r="B84" s="27">
        <v>1</v>
      </c>
      <c r="C84" s="27">
        <v>0</v>
      </c>
      <c r="D84" s="27">
        <v>0</v>
      </c>
      <c r="E84" s="27">
        <v>0</v>
      </c>
      <c r="F84" s="27">
        <v>0</v>
      </c>
      <c r="G84" s="27">
        <v>0</v>
      </c>
      <c r="H84" s="49">
        <v>0</v>
      </c>
      <c r="I84" s="55">
        <f t="shared" si="3"/>
        <v>0</v>
      </c>
    </row>
    <row r="85" spans="1:9" x14ac:dyDescent="0.3">
      <c r="A85" s="39" t="s">
        <v>449</v>
      </c>
      <c r="B85" s="40">
        <v>1</v>
      </c>
      <c r="C85" s="40">
        <v>0</v>
      </c>
      <c r="D85" s="40">
        <v>0</v>
      </c>
      <c r="E85" s="40">
        <v>0</v>
      </c>
      <c r="F85" s="40">
        <v>0</v>
      </c>
      <c r="G85" s="40">
        <v>0</v>
      </c>
      <c r="H85" s="52">
        <v>0</v>
      </c>
      <c r="I85" s="55">
        <f t="shared" si="3"/>
        <v>0</v>
      </c>
    </row>
    <row r="86" spans="1:9" ht="15" thickBot="1" x14ac:dyDescent="0.35">
      <c r="A86" s="41" t="s">
        <v>450</v>
      </c>
      <c r="B86" s="42">
        <v>1</v>
      </c>
      <c r="C86" s="42">
        <v>0</v>
      </c>
      <c r="D86" s="43">
        <v>4</v>
      </c>
      <c r="E86" s="42">
        <v>0</v>
      </c>
      <c r="F86" s="42">
        <v>0</v>
      </c>
      <c r="G86" s="42">
        <v>0</v>
      </c>
      <c r="H86" s="53">
        <v>0</v>
      </c>
      <c r="I86" s="55">
        <f t="shared" si="3"/>
        <v>400</v>
      </c>
    </row>
  </sheetData>
  <mergeCells count="2">
    <mergeCell ref="K1:N1"/>
    <mergeCell ref="K34:M34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9119B-787A-4F42-B6A1-2975EC74FC0F}">
  <sheetPr codeName="Hoja10"/>
  <dimension ref="A1:I43"/>
  <sheetViews>
    <sheetView workbookViewId="0">
      <selection activeCell="A24" sqref="A24"/>
    </sheetView>
  </sheetViews>
  <sheetFormatPr baseColWidth="10" defaultColWidth="11.44140625" defaultRowHeight="14.4" x14ac:dyDescent="0.3"/>
  <cols>
    <col min="1" max="1" width="47.5546875" customWidth="1"/>
    <col min="3" max="3" width="9.88671875" customWidth="1"/>
    <col min="6" max="6" width="22.33203125" customWidth="1"/>
    <col min="8" max="8" width="12.109375" customWidth="1"/>
    <col min="9" max="9" width="19.6640625" customWidth="1"/>
  </cols>
  <sheetData>
    <row r="1" spans="1:9" ht="15.6" x14ac:dyDescent="0.3">
      <c r="A1" s="56" t="s">
        <v>451</v>
      </c>
      <c r="B1" s="57" t="s">
        <v>452</v>
      </c>
      <c r="C1" s="58" t="s">
        <v>453</v>
      </c>
    </row>
    <row r="2" spans="1:9" x14ac:dyDescent="0.3">
      <c r="A2" s="59" t="s">
        <v>454</v>
      </c>
      <c r="B2" s="60">
        <v>15000</v>
      </c>
      <c r="C2" s="61" t="s">
        <v>455</v>
      </c>
    </row>
    <row r="3" spans="1:9" x14ac:dyDescent="0.3">
      <c r="A3" s="59" t="s">
        <v>456</v>
      </c>
      <c r="B3" s="60">
        <v>11050</v>
      </c>
      <c r="C3" s="61" t="s">
        <v>457</v>
      </c>
    </row>
    <row r="4" spans="1:9" x14ac:dyDescent="0.3">
      <c r="A4" s="59" t="s">
        <v>34</v>
      </c>
      <c r="B4" s="60">
        <v>3500</v>
      </c>
      <c r="C4" s="61" t="s">
        <v>457</v>
      </c>
    </row>
    <row r="5" spans="1:9" x14ac:dyDescent="0.3">
      <c r="A5" s="59" t="s">
        <v>30</v>
      </c>
      <c r="B5" s="60">
        <v>2200</v>
      </c>
      <c r="C5" s="61" t="s">
        <v>458</v>
      </c>
    </row>
    <row r="6" spans="1:9" x14ac:dyDescent="0.3">
      <c r="A6" s="59" t="s">
        <v>459</v>
      </c>
      <c r="B6" s="60">
        <v>1950</v>
      </c>
      <c r="C6" s="61" t="s">
        <v>458</v>
      </c>
    </row>
    <row r="7" spans="1:9" x14ac:dyDescent="0.3">
      <c r="A7" s="62" t="s">
        <v>460</v>
      </c>
      <c r="B7" s="63">
        <v>2800</v>
      </c>
      <c r="C7" s="61" t="s">
        <v>458</v>
      </c>
      <c r="F7" s="120" t="s">
        <v>81</v>
      </c>
      <c r="G7" s="121"/>
      <c r="H7" s="121"/>
      <c r="I7" s="122"/>
    </row>
    <row r="8" spans="1:9" x14ac:dyDescent="0.3">
      <c r="A8" s="62" t="s">
        <v>461</v>
      </c>
      <c r="B8" s="63">
        <v>7100</v>
      </c>
      <c r="C8" s="61" t="s">
        <v>458</v>
      </c>
      <c r="F8" s="93" t="s">
        <v>83</v>
      </c>
      <c r="G8" s="2" t="s">
        <v>2</v>
      </c>
      <c r="H8" s="2" t="s">
        <v>84</v>
      </c>
      <c r="I8" s="2" t="s">
        <v>462</v>
      </c>
    </row>
    <row r="9" spans="1:9" x14ac:dyDescent="0.3">
      <c r="A9" s="62" t="s">
        <v>28</v>
      </c>
      <c r="B9" s="63">
        <v>7300</v>
      </c>
      <c r="C9" s="61" t="s">
        <v>458</v>
      </c>
      <c r="F9" s="2" t="str" cm="1">
        <f t="array" ref="F9:F15">_xlfn.UNIQUE(_xlfn._xlws.FILTER(cotizador!J14:J31,COUNTIF(Armado!A:A,cotizador!J14:J31)&gt;0,""))</f>
        <v>BAÑO SIN ESPALDAR Y SIN CAJÓN - UND</v>
      </c>
      <c r="G9" s="2">
        <f>IF(SUMIF(cotizador!J14:J31, Armado!F9, cotizador!K14:K31)=0,"",SUMIF(cotizador!J14:J31, Armado!F9, cotizador!K14:K31))</f>
        <v>5</v>
      </c>
      <c r="H9" s="12">
        <f>IF(SUMIF($A$2:$A$43,  F9, $B$2:$B$43)=0,"",SUMIF($A$2:$A$43,  F9, $B$2:$B$43))</f>
        <v>7000</v>
      </c>
      <c r="I9" s="12">
        <f>IFERROR(G9*H9,"")</f>
        <v>35000</v>
      </c>
    </row>
    <row r="10" spans="1:9" x14ac:dyDescent="0.3">
      <c r="A10" s="62" t="s">
        <v>463</v>
      </c>
      <c r="B10" s="63">
        <v>10600</v>
      </c>
      <c r="C10" s="61" t="s">
        <v>458</v>
      </c>
      <c r="F10" s="2" t="str">
        <v>ZURRÓN 1 CAJÓN - UND</v>
      </c>
      <c r="G10" s="2">
        <f>IF(SUMIF(cotizador!J15:J32, Armado!F10, cotizador!K15:K32)=0,"",SUMIF(cotizador!J15:J32, Armado!F10, cotizador!K15:K32))</f>
        <v>3</v>
      </c>
      <c r="H10" s="12">
        <f t="shared" ref="H10:H27" si="0">IF(SUMIF($A$2:$A$43,  F10, $B$2:$B$43)=0,"",SUMIF($A$2:$A$43,  F10, $B$2:$B$43))</f>
        <v>7300</v>
      </c>
      <c r="I10" s="12">
        <f t="shared" ref="I10:I27" si="1">IFERROR(G10*H10,"")</f>
        <v>21900</v>
      </c>
    </row>
    <row r="11" spans="1:9" x14ac:dyDescent="0.3">
      <c r="A11" s="62" t="s">
        <v>27</v>
      </c>
      <c r="B11" s="63">
        <v>14100</v>
      </c>
      <c r="C11" s="61" t="s">
        <v>458</v>
      </c>
      <c r="F11" s="2" t="str">
        <v>EMBISAGRADOR W - UND</v>
      </c>
      <c r="G11" s="2">
        <f>IF(SUMIF(cotizador!J16:J33, Armado!F11, cotizador!K16:K33)=0,"",SUMIF(cotizador!J16:J33, Armado!F11, cotizador!K16:K33))</f>
        <v>2</v>
      </c>
      <c r="H11" s="12">
        <f t="shared" si="0"/>
        <v>2200</v>
      </c>
      <c r="I11" s="12">
        <f t="shared" si="1"/>
        <v>4400</v>
      </c>
    </row>
    <row r="12" spans="1:9" x14ac:dyDescent="0.3">
      <c r="A12" s="62" t="s">
        <v>464</v>
      </c>
      <c r="B12" s="63">
        <v>18450</v>
      </c>
      <c r="C12" s="61" t="s">
        <v>458</v>
      </c>
      <c r="F12" s="2" t="str">
        <v>ZURRÓN 3 CAJONES - UND</v>
      </c>
      <c r="G12" s="2">
        <f>IF(SUMIF(cotizador!J17:J34, Armado!F12, cotizador!K17:K34)=0,"",SUMIF(cotizador!J17:J34, Armado!F12, cotizador!K17:K34))</f>
        <v>2</v>
      </c>
      <c r="H12" s="12">
        <f t="shared" si="0"/>
        <v>14100</v>
      </c>
      <c r="I12" s="12">
        <f t="shared" si="1"/>
        <v>28200</v>
      </c>
    </row>
    <row r="13" spans="1:9" x14ac:dyDescent="0.3">
      <c r="A13" s="62" t="s">
        <v>465</v>
      </c>
      <c r="B13" s="63">
        <v>20000</v>
      </c>
      <c r="C13" s="61" t="s">
        <v>458</v>
      </c>
      <c r="F13" s="2" t="str">
        <v>ENTREPAÑO EN L COC - MTL</v>
      </c>
      <c r="G13" s="2">
        <f>IF(SUMIF(cotizador!J18:J35, Armado!F13, cotizador!K18:K35)=0,"",SUMIF(cotizador!J18:J35, Armado!F13, cotizador!K18:K35))</f>
        <v>3</v>
      </c>
      <c r="H13" s="12">
        <f t="shared" si="0"/>
        <v>3500</v>
      </c>
      <c r="I13" s="12">
        <f t="shared" si="1"/>
        <v>10500</v>
      </c>
    </row>
    <row r="14" spans="1:9" x14ac:dyDescent="0.3">
      <c r="A14" s="62" t="s">
        <v>466</v>
      </c>
      <c r="B14" s="63">
        <v>22600</v>
      </c>
      <c r="C14" s="61" t="s">
        <v>458</v>
      </c>
      <c r="F14" s="2" t="str">
        <v>EMBISAGRADOR , DINTEL O BASE - UND</v>
      </c>
      <c r="G14" s="2">
        <f>IF(SUMIF(cotizador!J19:J36, Armado!F14, cotizador!K19:K36)=0,"",SUMIF(cotizador!J19:J36, Armado!F14, cotizador!K19:K36))</f>
        <v>2</v>
      </c>
      <c r="H14" s="12">
        <f t="shared" si="0"/>
        <v>1050</v>
      </c>
      <c r="I14" s="12">
        <f t="shared" si="1"/>
        <v>2100</v>
      </c>
    </row>
    <row r="15" spans="1:9" x14ac:dyDescent="0.3">
      <c r="A15" s="59" t="s">
        <v>467</v>
      </c>
      <c r="B15" s="60">
        <v>1250</v>
      </c>
      <c r="C15" s="61" t="s">
        <v>458</v>
      </c>
      <c r="F15" s="2" t="str">
        <v>MARCO DILATADO SIN CABEZAL Y BATIENTE CENTRADA - UND</v>
      </c>
      <c r="G15" s="2">
        <f>IF(SUMIF(cotizador!J20:J37, Armado!F15, cotizador!K20:K37)=0,"",SUMIF(cotizador!J20:J37, Armado!F15, cotizador!K20:K37))</f>
        <v>10</v>
      </c>
      <c r="H15" s="12">
        <f t="shared" si="0"/>
        <v>4550</v>
      </c>
      <c r="I15" s="12">
        <f t="shared" si="1"/>
        <v>45500</v>
      </c>
    </row>
    <row r="16" spans="1:9" x14ac:dyDescent="0.3">
      <c r="A16" s="59" t="s">
        <v>468</v>
      </c>
      <c r="B16" s="60">
        <v>1350</v>
      </c>
      <c r="C16" s="61" t="s">
        <v>458</v>
      </c>
      <c r="F16" s="2"/>
      <c r="G16" s="2" t="str">
        <f>IF(SUMIF(cotizador!J21:J38, Armado!F16, cotizador!K21:K38)=0,"",SUMIF(cotizador!J21:J38, Armado!F16, cotizador!K21:K38))</f>
        <v/>
      </c>
      <c r="H16" s="12" t="str">
        <f t="shared" si="0"/>
        <v/>
      </c>
      <c r="I16" s="12" t="str">
        <f t="shared" si="1"/>
        <v/>
      </c>
    </row>
    <row r="17" spans="1:9" x14ac:dyDescent="0.3">
      <c r="A17" s="59" t="s">
        <v>469</v>
      </c>
      <c r="B17" s="60">
        <v>1500</v>
      </c>
      <c r="C17" s="61" t="s">
        <v>458</v>
      </c>
      <c r="F17" s="2"/>
      <c r="G17" s="2" t="str">
        <f>IF(SUMIF(cotizador!J22:J39, Armado!F17, cotizador!K22:K39)=0,"",SUMIF(cotizador!J22:J39, Armado!F17, cotizador!K22:K39))</f>
        <v/>
      </c>
      <c r="H17" s="12" t="str">
        <f t="shared" si="0"/>
        <v/>
      </c>
      <c r="I17" s="12" t="str">
        <f t="shared" si="1"/>
        <v/>
      </c>
    </row>
    <row r="18" spans="1:9" x14ac:dyDescent="0.3">
      <c r="A18" s="59" t="s">
        <v>470</v>
      </c>
      <c r="B18" s="60">
        <v>9150</v>
      </c>
      <c r="C18" s="61" t="s">
        <v>458</v>
      </c>
      <c r="F18" s="2"/>
      <c r="G18" s="2" t="str">
        <f>IF(SUMIF(cotizador!J23:J40, Armado!F18, cotizador!K23:K40)=0,"",SUMIF(cotizador!J23:J40, Armado!F18, cotizador!K23:K40))</f>
        <v/>
      </c>
      <c r="H18" s="12" t="str">
        <f t="shared" si="0"/>
        <v/>
      </c>
      <c r="I18" s="12" t="str">
        <f t="shared" si="1"/>
        <v/>
      </c>
    </row>
    <row r="19" spans="1:9" x14ac:dyDescent="0.3">
      <c r="A19" s="59" t="s">
        <v>35</v>
      </c>
      <c r="B19" s="60">
        <v>1050</v>
      </c>
      <c r="C19" s="61" t="s">
        <v>458</v>
      </c>
      <c r="F19" s="2"/>
      <c r="G19" s="2" t="str">
        <f>IF(SUMIF(cotizador!J24:J41, Armado!F19, cotizador!K24:K41)=0,"",SUMIF(cotizador!J24:J41, Armado!F19, cotizador!K24:K41))</f>
        <v/>
      </c>
      <c r="H19" s="12" t="str">
        <f t="shared" si="0"/>
        <v/>
      </c>
      <c r="I19" s="12" t="str">
        <f t="shared" si="1"/>
        <v/>
      </c>
    </row>
    <row r="20" spans="1:9" x14ac:dyDescent="0.3">
      <c r="A20" s="59" t="s">
        <v>471</v>
      </c>
      <c r="B20" s="60">
        <v>1750</v>
      </c>
      <c r="C20" s="61" t="s">
        <v>458</v>
      </c>
      <c r="F20" s="2"/>
      <c r="G20" s="2" t="str">
        <f>IF(SUMIF(cotizador!J25:J42, Armado!F20, cotizador!K25:K42)=0,"",SUMIF(cotizador!J25:J42, Armado!F20, cotizador!K25:K42))</f>
        <v/>
      </c>
      <c r="H20" s="12" t="str">
        <f t="shared" si="0"/>
        <v/>
      </c>
      <c r="I20" s="12" t="str">
        <f t="shared" si="1"/>
        <v/>
      </c>
    </row>
    <row r="21" spans="1:9" x14ac:dyDescent="0.3">
      <c r="A21" s="59" t="s">
        <v>472</v>
      </c>
      <c r="B21" s="60">
        <v>18000</v>
      </c>
      <c r="C21" s="61" t="s">
        <v>455</v>
      </c>
      <c r="F21" s="2"/>
      <c r="G21" s="2" t="str">
        <f>IF(SUMIF(cotizador!J26:J43, Armado!F21, cotizador!K26:K43)=0,"",SUMIF(cotizador!J26:J43, Armado!F21, cotizador!K26:K43))</f>
        <v/>
      </c>
      <c r="H21" s="12" t="str">
        <f t="shared" si="0"/>
        <v/>
      </c>
      <c r="I21" s="12" t="str">
        <f t="shared" si="1"/>
        <v/>
      </c>
    </row>
    <row r="22" spans="1:9" x14ac:dyDescent="0.3">
      <c r="A22" s="59" t="s">
        <v>473</v>
      </c>
      <c r="B22" s="60">
        <v>30000</v>
      </c>
      <c r="C22" s="61" t="s">
        <v>455</v>
      </c>
      <c r="F22" s="2"/>
      <c r="G22" s="2" t="str">
        <f>IF(SUMIF(cotizador!J27:J44, Armado!F22, cotizador!K27:K44)=0,"",SUMIF(cotizador!J27:J44, Armado!F22, cotizador!K27:K44))</f>
        <v/>
      </c>
      <c r="H22" s="12" t="str">
        <f t="shared" si="0"/>
        <v/>
      </c>
      <c r="I22" s="12" t="str">
        <f t="shared" si="1"/>
        <v/>
      </c>
    </row>
    <row r="23" spans="1:9" x14ac:dyDescent="0.3">
      <c r="A23" s="59" t="s">
        <v>474</v>
      </c>
      <c r="B23" s="60">
        <v>16650</v>
      </c>
      <c r="C23" s="61" t="s">
        <v>458</v>
      </c>
      <c r="F23" s="2"/>
      <c r="G23" s="2" t="str">
        <f>IF(SUMIF(cotizador!J28:J45, Armado!F23, cotizador!K28:K45)=0,"",SUMIF(cotizador!J28:J45, Armado!F23, cotizador!K28:K45))</f>
        <v/>
      </c>
      <c r="H23" s="12" t="str">
        <f t="shared" si="0"/>
        <v/>
      </c>
      <c r="I23" s="12" t="str">
        <f t="shared" si="1"/>
        <v/>
      </c>
    </row>
    <row r="24" spans="1:9" x14ac:dyDescent="0.3">
      <c r="A24" s="59" t="s">
        <v>475</v>
      </c>
      <c r="B24" s="60">
        <v>7000</v>
      </c>
      <c r="C24" s="61" t="s">
        <v>458</v>
      </c>
      <c r="F24" s="2"/>
      <c r="G24" s="2" t="str">
        <f>IF(SUMIF(cotizador!J29:J46, Armado!F24, cotizador!K29:K46)=0,"",SUMIF(cotizador!J29:J46, Armado!F24, cotizador!K29:K46))</f>
        <v/>
      </c>
      <c r="H24" s="12" t="str">
        <f t="shared" si="0"/>
        <v/>
      </c>
      <c r="I24" s="12" t="str">
        <f t="shared" si="1"/>
        <v/>
      </c>
    </row>
    <row r="25" spans="1:9" x14ac:dyDescent="0.3">
      <c r="A25" s="59" t="s">
        <v>476</v>
      </c>
      <c r="B25" s="60">
        <v>8800</v>
      </c>
      <c r="C25" s="61" t="s">
        <v>458</v>
      </c>
      <c r="F25" s="2"/>
      <c r="G25" s="2" t="str">
        <f>IF(SUMIF(cotizador!J30:J47, Armado!F25, cotizador!K30:K47)=0,"",SUMIF(cotizador!J30:J47, Armado!F25, cotizador!K30:K47))</f>
        <v/>
      </c>
      <c r="H25" s="12" t="str">
        <f t="shared" si="0"/>
        <v/>
      </c>
      <c r="I25" s="12" t="str">
        <f t="shared" si="1"/>
        <v/>
      </c>
    </row>
    <row r="26" spans="1:9" x14ac:dyDescent="0.3">
      <c r="A26" s="59" t="s">
        <v>477</v>
      </c>
      <c r="B26" s="60">
        <v>12750</v>
      </c>
      <c r="C26" s="61" t="s">
        <v>458</v>
      </c>
      <c r="F26" s="2"/>
      <c r="G26" s="2" t="str">
        <f>IF(SUMIF(cotizador!J31:J48, Armado!F26, cotizador!K31:K48)=0,"",SUMIF(cotizador!J31:J48, Armado!F26, cotizador!K31:K48))</f>
        <v/>
      </c>
      <c r="H26" s="12" t="str">
        <f t="shared" si="0"/>
        <v/>
      </c>
      <c r="I26" s="12" t="str">
        <f t="shared" si="1"/>
        <v/>
      </c>
    </row>
    <row r="27" spans="1:9" x14ac:dyDescent="0.3">
      <c r="A27" s="59" t="s">
        <v>478</v>
      </c>
      <c r="B27" s="60">
        <v>60900</v>
      </c>
      <c r="C27" s="61" t="s">
        <v>458</v>
      </c>
      <c r="F27" s="2"/>
      <c r="G27" s="2" t="str">
        <f>IF(SUMIF(cotizador!J32:J49, Armado!F27, cotizador!K32:K49)=0,"",SUMIF(cotizador!J32:J49, Armado!F27, cotizador!K32:K49))</f>
        <v/>
      </c>
      <c r="H27" s="12" t="str">
        <f t="shared" si="0"/>
        <v/>
      </c>
      <c r="I27" s="12" t="str">
        <f t="shared" si="1"/>
        <v/>
      </c>
    </row>
    <row r="28" spans="1:9" x14ac:dyDescent="0.3">
      <c r="A28" s="59" t="s">
        <v>479</v>
      </c>
      <c r="B28" s="60">
        <v>25500</v>
      </c>
      <c r="C28" s="61" t="s">
        <v>458</v>
      </c>
      <c r="F28" s="130" t="s">
        <v>29</v>
      </c>
      <c r="G28" s="130"/>
      <c r="H28" s="130"/>
      <c r="I28" s="17">
        <f>SUM(I9:I27)</f>
        <v>147600</v>
      </c>
    </row>
    <row r="29" spans="1:9" x14ac:dyDescent="0.3">
      <c r="A29" s="59" t="s">
        <v>480</v>
      </c>
      <c r="B29" s="60">
        <v>27550</v>
      </c>
      <c r="C29" s="61" t="s">
        <v>458</v>
      </c>
    </row>
    <row r="30" spans="1:9" x14ac:dyDescent="0.3">
      <c r="A30" s="59" t="s">
        <v>481</v>
      </c>
      <c r="B30" s="60">
        <v>20950</v>
      </c>
      <c r="C30" s="61" t="s">
        <v>458</v>
      </c>
    </row>
    <row r="31" spans="1:9" x14ac:dyDescent="0.3">
      <c r="A31" s="59" t="s">
        <v>482</v>
      </c>
      <c r="B31" s="60">
        <v>15350</v>
      </c>
      <c r="C31" s="61" t="s">
        <v>458</v>
      </c>
    </row>
    <row r="32" spans="1:9" x14ac:dyDescent="0.3">
      <c r="A32" s="59" t="s">
        <v>483</v>
      </c>
      <c r="B32" s="60">
        <v>19850</v>
      </c>
      <c r="C32" s="61" t="s">
        <v>458</v>
      </c>
    </row>
    <row r="33" spans="1:3" x14ac:dyDescent="0.3">
      <c r="A33" s="59" t="s">
        <v>484</v>
      </c>
      <c r="B33" s="60">
        <v>13150</v>
      </c>
      <c r="C33" s="61" t="s">
        <v>458</v>
      </c>
    </row>
    <row r="34" spans="1:3" x14ac:dyDescent="0.3">
      <c r="A34" s="59" t="s">
        <v>485</v>
      </c>
      <c r="B34" s="60">
        <v>14100</v>
      </c>
      <c r="C34" s="61" t="s">
        <v>458</v>
      </c>
    </row>
    <row r="35" spans="1:3" x14ac:dyDescent="0.3">
      <c r="A35" s="59" t="s">
        <v>486</v>
      </c>
      <c r="B35" s="60">
        <v>7850</v>
      </c>
      <c r="C35" s="61" t="s">
        <v>458</v>
      </c>
    </row>
    <row r="36" spans="1:3" x14ac:dyDescent="0.3">
      <c r="A36" s="59" t="s">
        <v>487</v>
      </c>
      <c r="B36" s="60">
        <v>5250</v>
      </c>
      <c r="C36" s="61" t="s">
        <v>458</v>
      </c>
    </row>
    <row r="37" spans="1:3" x14ac:dyDescent="0.3">
      <c r="A37" s="62" t="s">
        <v>488</v>
      </c>
      <c r="B37" s="63">
        <v>6450</v>
      </c>
      <c r="C37" s="61" t="s">
        <v>458</v>
      </c>
    </row>
    <row r="38" spans="1:3" x14ac:dyDescent="0.3">
      <c r="A38" s="62" t="s">
        <v>489</v>
      </c>
      <c r="B38" s="63">
        <v>4100</v>
      </c>
      <c r="C38" s="61" t="s">
        <v>458</v>
      </c>
    </row>
    <row r="39" spans="1:3" x14ac:dyDescent="0.3">
      <c r="A39" s="59" t="s">
        <v>490</v>
      </c>
      <c r="B39" s="60">
        <v>6200</v>
      </c>
      <c r="C39" s="61" t="s">
        <v>458</v>
      </c>
    </row>
    <row r="40" spans="1:3" x14ac:dyDescent="0.3">
      <c r="A40" s="59" t="s">
        <v>491</v>
      </c>
      <c r="B40" s="60">
        <v>4300</v>
      </c>
      <c r="C40" s="61" t="s">
        <v>458</v>
      </c>
    </row>
    <row r="41" spans="1:3" x14ac:dyDescent="0.3">
      <c r="A41" s="62" t="s">
        <v>492</v>
      </c>
      <c r="B41" s="63">
        <v>4550</v>
      </c>
      <c r="C41" s="61" t="s">
        <v>458</v>
      </c>
    </row>
    <row r="42" spans="1:3" x14ac:dyDescent="0.3">
      <c r="A42" s="62" t="s">
        <v>493</v>
      </c>
      <c r="B42" s="63">
        <v>3050</v>
      </c>
      <c r="C42" s="61" t="s">
        <v>458</v>
      </c>
    </row>
    <row r="43" spans="1:3" ht="15" thickBot="1" x14ac:dyDescent="0.35">
      <c r="A43" s="64" t="s">
        <v>494</v>
      </c>
      <c r="B43" s="65">
        <v>79300</v>
      </c>
      <c r="C43" s="66" t="s">
        <v>455</v>
      </c>
    </row>
  </sheetData>
  <mergeCells count="2">
    <mergeCell ref="F7:I7"/>
    <mergeCell ref="F28:H28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15781-7AE3-497A-AB51-0C6D2B6F46A3}">
  <sheetPr codeName="Hoja12"/>
  <dimension ref="A1"/>
  <sheetViews>
    <sheetView topLeftCell="A11" workbookViewId="0"/>
  </sheetViews>
  <sheetFormatPr baseColWidth="10" defaultColWidth="11.44140625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Despiece</vt:lpstr>
      <vt:lpstr>cotizador</vt:lpstr>
      <vt:lpstr>Empaque</vt:lpstr>
      <vt:lpstr>Tableros</vt:lpstr>
      <vt:lpstr>Tapacantos</vt:lpstr>
      <vt:lpstr>Herrajes</vt:lpstr>
      <vt:lpstr>Corte</vt:lpstr>
      <vt:lpstr>Enchape</vt:lpstr>
      <vt:lpstr>Mecanizado</vt:lpstr>
      <vt:lpstr>Armado</vt:lpstr>
      <vt:lpstr>MOD instalacion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Star Bot</dc:creator>
  <cp:keywords/>
  <dc:description/>
  <cp:lastModifiedBy>Equipo Automatización All Star</cp:lastModifiedBy>
  <cp:revision/>
  <dcterms:created xsi:type="dcterms:W3CDTF">2025-06-20T13:05:23Z</dcterms:created>
  <dcterms:modified xsi:type="dcterms:W3CDTF">2025-11-10T11:25:21Z</dcterms:modified>
  <cp:category/>
  <cp:contentStatus/>
</cp:coreProperties>
</file>